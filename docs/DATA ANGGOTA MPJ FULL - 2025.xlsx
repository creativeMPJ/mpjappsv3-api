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lifhamdanrifai/Sites/mpjappsv3-api/docs/"/>
    </mc:Choice>
  </mc:AlternateContent>
  <xr:revisionPtr revIDLastSave="0" documentId="13_ncr:1_{8AA69F41-B9D0-B745-8FC3-AE570E8890AA}" xr6:coauthVersionLast="47" xr6:coauthVersionMax="47" xr10:uidLastSave="{00000000-0000-0000-0000-000000000000}"/>
  <bookViews>
    <workbookView xWindow="0" yWindow="500" windowWidth="38400" windowHeight="19980" xr2:uid="{00000000-000D-0000-FFFF-FFFF00000000}"/>
  </bookViews>
  <sheets>
    <sheet name="REKAP" sheetId="1" r:id="rId1"/>
    <sheet name="MALANG RAYA" sheetId="2" r:id="rId2"/>
    <sheet name="BLITAR" sheetId="3" r:id="rId3"/>
    <sheet name="TULUNGAGUNG TRENGGALEK" sheetId="4" r:id="rId4"/>
    <sheet name="PLAT AE" sheetId="5" r:id="rId5"/>
    <sheet name="BANYUWANGI" sheetId="6" r:id="rId6"/>
    <sheet name="OJO LAMBAN" sheetId="7" r:id="rId7"/>
    <sheet name="KEDIRI" sheetId="8" r:id="rId8"/>
    <sheet name="JOMBANG" sheetId="9" r:id="rId9"/>
    <sheet name="MOJOKERTO" sheetId="10" r:id="rId10"/>
    <sheet name="DAPIL IV" sheetId="11" r:id="rId11"/>
    <sheet name="NGANJUK" sheetId="12" r:id="rId12"/>
    <sheet name="MADURA RAYA" sheetId="13" r:id="rId13"/>
    <sheet name="PROBOLINGGO RAYA" sheetId="14" r:id="rId14"/>
    <sheet name="GRESIK SBY" sheetId="15" r:id="rId15"/>
    <sheet name="SIDOPAS" sheetId="16" r:id="rId16"/>
    <sheet name="BONDOWOSO" sheetId="17" r:id="rId17"/>
    <sheet name="SITUBONDO" sheetId="18" r:id="rId18"/>
  </sheets>
  <definedNames>
    <definedName name="_xlnm._FilterDatabase" localSheetId="13" hidden="1">'PROBOLINGGO RAYA'!$G$1:$G$987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4" i="18"/>
  <c r="D3" i="18"/>
  <c r="D2" i="18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K13" i="16"/>
  <c r="D13" i="16"/>
  <c r="D12" i="16"/>
  <c r="D11" i="16"/>
  <c r="D10" i="16"/>
  <c r="D9" i="16"/>
  <c r="D8" i="16"/>
  <c r="D7" i="16"/>
  <c r="D6" i="16"/>
  <c r="D5" i="16"/>
  <c r="D4" i="16"/>
  <c r="D3" i="16"/>
  <c r="D2" i="16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L8" i="14"/>
  <c r="D8" i="14"/>
  <c r="D7" i="14"/>
  <c r="D6" i="14"/>
  <c r="D5" i="14"/>
  <c r="D4" i="14"/>
  <c r="D3" i="14"/>
  <c r="D2" i="14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K77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L14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L7" i="11"/>
  <c r="D7" i="11"/>
  <c r="D6" i="11"/>
  <c r="D5" i="11"/>
  <c r="K4" i="11"/>
  <c r="D4" i="11"/>
  <c r="D3" i="11"/>
  <c r="D2" i="11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L10" i="5"/>
  <c r="K10" i="5"/>
  <c r="D10" i="5"/>
  <c r="D9" i="5"/>
  <c r="D8" i="5"/>
  <c r="D7" i="5"/>
  <c r="D6" i="5"/>
  <c r="D5" i="5"/>
  <c r="D4" i="5"/>
  <c r="D3" i="5"/>
  <c r="D2" i="5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L16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L3" i="4"/>
  <c r="K3" i="4"/>
  <c r="D3" i="4"/>
  <c r="D2" i="4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K7" i="3"/>
  <c r="D7" i="3"/>
  <c r="D6" i="3"/>
  <c r="D5" i="3"/>
  <c r="D4" i="3"/>
  <c r="D3" i="3"/>
  <c r="D2" i="3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24" authorId="0" shapeId="0" xr:uid="{00000000-0006-0000-0A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9" authorId="0" shapeId="0" xr:uid="{00000000-0006-0000-0F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49" authorId="0" shapeId="0" xr:uid="{00000000-0006-0000-0F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49" authorId="0" shapeId="0" xr:uid="{00000000-0006-0000-0F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<sst xmlns="http://schemas.openxmlformats.org/spreadsheetml/2006/main" count="8601" uniqueCount="5721">
  <si>
    <t>REKAPITULASI JUMLAH ANGGOTA TIAP REGIONAL</t>
  </si>
  <si>
    <t>MEDIA PONDOK JAWA TIMUR</t>
  </si>
  <si>
    <t>NO. REGIONAL</t>
  </si>
  <si>
    <t>NAMA REGIONAL</t>
  </si>
  <si>
    <t>ANGGOTA</t>
  </si>
  <si>
    <t>JUMLAH ANGGOTA PSANTREN</t>
  </si>
  <si>
    <t>MALANG RAYA</t>
  </si>
  <si>
    <t>Kab./Kota Malang</t>
  </si>
  <si>
    <t>BLITAR</t>
  </si>
  <si>
    <t>Kab./Kota Blitar</t>
  </si>
  <si>
    <t>TULUNGAGUNG TRENGGALEK</t>
  </si>
  <si>
    <t>Kab./Kota Tulungagung,Trengalek</t>
  </si>
  <si>
    <t>PLAT AE</t>
  </si>
  <si>
    <t>Kab./Kota Ponorogo, Madiun, Magetan, Pacitan, Ngawi</t>
  </si>
  <si>
    <t>BANYUWANGI</t>
  </si>
  <si>
    <t>Kab./Kota Banyuwangi</t>
  </si>
  <si>
    <t>OJO LAMBAN</t>
  </si>
  <si>
    <t>Kab./Kota Bojonegoro, Lamongan, Tuban</t>
  </si>
  <si>
    <t>KEDIRI</t>
  </si>
  <si>
    <t>Kab./Kota Kediri</t>
  </si>
  <si>
    <t>JOMBANG</t>
  </si>
  <si>
    <t>Kab./Kota Jombang</t>
  </si>
  <si>
    <t>MOJOKERTO</t>
  </si>
  <si>
    <t>Kab./Kota Mojoketo</t>
  </si>
  <si>
    <t>DAPIL IV</t>
  </si>
  <si>
    <t>Kab./Kota Jember, Lumajang</t>
  </si>
  <si>
    <t>NGANJUK</t>
  </si>
  <si>
    <t>Kab./Kota Nganjuk</t>
  </si>
  <si>
    <t>MADURA RAYA</t>
  </si>
  <si>
    <t>Bangkalan, Sampang, Pamekasan, Sumenep</t>
  </si>
  <si>
    <t>PROBOLINGGO</t>
  </si>
  <si>
    <t>Kab./Kota Probolinggo</t>
  </si>
  <si>
    <t>SURABAYA GRESIK</t>
  </si>
  <si>
    <t>Kab./Kota Surabaya, Gresik</t>
  </si>
  <si>
    <t>Kab./Kota Sidoarjo, Pasuruan</t>
  </si>
  <si>
    <t>TOTAL</t>
  </si>
  <si>
    <t>TAHUN</t>
  </si>
  <si>
    <t>KODE REGIONAL</t>
  </si>
  <si>
    <t>No</t>
  </si>
  <si>
    <t>Nama Pesantren</t>
  </si>
  <si>
    <t>Alamat Pesantren</t>
  </si>
  <si>
    <t>Kota/Kabupaten</t>
  </si>
  <si>
    <t>Nama Pengasuh</t>
  </si>
  <si>
    <t>Nama Lengkap Admin 1</t>
  </si>
  <si>
    <t>Nama Lengkap Admin 2</t>
  </si>
  <si>
    <t>Nomor HP Admin 1</t>
  </si>
  <si>
    <t>Nomor HP Admin 2</t>
  </si>
  <si>
    <t>Link Map Pondok</t>
  </si>
  <si>
    <t>Email Pondok</t>
  </si>
  <si>
    <t>Jumlah Anggota</t>
  </si>
  <si>
    <t>01</t>
  </si>
  <si>
    <t>001</t>
  </si>
  <si>
    <t>Pondok Pesantren Sabilurrosyad</t>
  </si>
  <si>
    <t>Jl. Raya Candi VI C No.303, Karangbesuki, Kec. Sukun, Kota Malang, Jawa Timur 65146</t>
  </si>
  <si>
    <t>Kota Malang</t>
  </si>
  <si>
    <t>KH Marzuqi Mustamar</t>
  </si>
  <si>
    <t>Qonita Amalia</t>
  </si>
  <si>
    <t>+62 851-5822-6166</t>
  </si>
  <si>
    <t>https://maps.app.goo.gl/sKUgaFckyuHoy5zJ9</t>
  </si>
  <si>
    <t>pondoksabilurrosyad@gmail.com</t>
  </si>
  <si>
    <t>002</t>
  </si>
  <si>
    <t>Pondok Pesantren Al-Ittihad</t>
  </si>
  <si>
    <t>Jalan Raya Belung 01 Desa Belung Kecamatan Poncokusumo Kabupatèn Malang</t>
  </si>
  <si>
    <t>Kab. Malang</t>
  </si>
  <si>
    <t>KH Abdullah Hasan</t>
  </si>
  <si>
    <t xml:space="preserve">Wahyu Putri </t>
  </si>
  <si>
    <t>081230678683</t>
  </si>
  <si>
    <t>alittihadputri@gmail.com</t>
  </si>
  <si>
    <t>003</t>
  </si>
  <si>
    <t>Pondok Pesantren Sunan Kalijogo Jabung</t>
  </si>
  <si>
    <t>Jl. Kramat Desa Sukolilo Kecamatan Jabung Kabupaten Malang</t>
  </si>
  <si>
    <t>KH. Ali Muzaki Nur Salim</t>
  </si>
  <si>
    <t>M. Ismail Firori</t>
  </si>
  <si>
    <t>M. Kusnan Ramdani</t>
  </si>
  <si>
    <t>https://goo.gl/maps/HF3Nqe9Jn7hqt8X19</t>
  </si>
  <si>
    <t>pesantren.sunankalijoo@gmail.com</t>
  </si>
  <si>
    <t>004</t>
  </si>
  <si>
    <t>Pondok Pesantren Anwarul Huda Malang</t>
  </si>
  <si>
    <t>Jl Raya Candi III/454 Karangbesuki Sukun Kota Malang</t>
  </si>
  <si>
    <t>KH M Baidowi Muslich</t>
  </si>
  <si>
    <t>Harianto</t>
  </si>
  <si>
    <t>0856-0754-3752</t>
  </si>
  <si>
    <t>https://maps.app.goo.gl/mCwoajcLzX1HXR8p9</t>
  </si>
  <si>
    <t>admminppanwarulhuda@gmail.com</t>
  </si>
  <si>
    <t>005</t>
  </si>
  <si>
    <t>Ma'had Dar Al Hikmah</t>
  </si>
  <si>
    <t>Jalan Kramat 34 RT/RW: 03/04 Kec.Singosari Kab. Malang - Jawa Timur</t>
  </si>
  <si>
    <t>Dr. KH. Muhammad Nurfakih, M.Ag</t>
  </si>
  <si>
    <t>Umu Dzulhikmah</t>
  </si>
  <si>
    <t>Umi Mahfudhoh</t>
  </si>
  <si>
    <t>https://www.google.com/maps/place/Dar+Al-Hikmah/@-7.892007,112.663175,15z/data=!4m2!3m1!1s0x0:0x9c0f20a1a312efd6?sa=X&amp;ved=2ahUKEwjVrPre_KPoAhUy6XMBHXkuA3MQ_BIwDHoECBoQCA</t>
  </si>
  <si>
    <t>dar.alhikmahsingosari@gmail.com</t>
  </si>
  <si>
    <t>006</t>
  </si>
  <si>
    <t>PPTQ As- Sa'adah</t>
  </si>
  <si>
    <t>Jl. Bandulan Gang 1B No.2 RT.02 RW.04. Kelurahan Bandulan. Kecamatan Sukun. Kota Malang</t>
  </si>
  <si>
    <t>Ny, Hj Husnul Inayah</t>
  </si>
  <si>
    <t>Huliyatul Ashfia</t>
  </si>
  <si>
    <t>Farah Aunil Haq</t>
  </si>
  <si>
    <t>https://maps.app.goo.gl/kHtXkt2S9ezUauCz7</t>
  </si>
  <si>
    <t>assaadahsantri@gmail.com</t>
  </si>
  <si>
    <t>007</t>
  </si>
  <si>
    <t>Pondok Pesantren Nurul Islam</t>
  </si>
  <si>
    <t>Jl. Raya Candi V, Gang Madin, Karangbesuki, Kec. Sukun, Kota Malang, Jawa Timur 65149</t>
  </si>
  <si>
    <t>Ust. Ahmad Ali Mahsun</t>
  </si>
  <si>
    <t>Andy Ferlian</t>
  </si>
  <si>
    <t>M. Rio Sulistyawan</t>
  </si>
  <si>
    <t>https://maps.app.goo.gl/oBW7ijMcX7TVzG2X7</t>
  </si>
  <si>
    <t>santrinuris28@gmail.com</t>
  </si>
  <si>
    <t>008</t>
  </si>
  <si>
    <t>Pondok Pesantren Mansyaul Ulum</t>
  </si>
  <si>
    <t>Jl. Sumber Agung No. 128 Ganjaran Gondanglegi Malang Kode Pos 65174</t>
  </si>
  <si>
    <t>KH. Mukhlason Nasir</t>
  </si>
  <si>
    <t>Ahmad Junaidi</t>
  </si>
  <si>
    <t>Ahmad Fuad Hasyim</t>
  </si>
  <si>
    <t>https://goo.gl/maps/FxCd1NEVqg9LyAo1A</t>
  </si>
  <si>
    <t>yamansyaululum@gmail.com</t>
  </si>
  <si>
    <t>009</t>
  </si>
  <si>
    <t>Ppsq Sholahul Huda Al Mujahidin</t>
  </si>
  <si>
    <t>Jl.Sakura no.01 Malangsuko,kec.Tumpang,kab.Malang</t>
  </si>
  <si>
    <t>Drs.KH. Is'adur Rofiq,MM</t>
  </si>
  <si>
    <t>Moh. Anang Khumaidi</t>
  </si>
  <si>
    <t>Hafis Rahmanda F.</t>
  </si>
  <si>
    <t>https://maps.app.goo.gl/RskKpx4SXYD8YhNn7</t>
  </si>
  <si>
    <t>pp.shoda@gmail.com</t>
  </si>
  <si>
    <t>010</t>
  </si>
  <si>
    <t>Pondok Pesantren Al-Khoirot Malang</t>
  </si>
  <si>
    <t>Jl. KH. Syuhud Zayyadi No. 01 Desa Karangsuko, Kecamatan Pagelaran, Kab. Malang</t>
  </si>
  <si>
    <t>KH. Ahmad Fatih Syuhud</t>
  </si>
  <si>
    <t>Abduh</t>
  </si>
  <si>
    <t>+62 889-8944-2510</t>
  </si>
  <si>
    <t>https://bit.ly/30Bst66</t>
  </si>
  <si>
    <t>alkhoirot@gmail.con</t>
  </si>
  <si>
    <t>011</t>
  </si>
  <si>
    <t>Pesantren Kampus "Ainul Yaqin" Universitas Islam Malang</t>
  </si>
  <si>
    <t>Jl. Tata Surya No.3a, Dinoyo, Kec. Lowokwaru, Kota Malang, Jawa Timur 65144</t>
  </si>
  <si>
    <t>drh. KH. Zainul Fadli, M.Kes</t>
  </si>
  <si>
    <t>Qumi Laila</t>
  </si>
  <si>
    <t xml:space="preserve">Anisa Wahyu Adzkiya Atsar </t>
  </si>
  <si>
    <t>081334516893</t>
  </si>
  <si>
    <t>087872360244</t>
  </si>
  <si>
    <t>012</t>
  </si>
  <si>
    <t>Pptq.Annur 2 Al-Murtadlo</t>
  </si>
  <si>
    <t>Jl. Raya Krebet Senggrong No.21, Demano Jaya, Krebet Senggrong, Kec. Bululawang, Malang, Jawa Timur 65171</t>
  </si>
  <si>
    <t>NG. Izzatul Maula</t>
  </si>
  <si>
    <t>M. Alto Rizki</t>
  </si>
  <si>
    <t>Rizki Andriyanto</t>
  </si>
  <si>
    <t>https://goo.gl/maps/MFkMFB9ftFX668yE9</t>
  </si>
  <si>
    <t>taqunation@gmail.com</t>
  </si>
  <si>
    <t>013</t>
  </si>
  <si>
    <t>Pondok Pesantren Manbaul Ulum Hajasi</t>
  </si>
  <si>
    <t>Jl.Mawar Merah 124 Sidomulyo Kota Batu</t>
  </si>
  <si>
    <t>Kota Batu</t>
  </si>
  <si>
    <t>KH.Hazim Sirojuddin</t>
  </si>
  <si>
    <t>Ahmad Masrukhin</t>
  </si>
  <si>
    <t>M.Rofii</t>
  </si>
  <si>
    <t>ppmuhajasi@gmail.com</t>
  </si>
  <si>
    <t>014</t>
  </si>
  <si>
    <t>Pptq Asy Syadzili 4 Putri</t>
  </si>
  <si>
    <t>Jl. KH. Hasyim Asy'ari RT 08 RW 03 Putukrejo Gondanglegi Malang 65174</t>
  </si>
  <si>
    <t>H. Muhammad Hasyim</t>
  </si>
  <si>
    <t>Masruroh</t>
  </si>
  <si>
    <t>Maryam</t>
  </si>
  <si>
    <t>https://www.google.com/maps/place/PPTQ+asy+Syadzili+4,+Putuk+Selatan,+Putukrejo,+Kec.+Gondanglegi,+Malang,+Jawa+Timur+65174/@-8.1315835,112.6294002,17z/data=!4m2!3m1!1s0x2dd6207b0fae7997:0xbe06bb26bb7f715e</t>
  </si>
  <si>
    <t>pptqasysyadili.malang@gmail.com</t>
  </si>
  <si>
    <t>015</t>
  </si>
  <si>
    <t>Pondok Pesantren Raudlatul Ulum 1 Putri</t>
  </si>
  <si>
    <t>Jl. Sumber Ilmu 127, RT/RW. 021/003,
 Kel.GANJARAN, Kec. GONDANGLEGI
 MALANG - JAWA TIMUR 65174</t>
  </si>
  <si>
    <t>Malang</t>
  </si>
  <si>
    <t>KH Mukhlis Yahya</t>
  </si>
  <si>
    <t>Rowabi Nuril Ula</t>
  </si>
  <si>
    <t>Istiqlalia</t>
  </si>
  <si>
    <t>https://goo.gl/maps/JzowktjwTc52Cerw7</t>
  </si>
  <si>
    <t>raudlatululum1putri@gmail.com</t>
  </si>
  <si>
    <t>016</t>
  </si>
  <si>
    <t>Pondok Pesantren Roudltotut Tholibin Asshoulatiyyah</t>
  </si>
  <si>
    <t>jalan Bengawan Solo Wajak-Malang</t>
  </si>
  <si>
    <t>KH. Imam Shodiq</t>
  </si>
  <si>
    <t>Ahmad Riyadzul</t>
  </si>
  <si>
    <t>Toni</t>
  </si>
  <si>
    <t>pp.roudlotuttholibin.wajak@gmail.com</t>
  </si>
  <si>
    <t>017</t>
  </si>
  <si>
    <t>Pondok Modern Al Rifa'ie 2 Putri</t>
  </si>
  <si>
    <t>Jl. Raya Ketawang No. 2 Gondanglegi Kab. Malang</t>
  </si>
  <si>
    <t>Dr. KH. Ahmad Muflih Zamachsyari, SE., MM</t>
  </si>
  <si>
    <t>Hasanatul Mutmainah</t>
  </si>
  <si>
    <t>Admin Media Al Rifaie</t>
  </si>
  <si>
    <t>https://goo.gl/maps/ULmRqo5dPZ1EySBB9</t>
  </si>
  <si>
    <t>ypmalrifaie2@gmail.com</t>
  </si>
  <si>
    <t>018</t>
  </si>
  <si>
    <t>Pondok Pesantren Roudlotul Munawwirin</t>
  </si>
  <si>
    <t>Jl. Raya curungrejo Gg gedang barlin Rt. 04 Rw. 02 curungrejo kepanjen malang</t>
  </si>
  <si>
    <t>KH. Nur Wahid Hasyim</t>
  </si>
  <si>
    <t>M. Alfan Khoiron</t>
  </si>
  <si>
    <t>Sandi Hermawan</t>
  </si>
  <si>
    <t>Gg. Gedang Barlin No.84, Boro Utara, Curung Rejo, Kec. Kepanjen, Malang, Jawa Timur 65163</t>
  </si>
  <si>
    <t>Roudlotulmunawwirin@gmail.com</t>
  </si>
  <si>
    <t>019</t>
  </si>
  <si>
    <t>Pondok Pesantren Mambaul Ulum Amtsilati</t>
  </si>
  <si>
    <t>Dusun Bali RT 04 RW 02 Desa Sidomulyo Kecamatan Jabung Kabupaten Malang</t>
  </si>
  <si>
    <t>KH Mochammad Miftakhul Ulum</t>
  </si>
  <si>
    <t>Jamaluddin</t>
  </si>
  <si>
    <t>Ahmad Zubair</t>
  </si>
  <si>
    <t>https://maps.app.goo.gl/qoF5es6JACFpMFJ97</t>
  </si>
  <si>
    <t>Ponpesmambaululum62@gmail.com</t>
  </si>
  <si>
    <t>020</t>
  </si>
  <si>
    <t>Pesantren Mahasiswa Al Hikam</t>
  </si>
  <si>
    <t>Jalan Cengger Ayam No 25 Lowokwaru Kota Malang</t>
  </si>
  <si>
    <t>Drs. K.H. Mohammad Nafi'</t>
  </si>
  <si>
    <t>Muhammad Ali Zamroni</t>
  </si>
  <si>
    <t>Muhammad Sholahuddin Nur Fuady</t>
  </si>
  <si>
    <t>https://goo.gl/maps/fvkB2vzKyxWKp1Ec8</t>
  </si>
  <si>
    <t>dakwahustadku.21@gmail.com</t>
  </si>
  <si>
    <t>021</t>
  </si>
  <si>
    <t>Pondok Pesantren Raudlatul Ulum 2</t>
  </si>
  <si>
    <t>Putukrejo, Gondanglegi, Malang</t>
  </si>
  <si>
    <t>Nyai HJ. Zainab Qosim &amp; KH. Yuzqi Qosim</t>
  </si>
  <si>
    <t>Amirudin</t>
  </si>
  <si>
    <t>081232149250</t>
  </si>
  <si>
    <t>Jl. Sunan Ampel No.2B, Putuk Utara, Putukrejo, Kec. Gondanglegi, Kabupaten Malang, Jawa Timur 65174</t>
  </si>
  <si>
    <t>022</t>
  </si>
  <si>
    <t>Pondok Pesantren Darussa'adah Al-Islamy</t>
  </si>
  <si>
    <t>Jl. Raya Gubugklakah, Kec. Poncokusumo, Kab. Malang</t>
  </si>
  <si>
    <t>Kh. Nur Hasanuddin bin Abdul Latief</t>
  </si>
  <si>
    <t>Ahmad Hasanuddin</t>
  </si>
  <si>
    <t>https://goo.gl/maps/3YVL2R4nwDpiCUQ98</t>
  </si>
  <si>
    <t>darussaadhtv@gmail.com</t>
  </si>
  <si>
    <t>023</t>
  </si>
  <si>
    <t>Pondok Pesantren Raudlatul Ulum 1</t>
  </si>
  <si>
    <t>Jl. Sumber Ilmu no.124, Ganjaran, Gondanglegi</t>
  </si>
  <si>
    <t>Kabupaten Malang</t>
  </si>
  <si>
    <t>KH. Mukhlis Yahya</t>
  </si>
  <si>
    <t>Muhammad abrorus safifillah</t>
  </si>
  <si>
    <t>087856889705</t>
  </si>
  <si>
    <t>Ponpesru01@gmail.com</t>
  </si>
  <si>
    <t>024</t>
  </si>
  <si>
    <t>PP. Daruzzahra Arrifa'i Kota Malang</t>
  </si>
  <si>
    <t>Jalan Mertojoyo No.80 Merjosari Lowokwaru Kota Malang</t>
  </si>
  <si>
    <t>KH. M. Nadhif Anwar LC. M.Pd dan Dr. Nury Firdausia, M.Pd.I</t>
  </si>
  <si>
    <t>Silviyah Mashlahatil Ummah</t>
  </si>
  <si>
    <t>daruzzahraarrifai1@gmail.com</t>
  </si>
  <si>
    <t>025</t>
  </si>
  <si>
    <t>Sholahul Huda</t>
  </si>
  <si>
    <t>Jalan sakura nomor 01 desa malangsuko kecamatan tumpang kabupaten malang</t>
  </si>
  <si>
    <t>KH is'adur Rofiq</t>
  </si>
  <si>
    <t>Aziero</t>
  </si>
  <si>
    <t>‪+62 858‑9466‑5768‬</t>
  </si>
  <si>
    <t>026</t>
  </si>
  <si>
    <t>Pesantren Rakyat Al-Amin</t>
  </si>
  <si>
    <t>Jl. Kopral Suradi 98 Sumberpucung</t>
  </si>
  <si>
    <t>Kiai Abdullah SAM</t>
  </si>
  <si>
    <t>Nugraha Chandra Pratama</t>
  </si>
  <si>
    <t>027</t>
  </si>
  <si>
    <t>Pondok Pesantren Miftahul Huda Pusat</t>
  </si>
  <si>
    <t>Jl. Pesantren 3 No ,Mojosari,Kepanjen,Malang</t>
  </si>
  <si>
    <t>K.H. Ustman Badaruddin Wahab</t>
  </si>
  <si>
    <t>Devi Berliana</t>
  </si>
  <si>
    <t>028</t>
  </si>
  <si>
    <t>Pondok Modern Al-rifaie Satu Khusus Putri</t>
  </si>
  <si>
    <t>Jl. Raya Ketawang No. 1 Gondanglegi,Malang</t>
  </si>
  <si>
    <t>KH. Zainuddin Yasin</t>
  </si>
  <si>
    <t>Tiara Salsabillah dan Aisyah Masruruoh</t>
  </si>
  <si>
    <t>029</t>
  </si>
  <si>
    <t>PPS Shirothul Fuqoha'</t>
  </si>
  <si>
    <t>Jl. Basuki Rahmat 104, Sepanjang, Kab. Malang, Jawa Timur</t>
  </si>
  <si>
    <t>Nyai Hj. Siti Zulfa</t>
  </si>
  <si>
    <t>Sa'dan Zumar</t>
  </si>
  <si>
    <t>030</t>
  </si>
  <si>
    <t xml:space="preserve">Pondok Pesantren An-Nur 1 Bululawang </t>
  </si>
  <si>
    <t xml:space="preserve">Jl. Diponegoro IV/2-6 Bululawang Malang Jawa Timur </t>
  </si>
  <si>
    <t xml:space="preserve">Dr. KH. Ahmad Fahrur Rozi </t>
  </si>
  <si>
    <t xml:space="preserve">Mauluddin Agung </t>
  </si>
  <si>
    <t>085236336096</t>
  </si>
  <si>
    <t>031</t>
  </si>
  <si>
    <t>Pondok Pesantren Miftahul Huda IV</t>
  </si>
  <si>
    <t>Jl. Kampung Baru 03 Mojosari Kepanjen Malang</t>
  </si>
  <si>
    <t>Gus H. Shofiyulloh</t>
  </si>
  <si>
    <t>Abdul Badri</t>
  </si>
  <si>
    <t>081334946791</t>
  </si>
  <si>
    <t>032</t>
  </si>
  <si>
    <t>PONDOK PESANTREN MIFTACHUL JANNAH</t>
  </si>
  <si>
    <t>JL. PONDOK INDAH NO.29 DS. GENENGAN KEC. PAKISAJI KAB. MALANG</t>
  </si>
  <si>
    <t>Nyai Hj. Umi Chasanah</t>
  </si>
  <si>
    <t>Daffa Arif Fadhilah</t>
  </si>
  <si>
    <t>085608103000</t>
  </si>
  <si>
    <t>033</t>
  </si>
  <si>
    <t xml:space="preserve">PP. Daarus Salam </t>
  </si>
  <si>
    <t>Sumberwates RT. 10 RW. 02 Sumber bening kec. bantur kab malang</t>
  </si>
  <si>
    <t>KH. Al fadjar</t>
  </si>
  <si>
    <t>Syarif</t>
  </si>
  <si>
    <t>085755885100</t>
  </si>
  <si>
    <t>034</t>
  </si>
  <si>
    <t>PON PES AL ISHLAH</t>
  </si>
  <si>
    <t>JL. SUNAN KALIJAGA NO.30 RT. 48/RW 07 MAJANGTENGAH DAMPIT</t>
  </si>
  <si>
    <t>KIYAI MASHUDY RIDWAN</t>
  </si>
  <si>
    <t>Sugeng</t>
  </si>
  <si>
    <t>085875313214</t>
  </si>
  <si>
    <t>035</t>
  </si>
  <si>
    <t>Pondok pesantren miftahul ulum (RU 4)</t>
  </si>
  <si>
    <t>Jl. Sumber Waras No. 02 Ganjaran Gondanglegi Malang</t>
  </si>
  <si>
    <t>KH. Alimuddin As'ad</t>
  </si>
  <si>
    <t>Mochamad Farid Alfa Rozi</t>
  </si>
  <si>
    <t>036</t>
  </si>
  <si>
    <t xml:space="preserve">PPAI DARUN NAJAH </t>
  </si>
  <si>
    <t>No., Jl. Pesantren No.51, Kendalsari, Karangploso, Malang, Kabupaten Malang, Jawa Timur 65152</t>
  </si>
  <si>
    <t>KH Achmad Mucthar Ghozali</t>
  </si>
  <si>
    <t>Fahmi idris</t>
  </si>
  <si>
    <t>085161205161</t>
  </si>
  <si>
    <t>www.ppdb.ppaidarunnajah.id</t>
  </si>
  <si>
    <t>037</t>
  </si>
  <si>
    <t>YP. Zainul Ulum</t>
  </si>
  <si>
    <t>Jl. Sumber Ilmu No. 37, Ganjaran, Gondanglegi, Malang 65174</t>
  </si>
  <si>
    <t>KH. ZAINAL ALIM, Hs.</t>
  </si>
  <si>
    <t>AHMAD NUR AFANDI</t>
  </si>
  <si>
    <t>085745530765</t>
  </si>
  <si>
    <t>038</t>
  </si>
  <si>
    <t>Nurul Ulum</t>
  </si>
  <si>
    <t>Jl. A. Satsui Tubun 17</t>
  </si>
  <si>
    <t>KH. Ahmad Sulthon Rofi'i</t>
  </si>
  <si>
    <t>Muhammad Atha Ullah</t>
  </si>
  <si>
    <t>081357012222</t>
  </si>
  <si>
    <t>039</t>
  </si>
  <si>
    <t xml:space="preserve">Ma'had Ibadurrahman Al Islamy </t>
  </si>
  <si>
    <t xml:space="preserve">Jl.S.Supriadi Gg.X No.80b Rt.14 Rt.06 </t>
  </si>
  <si>
    <t>Kh. Muhammad Salim Nur</t>
  </si>
  <si>
    <t>Adin</t>
  </si>
  <si>
    <t>ibadurahmanalislami@gmail.com</t>
  </si>
  <si>
    <t>040</t>
  </si>
  <si>
    <t>PP. LIRBOYO 2 TUREN</t>
  </si>
  <si>
    <t>JL. GATOT SUBROTO NO.317-319</t>
  </si>
  <si>
    <t>KH. ROMADLON CHOTIB</t>
  </si>
  <si>
    <t>RAFID FIRDAUS ARIFIANDA</t>
  </si>
  <si>
    <t>081236280676</t>
  </si>
  <si>
    <t>041</t>
  </si>
  <si>
    <t>Ma'had Tarbiyah Islamiyyah Dar Al Hikmah</t>
  </si>
  <si>
    <t xml:space="preserve">Jl. Kramat No. 34 Pagentan Singosari Malang </t>
  </si>
  <si>
    <t>Dr. KH. Muhammad Nur Fakih, M.Ag</t>
  </si>
  <si>
    <t xml:space="preserve">Badi'un Nur Rosyidah </t>
  </si>
  <si>
    <t>085231032756</t>
  </si>
  <si>
    <t>042</t>
  </si>
  <si>
    <t xml:space="preserve">Pondok Pesantren Imam Ad-Damanhuri </t>
  </si>
  <si>
    <t>Perum Puri Nirwana Gajayana, Kav. 30-31, JI. Simpang Gajayana,  Dinoyo Lowokwaru, Kota Malang, Jawa Timur</t>
  </si>
  <si>
    <t>Ustadz Abdul Azis M.HI</t>
  </si>
  <si>
    <t>Bilqis Aimmata Y</t>
  </si>
  <si>
    <t>085732207523</t>
  </si>
  <si>
    <t>043</t>
  </si>
  <si>
    <t>Ppsq Asy Syadzili 2</t>
  </si>
  <si>
    <t xml:space="preserve">Sumberpasir Pakis Malang </t>
  </si>
  <si>
    <t>Kh Hazimul Ahzab</t>
  </si>
  <si>
    <t>Ummu Mahfudloh</t>
  </si>
  <si>
    <t>085608654864</t>
  </si>
  <si>
    <t>044</t>
  </si>
  <si>
    <t xml:space="preserve">Pondok pesantren Al-Hidayah II </t>
  </si>
  <si>
    <t>Karangploso malang</t>
  </si>
  <si>
    <t>Ustadz Muhammad Aqib</t>
  </si>
  <si>
    <t xml:space="preserve">Cucun kusuma Dewi </t>
  </si>
  <si>
    <t>081393988962</t>
  </si>
  <si>
    <t>045</t>
  </si>
  <si>
    <t xml:space="preserve">Pondok pesantren Sentono Agung DARURROHMAN </t>
  </si>
  <si>
    <t>Jl. Pesantren Urek urek Baran, Gondanglegi Malang</t>
  </si>
  <si>
    <t xml:space="preserve">Agus Muhammad Abdurrohman </t>
  </si>
  <si>
    <t>Izzul Haq</t>
  </si>
  <si>
    <t>082110009394</t>
  </si>
  <si>
    <t>046</t>
  </si>
  <si>
    <t>PONDOK PESANTREN MIFTHUL ULUM</t>
  </si>
  <si>
    <t>Jl. Raya Sukolilo Kec. Jabung Kab. Malang</t>
  </si>
  <si>
    <t>Ibu Nyai Hj. Khoirul Ummah Badri</t>
  </si>
  <si>
    <t>Waafi Mafaza</t>
  </si>
  <si>
    <t>0896-5375-7643</t>
  </si>
  <si>
    <t>047</t>
  </si>
  <si>
    <t>pondok pesantren Al hidayah</t>
  </si>
  <si>
    <t>karangan, donowarih, karangploso malang</t>
  </si>
  <si>
    <t>kyai mukhlas</t>
  </si>
  <si>
    <t>naufal ulinnuha</t>
  </si>
  <si>
    <t>081233429442</t>
  </si>
  <si>
    <t>048</t>
  </si>
  <si>
    <t>Pondok pesantren Nurul Muhasabah Wal Mahabbah BITAHARIL IMAM</t>
  </si>
  <si>
    <t>Jl. Pesantren No.21, RT.03/RW.01, Sukodono Lor, Tirtoyudo, Kec. Tirtoyudo</t>
  </si>
  <si>
    <t>Gus Zainul Arifin Ahmad, B.Sc</t>
  </si>
  <si>
    <t>Agusanto</t>
  </si>
  <si>
    <t>082234287458</t>
  </si>
  <si>
    <t>049</t>
  </si>
  <si>
    <t xml:space="preserve">Ponpes Salafiyah Miftahul Ulum </t>
  </si>
  <si>
    <t xml:space="preserve">Jl. Raya Sukolilo Jabung </t>
  </si>
  <si>
    <t xml:space="preserve">Kh. Imam Hambali </t>
  </si>
  <si>
    <t xml:space="preserve">Aliatul Firdaus </t>
  </si>
  <si>
    <t>081230388783</t>
  </si>
  <si>
    <t>050</t>
  </si>
  <si>
    <t>Lembaga Tinggi Pesantren Luhur Malang</t>
  </si>
  <si>
    <t>Jln. Sumbersari no. 88 Kec. Lowokwaru Kota Malang</t>
  </si>
  <si>
    <t>Gus Danial Farafish, S.H, S. Hum, M. Ag</t>
  </si>
  <si>
    <t>Siti Nur Farihah</t>
  </si>
  <si>
    <t>085736610436</t>
  </si>
  <si>
    <t>051</t>
  </si>
  <si>
    <t>Pondok Pesantren Babussalam</t>
  </si>
  <si>
    <t>Jl. KH. Hasyim Asy'ari Banjarejo Pagelaran Malang</t>
  </si>
  <si>
    <t>KH. THORIQ BIN ZIYAD</t>
  </si>
  <si>
    <t>SOFI YULLOH</t>
  </si>
  <si>
    <t>Ahmad nurkholis</t>
  </si>
  <si>
    <t>085856014996</t>
  </si>
  <si>
    <t>081328877902</t>
  </si>
  <si>
    <t>052</t>
  </si>
  <si>
    <t>Pondok Pesantren Salafiyah Nurul Huda Pajaran</t>
  </si>
  <si>
    <t>Jl. Gajah Mada No. 02 Desa Pajaran Kec. Poncokusumo</t>
  </si>
  <si>
    <t>KH. Masykur Hafidz</t>
  </si>
  <si>
    <t>Fi Syarofil Habibi</t>
  </si>
  <si>
    <t>085645633882</t>
  </si>
  <si>
    <t>053</t>
  </si>
  <si>
    <t>Miftahul ulum putri Ru 4</t>
  </si>
  <si>
    <t>Jl.sumber waras no 02 Ganjaran gondanglegi malang</t>
  </si>
  <si>
    <t xml:space="preserve">KH Muhammad Kholili </t>
  </si>
  <si>
    <t>Zahwa ilma syifa</t>
  </si>
  <si>
    <t>0895612599979 dan 0895415092121</t>
  </si>
  <si>
    <t>054</t>
  </si>
  <si>
    <t xml:space="preserve">Pondok Pesantren Darun Nun </t>
  </si>
  <si>
    <t>Jl. Perum Bukit Cemara Tidar, Karangbesuki, Kec. Sukun, Kota Malang, Jawa Timur 65149</t>
  </si>
  <si>
    <t>Dr. H. Halimi Zuhdy, M.Pd, MA</t>
  </si>
  <si>
    <t xml:space="preserve">Muhammad Agung Ainul Harist </t>
  </si>
  <si>
    <t>085895339021</t>
  </si>
  <si>
    <t>055</t>
  </si>
  <si>
    <t>Hikmatul Hasanah</t>
  </si>
  <si>
    <t>Jl. Sumber Ilmu RT/RW 38/04 Ganjaran</t>
  </si>
  <si>
    <t>Kyai Zainul Arifin</t>
  </si>
  <si>
    <t>Abdul Alam</t>
  </si>
  <si>
    <t>081336416771</t>
  </si>
  <si>
    <t>056</t>
  </si>
  <si>
    <t>Pondok Pesantren Salafiyah Miftahul Jannah</t>
  </si>
  <si>
    <t>Jl Wukir Gg 2 Temas Kota Batu</t>
  </si>
  <si>
    <t>KH. Moch Nur Kholis</t>
  </si>
  <si>
    <t>Moch Syahrul Hadi</t>
  </si>
  <si>
    <t>087776245335</t>
  </si>
  <si>
    <t>057</t>
  </si>
  <si>
    <t>Pondok Pesantren Manbaul Ulum Malang</t>
  </si>
  <si>
    <t>Perum. Royal Orchid Blok E19 Ds. Jetak ngasri, Mulyoagung, kec. Dau, Kabupaten Malang, Jawa timur 65151</t>
  </si>
  <si>
    <t>KH Noor Shodiq Askandar</t>
  </si>
  <si>
    <t>Mirza</t>
  </si>
  <si>
    <t>085755010237</t>
  </si>
  <si>
    <t>058</t>
  </si>
  <si>
    <t>PPTQ ASY- SYADZILI 4</t>
  </si>
  <si>
    <t>Jl Kh Hasyim Asy ari rt8 rw3 putukrejo gondanglegi malang</t>
  </si>
  <si>
    <t>Kh.Nur muhammad hasyim &amp; nyai hajjah mufidah syadzili</t>
  </si>
  <si>
    <t>Abdur Rohman</t>
  </si>
  <si>
    <t>Ulil firnanda</t>
  </si>
  <si>
    <t>082139516715</t>
  </si>
  <si>
    <t>081391053008</t>
  </si>
  <si>
    <t>059</t>
  </si>
  <si>
    <t>Ponpes Salafiyah Putri Hidayatuth Tholibat</t>
  </si>
  <si>
    <t xml:space="preserve">Tegalgondo Karangploso </t>
  </si>
  <si>
    <t>Bu Nyai Hj Siti Fatimah Yahya / Gus Sholahuddin Sa'id</t>
  </si>
  <si>
    <t>I'anatul Amalia / Zida Amalia</t>
  </si>
  <si>
    <t>081335943428</t>
  </si>
  <si>
    <t>060</t>
  </si>
  <si>
    <t xml:space="preserve">Pondok Pesantren Assalam Bantur </t>
  </si>
  <si>
    <t>Jl. Raya Sukosari Rejoyoso Bantur</t>
  </si>
  <si>
    <t>Ags. Fadhil Amin</t>
  </si>
  <si>
    <t xml:space="preserve">Muhammad Warisi </t>
  </si>
  <si>
    <t>085955179126</t>
  </si>
  <si>
    <t>061</t>
  </si>
  <si>
    <t>Pondok Pesantren Raudlatul Mubtadi'in</t>
  </si>
  <si>
    <t>Jl. Raya no. 13 Rt/Rw 24/03 Ganjaran Kec. Gondanglegi Kode pos 65174</t>
  </si>
  <si>
    <t>Kh. Shoim Shonhadji</t>
  </si>
  <si>
    <t>Royhan</t>
  </si>
  <si>
    <t>082229404642</t>
  </si>
  <si>
    <t>062</t>
  </si>
  <si>
    <t>Ppt al-amin</t>
  </si>
  <si>
    <t>Jl.trunojoyo rt 01 rw 01</t>
  </si>
  <si>
    <t>Nyai fitriyah amien</t>
  </si>
  <si>
    <t>Siti kholifatur rosidah</t>
  </si>
  <si>
    <t>088989200524</t>
  </si>
  <si>
    <t>063</t>
  </si>
  <si>
    <t>Pondok Pesantren Al-Qur'an Nurul Huda</t>
  </si>
  <si>
    <t xml:space="preserve">Jalan Kramat No.71 Pagentan-Singosari </t>
  </si>
  <si>
    <t>Ibu Nyai Hj. Nailul Farohah Khoirul Amin</t>
  </si>
  <si>
    <t xml:space="preserve">Rhefi Yassar R </t>
  </si>
  <si>
    <t>088805413691</t>
  </si>
  <si>
    <t>064</t>
  </si>
  <si>
    <t>PONDOK MODERN AL-RIFA'IE 2</t>
  </si>
  <si>
    <t>Jl. Raya Ketawang No.2, Krajan, Ketawang, Kec. Gondanglegi, Kabupaten Malang, Jawa Timur 65174</t>
  </si>
  <si>
    <t>Dr. KH. Ahmad Muflih Zamachsyari, SE., MM.</t>
  </si>
  <si>
    <t>Ahmad Achvian Irfani</t>
  </si>
  <si>
    <t>082139027610</t>
  </si>
  <si>
    <t>065</t>
  </si>
  <si>
    <t>Pondok Pesantren Al Qoyyim Putra</t>
  </si>
  <si>
    <t>Dusun Besuk, Rt 03, Rw 02, Desa Sukosari, Kec. kasembon, Kab. Malang</t>
  </si>
  <si>
    <t>KH. Zainul Anwar</t>
  </si>
  <si>
    <t>Rofi'i Khamdi</t>
  </si>
  <si>
    <t>082255110424</t>
  </si>
  <si>
    <t>066</t>
  </si>
  <si>
    <t xml:space="preserve">Pondok Pesantren Al-Miftahul Aula </t>
  </si>
  <si>
    <t>Jl.Gatot Subroto RT.04 Rw.03 Kemantren Kec.Jabung Kabupaten Malang 65155</t>
  </si>
  <si>
    <t>Gus Nafis Harisul Huda</t>
  </si>
  <si>
    <t xml:space="preserve">Vikri Rokhman </t>
  </si>
  <si>
    <t>081331746813</t>
  </si>
  <si>
    <t>067</t>
  </si>
  <si>
    <t>Pondok Pesantren Al Hamidy</t>
  </si>
  <si>
    <t>Jl. Airlangga No.91, Dusun Pabrian, Sukonolo, Kec. Bululawang, Kabupaten Malang, Jawa Timur 65171</t>
  </si>
  <si>
    <t>K.H. Abdulloh Muchith</t>
  </si>
  <si>
    <t>Muhammad Ali Charozim</t>
  </si>
  <si>
    <t>085879956397</t>
  </si>
  <si>
    <t>068</t>
  </si>
  <si>
    <t>Al qoyyim al abror maliki al hasani</t>
  </si>
  <si>
    <t>Rt/rw 03/02 dusun besuk.desa, sukosari kecamatan, kasembon kabupaten, malang</t>
  </si>
  <si>
    <t>Kh. Zainul anwar</t>
  </si>
  <si>
    <t>Khamdi</t>
  </si>
  <si>
    <t>+62 822-5511-0424</t>
  </si>
  <si>
    <t>069</t>
  </si>
  <si>
    <t>PPSQ ASY SYADZILI 1</t>
  </si>
  <si>
    <t>Jl. Sumber Pasir.99A, Boto Putih, Sumberpasir, Boto Putih, Kabupaten, Kec. Pakis, Kabupaten Malang, Jawa Timur 65154</t>
  </si>
  <si>
    <t>Abuya KH. ABDUL MUN'IM SYADZILI</t>
  </si>
  <si>
    <t>Ihsan Safiro</t>
  </si>
  <si>
    <t>+62 896-7501-4567</t>
  </si>
  <si>
    <t>070</t>
  </si>
  <si>
    <t xml:space="preserve">Pesantren Bumi Damai </t>
  </si>
  <si>
    <t xml:space="preserve">Pesantren Bumi Damai Miftahul Ulum Annur </t>
  </si>
  <si>
    <t>Gus In'am Fuadi Al-Idrus,S.Hi</t>
  </si>
  <si>
    <t>Putra Setiawan</t>
  </si>
  <si>
    <t>085795116905</t>
  </si>
  <si>
    <t>071</t>
  </si>
  <si>
    <t>Pondok Pesantren Miftahul Ulum Salafiyah Putra</t>
  </si>
  <si>
    <t>Sukolilo-Jabung</t>
  </si>
  <si>
    <t>KH.Toha Badri</t>
  </si>
  <si>
    <t>Zaki</t>
  </si>
  <si>
    <t>081216609426</t>
  </si>
  <si>
    <t>072</t>
  </si>
  <si>
    <t xml:space="preserve">Pondok Pesantren Gunungpandak Malang </t>
  </si>
  <si>
    <t xml:space="preserve">Jalan Raya Gunung Pandak RT 34 RW 04 Desa Kademangan Kecamatan Pagelaran Kabupaten Malang Provinsi Jawa Timur </t>
  </si>
  <si>
    <t>H. Husni</t>
  </si>
  <si>
    <t>Moh. Mahmudi</t>
  </si>
  <si>
    <t>082233967228</t>
  </si>
  <si>
    <t>073</t>
  </si>
  <si>
    <t>Pondok Pesantren Irsyadul Mubtadi'in</t>
  </si>
  <si>
    <t>Dusun Gentong RT.01 RW.01 - Desa Purwoasri - Kecamatan Singosari</t>
  </si>
  <si>
    <t>KH. Ahmad Shu'di</t>
  </si>
  <si>
    <t>Trisna Sindufan</t>
  </si>
  <si>
    <t>08156579602</t>
  </si>
  <si>
    <t>074</t>
  </si>
  <si>
    <t xml:space="preserve">PPAI DARUSSALAM </t>
  </si>
  <si>
    <t xml:space="preserve">Jl. Babatan V No.30 Arjowinangun Kedungkandang kota Malang </t>
  </si>
  <si>
    <t>Romo yai Nur Fuad S.Pd.I</t>
  </si>
  <si>
    <t xml:space="preserve">Bakti Prastiyo </t>
  </si>
  <si>
    <t>082139798460</t>
  </si>
  <si>
    <t>ppaidarussalam84@gmail.com</t>
  </si>
  <si>
    <t>075</t>
  </si>
  <si>
    <t xml:space="preserve">Pesantren Luhur Baitul Hikmah </t>
  </si>
  <si>
    <t>Jln. Aris Joyo Mustoko, Tegalsari, Kepanjen, Kab. Malang</t>
  </si>
  <si>
    <t xml:space="preserve">Ach Dhofir Zuhry </t>
  </si>
  <si>
    <t xml:space="preserve">Ahmad Jayadi </t>
  </si>
  <si>
    <t>+62 895-6062-00406</t>
  </si>
  <si>
    <t>luhurian11@gmail.com</t>
  </si>
  <si>
    <t>076</t>
  </si>
  <si>
    <t>NURUL MUHAASABAH WAL MAHABBAH BITAHARIL IMAM</t>
  </si>
  <si>
    <t xml:space="preserve">Jl pesantren no 21 tirtoyudo malang  </t>
  </si>
  <si>
    <t xml:space="preserve">KH. ZAINUL ARIFIN AHMAD </t>
  </si>
  <si>
    <t>Jafar</t>
  </si>
  <si>
    <t>082335305330</t>
  </si>
  <si>
    <t>077</t>
  </si>
  <si>
    <t xml:space="preserve">PonPes Al Fithriyah </t>
  </si>
  <si>
    <t xml:space="preserve">Ngadilangkung Kepanjen &amp; PonPes Assalafi Al Fitrah Bangsri Kepanjen </t>
  </si>
  <si>
    <t>KH. Abdul Ghoni Askur</t>
  </si>
  <si>
    <t xml:space="preserve">Muhammad Said Ramadhan </t>
  </si>
  <si>
    <t>0895 333 777 345</t>
  </si>
  <si>
    <t>alkhidmahmalang99@gmail.com</t>
  </si>
  <si>
    <t>078</t>
  </si>
  <si>
    <t>Ar Rohmah Tahfizh</t>
  </si>
  <si>
    <t>Jln. Locari No.17, SumberSekar, Dau, Malang</t>
  </si>
  <si>
    <t>Ust. Marzan Safrudin</t>
  </si>
  <si>
    <t>Al-Firdausi</t>
  </si>
  <si>
    <t>087855514104</t>
  </si>
  <si>
    <t>alfirdausi281@gmail.com</t>
  </si>
  <si>
    <t>079</t>
  </si>
  <si>
    <t xml:space="preserve">Pesantren Ilmu Al-Qur'an </t>
  </si>
  <si>
    <t>Jalan Raya No.107, Pangetan, Pagentan, Kec. Singosari, Kabupaten Malang, Jawa Timur 65153</t>
  </si>
  <si>
    <t>K.H Lutfhi Basori</t>
  </si>
  <si>
    <t>ALIF EL SYAVARU</t>
  </si>
  <si>
    <t>085236733140</t>
  </si>
  <si>
    <t>@piqsingosari.com</t>
  </si>
  <si>
    <t>080</t>
  </si>
  <si>
    <t>Pondok Pesantren Darul Faqih Malang Indonesia</t>
  </si>
  <si>
    <t>Jl. Gapura No.197, RT.18/RW.04, Krajan, Pandanlandung, Kec. Wagir, Kabupaten Malang, Jawa Timur 65158</t>
  </si>
  <si>
    <t>Dr. KH. Faris Khoirul Anam Lc., M.H.I.</t>
  </si>
  <si>
    <t>Muhammad Raffi Ar Razzaq Pramaditya</t>
  </si>
  <si>
    <t>darulfaqihmalang@gmail.com</t>
  </si>
  <si>
    <t>081</t>
  </si>
  <si>
    <t>PIQ Ba Murtadho</t>
  </si>
  <si>
    <t>Jl. Masjid Ba Murtadho , Dusun Nampes, Baturetno, Kec. Singosari, Kabupaten Malang, Jawa Timur35 m</t>
  </si>
  <si>
    <t>Gus Abdullah Murtadho</t>
  </si>
  <si>
    <t>Rizki Firnanda</t>
  </si>
  <si>
    <t>Muhammad Miqdad</t>
  </si>
  <si>
    <t>082</t>
  </si>
  <si>
    <t>Pondok Pesantren Miftahul Huda Malang (NU)</t>
  </si>
  <si>
    <t>Jl gading pesantren no. 38, Gadingkasri, Klojen, Kota Malang</t>
  </si>
  <si>
    <t>KH. Ahmad Muhamad Arif Yahya</t>
  </si>
  <si>
    <t>Muhammad Ariby Zahron</t>
  </si>
  <si>
    <t>083</t>
  </si>
  <si>
    <t>Pondok Pesantren Nurul Ittihad Kota Malang</t>
  </si>
  <si>
    <t>Jl Kalianyar Perum Alam Buring Inside 2 Blok F4 Kel Wonokoyo Kecamatan Kedungkandang Kota Malang</t>
  </si>
  <si>
    <t>Abi Mujalis, M.Pd</t>
  </si>
  <si>
    <t>Zaydan Muhammad</t>
  </si>
  <si>
    <t>nurulittihad02@gmail.com</t>
  </si>
  <si>
    <t>084</t>
  </si>
  <si>
    <t>pondok pesantren darul qur'an sabilul muttaqin</t>
  </si>
  <si>
    <t>jl. masjid no. 50 pagentan, singosari, malang</t>
  </si>
  <si>
    <t>ust. nasihuddin</t>
  </si>
  <si>
    <t>sultan jamal</t>
  </si>
  <si>
    <t>Rif'an</t>
  </si>
  <si>
    <t>dq.sabilulmuttaqin@gmail.com</t>
  </si>
  <si>
    <t>085</t>
  </si>
  <si>
    <t>PPTQ Putri Al-Falah</t>
  </si>
  <si>
    <t>Jl. Bogor Terusan Bawah No.29 Rt. 02 Rw. 08 Kel. Penanggungan Kec. Klojen Kota Malang</t>
  </si>
  <si>
    <t>Ustadzah Nashihatus Sholihah</t>
  </si>
  <si>
    <t>Azrin Daffa Auliya</t>
  </si>
  <si>
    <t>0857-5553-7174</t>
  </si>
  <si>
    <t>dewiyamma03@gmail.com</t>
  </si>
  <si>
    <t>086</t>
  </si>
  <si>
    <t>Pondok Pesantren Nasruddin Dampit</t>
  </si>
  <si>
    <t>Jl. Segaluh Barat Rt 01 Rw 04 Dampit - Malang</t>
  </si>
  <si>
    <t>KH. Ibadurrohman</t>
  </si>
  <si>
    <t>Muhammad Ismail dan Anang Fathoni</t>
  </si>
  <si>
    <t>himpunansantrialumninasruddin@gmail.com</t>
  </si>
  <si>
    <t>087</t>
  </si>
  <si>
    <t>Pondok Pesantren Al Jazila</t>
  </si>
  <si>
    <t>Perum Puri Raya 2, RT 05 RW 07, Dusun Bulure, Desa Saptorenggo, Kecamatan Pakis, Kabupaten Malang</t>
  </si>
  <si>
    <t>Ahmad Jupri, S.Pd.I</t>
  </si>
  <si>
    <t>Nabila Helmalia</t>
  </si>
  <si>
    <t>media.aljazila@gmail.com</t>
  </si>
  <si>
    <t>088</t>
  </si>
  <si>
    <t>PMTQ Nurul ‘Izzah 2 An Ni’mah</t>
  </si>
  <si>
    <t>Jl. Ahmad yani Rt : 08 Lumbangsari Kec. Bululawang</t>
  </si>
  <si>
    <t>Ag. Achmad Fachrur Rozi, M.pd</t>
  </si>
  <si>
    <t>Rohmatul Awwalin</t>
  </si>
  <si>
    <t>Nurul.izzahdua@gmail.com</t>
  </si>
  <si>
    <t>089</t>
  </si>
  <si>
    <t>PP.AL HAYATUL ISLAMIAH</t>
  </si>
  <si>
    <t>Kh.malik dalam</t>
  </si>
  <si>
    <t>Umik Anik julaiha spdi.mm</t>
  </si>
  <si>
    <t>M.habibi brilian nugroho</t>
  </si>
  <si>
    <t>+62 877-6099-3318</t>
  </si>
  <si>
    <t>090</t>
  </si>
  <si>
    <t>Annur Al Huda</t>
  </si>
  <si>
    <t>Jl suroyudo 04 Ngawonggo Tajinan Malang</t>
  </si>
  <si>
    <t>KH Ridlwan Alkanma,S.Ag</t>
  </si>
  <si>
    <t>Muhammad Yahya</t>
  </si>
  <si>
    <t>annuralhudamts@gmail.com</t>
  </si>
  <si>
    <t>091</t>
  </si>
  <si>
    <t>Pp Miftahul Ulum</t>
  </si>
  <si>
    <t>Jl Surau Bulupayung Krebet Bululawang Malang</t>
  </si>
  <si>
    <t>Kyai Mudhoffar Husen</t>
  </si>
  <si>
    <t>Muhammad Nabil</t>
  </si>
  <si>
    <t>Miftahululumbulupayung@gmail.com</t>
  </si>
  <si>
    <t>092</t>
  </si>
  <si>
    <t>Pondok pesantren Al-ikhlas</t>
  </si>
  <si>
    <t>Jl tirto rt03 rw05 no81 Pagedangan Turen Malang</t>
  </si>
  <si>
    <t>KH.MUHAMMAD CHOIRUL ABIDIN</t>
  </si>
  <si>
    <t>MUHAMMAD NABIL</t>
  </si>
  <si>
    <t>_</t>
  </si>
  <si>
    <t>093</t>
  </si>
  <si>
    <t>Pp Al hayatul Islamiyah</t>
  </si>
  <si>
    <t>Umik Anik zulaiha</t>
  </si>
  <si>
    <t>Habibi brilian</t>
  </si>
  <si>
    <t>094</t>
  </si>
  <si>
    <t>PPAI AL-IHSAN AL-MURTADLO PUTRA PUTRI</t>
  </si>
  <si>
    <t>Jl.Pesantren Gg 2 Blambangan, Krebet, Bululawang, Malang</t>
  </si>
  <si>
    <t>Almaghfurlah KH. Alwi Murtadlo</t>
  </si>
  <si>
    <t>M Syarif Hidayatulloh</t>
  </si>
  <si>
    <t>-</t>
  </si>
  <si>
    <t>095</t>
  </si>
  <si>
    <t>Pondok Pesantren Sentono Agung Darurohman Putri</t>
  </si>
  <si>
    <t>Jl. Pesantren Rt.12/Re.01 Urek-urek Baran Gondanglegi Malang</t>
  </si>
  <si>
    <t>Ibunyai Hj. Sholihah Ihsan</t>
  </si>
  <si>
    <t>Sintiya Syaikhoh</t>
  </si>
  <si>
    <t>@ppsadarurrohmanputri@gmail.com</t>
  </si>
  <si>
    <t>096</t>
  </si>
  <si>
    <t>PP ANNUR 3 MURAH BANYU program Tahfidzul Qur'an</t>
  </si>
  <si>
    <t>Jl. Diponegoro IV Bululawang, Malang</t>
  </si>
  <si>
    <t>Agus Muhammad Ibnu Syuhud</t>
  </si>
  <si>
    <t>Fatimatuz Zakiyah</t>
  </si>
  <si>
    <t>tahfidzputriannur3@gmail.com</t>
  </si>
  <si>
    <t>097</t>
  </si>
  <si>
    <t>Pondok Pesantren Bahrul Maghfirohputri</t>
  </si>
  <si>
    <t>Jl. Joyo Agung No.2, Tlogomas, Kec. Lowokwaru, Kota Malang, Jawa Timur 65144</t>
  </si>
  <si>
    <t>Prof,Dr,Ir,KH Gus Mohammad Bisri MS,IPU</t>
  </si>
  <si>
    <t>Alief Bintang Maulidina Putra Rin Hangdoyo</t>
  </si>
  <si>
    <t>bmchannelindonesia.45@gmail.com</t>
  </si>
  <si>
    <t>098</t>
  </si>
  <si>
    <t>Fastabiqu al-khoirot</t>
  </si>
  <si>
    <t xml:space="preserve">Banjarsari RT.30/RW.05, sindurejo GEDANGAN, KAB. MALANG </t>
  </si>
  <si>
    <t>KH.ABDUL QODIR</t>
  </si>
  <si>
    <t xml:space="preserve">Faiqurrohman </t>
  </si>
  <si>
    <t>082142772821</t>
  </si>
  <si>
    <t>fastabiqulkhoirot088@gmail.com</t>
  </si>
  <si>
    <t>099</t>
  </si>
  <si>
    <t>SALAFIYAH A-SYARICHIN TAJINAN MALANG</t>
  </si>
  <si>
    <t>Jl. Keramat Raya Tajinan</t>
  </si>
  <si>
    <t>KH Ahmad Fathoni</t>
  </si>
  <si>
    <t>Moch Hamzah Rizki</t>
  </si>
  <si>
    <t>088989808999</t>
  </si>
  <si>
    <t>100</t>
  </si>
  <si>
    <t xml:space="preserve">Hidayatul mubtadi'in kembang </t>
  </si>
  <si>
    <t xml:space="preserve">Jln.kembang kecamatan Singosari kabupaten Malang </t>
  </si>
  <si>
    <t xml:space="preserve">KH.Nur Muhammad </t>
  </si>
  <si>
    <t>Yusuf habibi</t>
  </si>
  <si>
    <t>081232573593</t>
  </si>
  <si>
    <t>101</t>
  </si>
  <si>
    <t xml:space="preserve">Pps. ASH SHOLIHUDDIN </t>
  </si>
  <si>
    <t xml:space="preserve">Jl.pesantren no.72 Sumbertangkep Sumbersuko Dampit Malang </t>
  </si>
  <si>
    <t xml:space="preserve">Ibu Nyai Hannan Abdul Harist </t>
  </si>
  <si>
    <t xml:space="preserve">Ifan nurie </t>
  </si>
  <si>
    <t>083846085341</t>
  </si>
  <si>
    <t>102</t>
  </si>
  <si>
    <t xml:space="preserve">Darul Hikmah Druju </t>
  </si>
  <si>
    <t xml:space="preserve">Jln Jendral Sudirman RT 27 RW 06 Sumbermanjing Wetan Malang </t>
  </si>
  <si>
    <t xml:space="preserve">Kyai Akhmad Wardi </t>
  </si>
  <si>
    <t xml:space="preserve">Fannani Abdul Ghofur </t>
  </si>
  <si>
    <t>083845290242</t>
  </si>
  <si>
    <t>Ppdarhik90@gmail.com</t>
  </si>
  <si>
    <t>103</t>
  </si>
  <si>
    <t>Miftahul Ulum Amtsilatu</t>
  </si>
  <si>
    <t>Jl.sidodadi No 01 Dusun Gandong Barat 12/02 Sukolilo Jabung Kab. Malang Jawa Timur</t>
  </si>
  <si>
    <t>K.H Muhammad Najib Badri</t>
  </si>
  <si>
    <t>Muhammad Syahrul arif</t>
  </si>
  <si>
    <t>082332317403</t>
  </si>
  <si>
    <t>ppmuamtsilati @gmail.com</t>
  </si>
  <si>
    <t>104</t>
  </si>
  <si>
    <t>PP MIFTAHUL HUDA PUSAT</t>
  </si>
  <si>
    <t>Jl. pesantren III No.6 Mojosari Kepanjen Malang</t>
  </si>
  <si>
    <t>KH. BADAUDDIN WAHAB</t>
  </si>
  <si>
    <t>RIDHWAN</t>
  </si>
  <si>
    <t>0812-3204-2223</t>
  </si>
  <si>
    <t>105</t>
  </si>
  <si>
    <t>Jawharot Al Muzakky</t>
  </si>
  <si>
    <t>Jl Trunojoyo rt 06 rw 02 Desa Sukosari Kec. Gondanglegi</t>
  </si>
  <si>
    <t>KH Faruq Ubaidillah</t>
  </si>
  <si>
    <t>Ahmad Arif Kurniawan</t>
  </si>
  <si>
    <t>085847678967</t>
  </si>
  <si>
    <t>@JawharotAlmuzakky01</t>
  </si>
  <si>
    <t>02</t>
  </si>
  <si>
    <t>106</t>
  </si>
  <si>
    <t>Pondok Pesantren Salafiyah Al-Fattah</t>
  </si>
  <si>
    <t>Jl. Kertanegara No.85, Candirenggo, Kec. Singosari, Kabupaten Malang, Jawa Timur 65153</t>
  </si>
  <si>
    <t>KH. A. MUTAMAKKIN RIFA'I</t>
  </si>
  <si>
    <t>gallery_alfeth</t>
  </si>
  <si>
    <t>Pondok Pesantren Alfattah</t>
  </si>
  <si>
    <t>Abdurrohman</t>
  </si>
  <si>
    <t>Ketua</t>
  </si>
  <si>
    <t>087756624324</t>
  </si>
  <si>
    <t>Pps.alfattah85@gmail.com</t>
  </si>
  <si>
    <t>03</t>
  </si>
  <si>
    <t>107</t>
  </si>
  <si>
    <t>Pondok Pesantren Miftahul Huda</t>
  </si>
  <si>
    <t>Jl. Sunan Ampel No.61 Dusun Randugembolo Kecamatan Singosari</t>
  </si>
  <si>
    <t>KH. Mahmud Abdillah</t>
  </si>
  <si>
    <t xml:space="preserve"> ppmhrandugembolo</t>
  </si>
  <si>
    <t>Ma'ruf (Admin 1) dan Zaky (Admin 2)</t>
  </si>
  <si>
    <t>Pengurus</t>
  </si>
  <si>
    <t xml:space="preserve"> ppmhrandugembolo99@gmail.com</t>
  </si>
  <si>
    <t>04</t>
  </si>
  <si>
    <t>108</t>
  </si>
  <si>
    <t>Pondasi Agama Darul Unsi Littholibin</t>
  </si>
  <si>
    <t>Dusun Krajan RT 14 RW 05 Desa Kasri Kec. Bululawang</t>
  </si>
  <si>
    <t>Samsul Anas</t>
  </si>
  <si>
    <t>proses membuat</t>
  </si>
  <si>
    <t>Tubagus Maulana Yusuf</t>
  </si>
  <si>
    <t>082332827292</t>
  </si>
  <si>
    <t>tidak ada</t>
  </si>
  <si>
    <t>05</t>
  </si>
  <si>
    <t>109</t>
  </si>
  <si>
    <t xml:space="preserve">PONDOK PESANTREN PUTRI SALAFIYAH AL HASANI </t>
  </si>
  <si>
    <t>Patoklengki PakisJajar Rt.001 Rw.001 Pakis Malang Jawa Timur 65154 Maps : Pondok Pesantren Putri Salafiyah Al Hasani</t>
  </si>
  <si>
    <t>ABAH KH IMAM MASLUHI</t>
  </si>
  <si>
    <t>alhasanitv</t>
  </si>
  <si>
    <t>PonPes Al-Hasani</t>
  </si>
  <si>
    <t>ppalhasani</t>
  </si>
  <si>
    <t>celya choirunisa</t>
  </si>
  <si>
    <t xml:space="preserve">ketua </t>
  </si>
  <si>
    <t>ponpesalhasani37@gmail.com</t>
  </si>
  <si>
    <t>06</t>
  </si>
  <si>
    <t>110</t>
  </si>
  <si>
    <t>PP RAUDLATUL ULUM 2</t>
  </si>
  <si>
    <t>RAFFI HAMDAN</t>
  </si>
  <si>
    <t>KH QOSIM BUKHORI</t>
  </si>
  <si>
    <t>PPRU2TV</t>
  </si>
  <si>
    <t>PPRU2MALANG</t>
  </si>
  <si>
    <t>Tidak ada</t>
  </si>
  <si>
    <t>PPRU2MEDIAMALANG</t>
  </si>
  <si>
    <t>Santriputuk</t>
  </si>
  <si>
    <t>Syihabuddin m.z</t>
  </si>
  <si>
    <t>Anggota</t>
  </si>
  <si>
    <t>082143715856</t>
  </si>
  <si>
    <t>pprumedia@gmail.com</t>
  </si>
  <si>
    <t>07</t>
  </si>
  <si>
    <t>111</t>
  </si>
  <si>
    <t>Pesantren Prestasi Al-Ihsan Putri</t>
  </si>
  <si>
    <t>Jl. Jombang I No.8b, Gading Kasri, Kec. Klojen, Kota Malang, Jawa Timur 65115</t>
  </si>
  <si>
    <t>Buya KH. Nursalim MAFA</t>
  </si>
  <si>
    <t>Pesantren Jalan Jombang (Al-Ihsan)</t>
  </si>
  <si>
    <t>Pesantren Al-Ihsan</t>
  </si>
  <si>
    <t>pesantren_alihsan</t>
  </si>
  <si>
    <t xml:space="preserve">pesantren_alihsan </t>
  </si>
  <si>
    <t>Moch. Naqii Wannaufal</t>
  </si>
  <si>
    <t>083849191511</t>
  </si>
  <si>
    <t>aakun514@gmail.com</t>
  </si>
  <si>
    <t>Jumlah anggota</t>
  </si>
  <si>
    <t>Pondok Pesantren Mamba'ul Hikam</t>
  </si>
  <si>
    <t>Dsn. Wonorejo Rt.04/Rw.01 Ds. Slemanan Kec. Udanawu Kab. Blitar</t>
  </si>
  <si>
    <t>Kab. Blitar</t>
  </si>
  <si>
    <t>KH. M. Dliya'uddin Azz.</t>
  </si>
  <si>
    <t>Agus Ja'far Sodiq</t>
  </si>
  <si>
    <t>M. Afifulloh A.</t>
  </si>
  <si>
    <t>https://goo.gl/maps/YM8w9MtNYwdfn1im9</t>
  </si>
  <si>
    <t>Pondok Pesantren Apis</t>
  </si>
  <si>
    <t>Jl. Desa Gondang, Dsn. Sanan, Ds. Gondang, Kec. Gandusari, Kab. Blitar</t>
  </si>
  <si>
    <t>KH. Imam Suhrowardi, KH. Ibnu Mundzir, KH. Mas'ud Jamhuri</t>
  </si>
  <si>
    <t>Hadi Musthofa</t>
  </si>
  <si>
    <t>Ahmad Hadziq KN.</t>
  </si>
  <si>
    <t>https://maps.app.goo.gl/SRCfntXFSM9UedmC7</t>
  </si>
  <si>
    <t>apisblitar@gmail.com</t>
  </si>
  <si>
    <t>Pondok Pesantren Terpadu Al Kamal</t>
  </si>
  <si>
    <t>Jl. Kh. Manshur No. 9 Kode Pos 66155 Po. Box. 003 Kunir Wonodadi Blitar Jawa Timur</t>
  </si>
  <si>
    <t>KH. Dr. Asmawi Mahfudz, M.Ag</t>
  </si>
  <si>
    <t>Misbahul Khoironi, S.H</t>
  </si>
  <si>
    <t>Safaat Abdul Ghofur, S.H</t>
  </si>
  <si>
    <t>https://maps.app.goo.gl/onaEaPeQfMfYHkRc7</t>
  </si>
  <si>
    <t>ppalkamal@gmail.com</t>
  </si>
  <si>
    <t>Pondok Pesantren Darul Huda</t>
  </si>
  <si>
    <t>Jl. Soekarno Hatta 29 Gambar-Wonodadi-Blitar 66155</t>
  </si>
  <si>
    <t>KH. Asyharul Muttaqin, S.Pd., M.Ag.</t>
  </si>
  <si>
    <t>Astri Ibadiyah</t>
  </si>
  <si>
    <t>M. Milzam Ainun Najib</t>
  </si>
  <si>
    <t>https://maps.app.goo.gl/oryNdzGoJmGBAxkAA</t>
  </si>
  <si>
    <t>yppdarulhuda@yahoo.com</t>
  </si>
  <si>
    <t>Pondok Pesantren Mambaus Sholihin 2 Blitar</t>
  </si>
  <si>
    <t>Sumber Rt 1 Rw 1 Sanankulon Blitar</t>
  </si>
  <si>
    <t>Kiai Dr. Moh. Zainul Fajeri, M.Ag</t>
  </si>
  <si>
    <t>Angga Luki Mahendra, S.Kom</t>
  </si>
  <si>
    <t>Imam Diyan Safi'i, S.Pd</t>
  </si>
  <si>
    <t>https://maps.app.goo.gl/jXEwTND4BDgD2jtY6</t>
  </si>
  <si>
    <t>mabaussholihin2blitar@gmail.com</t>
  </si>
  <si>
    <t>Pondok Pesantren Mambaul Falah</t>
  </si>
  <si>
    <t>Jl. Trisula No. 17 Rt. 02 Rw. 01 Ds. Lorejo Kecamatan Bakung Kabupaten Blitar</t>
  </si>
  <si>
    <t>Mohammad Ali Wafa</t>
  </si>
  <si>
    <t>Gus Wafa</t>
  </si>
  <si>
    <t>Ahmad Zamzamiy Mushoffa Zain</t>
  </si>
  <si>
    <t>https://www.google.com/maps/place/Pondok+Pesantren+Mambaul+Falah+Lorejo+Bakung+Blitar/@-8.2329274,112.1225597,19.63z/data=!4m12!1m6!3m5!1s0x0:0x3a2f0c4f4d836876!2sPondok+Pesantren+Mambaul+Falah+Lorejo+Bakung+Blitar!8m2!3d-8.2327297!4d112.1223578!3m4!1s0x0:0x3a2f0c4f4d836876!8m2!3d-8.2327297!4d112.1223578</t>
  </si>
  <si>
    <t>yayasanmambaulfalahblitar@gmail.com</t>
  </si>
  <si>
    <t>Pondok Pesantren Abul Faidl</t>
  </si>
  <si>
    <t>Jl Masjid Sunan Ampel No1 Bakalan Wonodadi Blitar</t>
  </si>
  <si>
    <t>KH.M.Fahim Ridho Ihsan</t>
  </si>
  <si>
    <t>saichul munir</t>
  </si>
  <si>
    <t>abdul mughits</t>
  </si>
  <si>
    <t>Pondok Pesantren Mamba'ul Hikam 2</t>
  </si>
  <si>
    <t>Karanggayam Srengat</t>
  </si>
  <si>
    <t>Agus muhammad iqdam</t>
  </si>
  <si>
    <t>Ilham burhanudin</t>
  </si>
  <si>
    <t>Link map https://maps.app.goo.gl/ArU1byDRUMM4zgkV9</t>
  </si>
  <si>
    <t>Pondok Pesantren Bustanul Muta'allimin As-Salafy</t>
  </si>
  <si>
    <t>Jl. Sungai Hilir Timur No 05 Dawuhan Kauman Kepanjen Kidul Kota Blitar</t>
  </si>
  <si>
    <t>Kota Blitar</t>
  </si>
  <si>
    <t>KH. Abdul Chalim Zahid</t>
  </si>
  <si>
    <t>Edi Nur Prasetyo</t>
  </si>
  <si>
    <t>Pondok Pesantren Al Falah Jeblog</t>
  </si>
  <si>
    <t>Jalan Semboja Nomor 35, Dusun Pundensari RT 004, RW 001, Desa Jeblog, Kecamatan Talun, Kabupaten Blitar</t>
  </si>
  <si>
    <t>Kabupaten Blitar</t>
  </si>
  <si>
    <t>KH. Moh. Ardani Ahmad</t>
  </si>
  <si>
    <t>Husna Kholila</t>
  </si>
  <si>
    <t>Arif Faizin</t>
  </si>
  <si>
    <t>+62 856-5517-2543</t>
  </si>
  <si>
    <t>PP AL-FALAH JEBLOG 0857-3644-3802 https://goo.gl/maps/nxWkqgELS5vLS9Nw9</t>
  </si>
  <si>
    <t>alfalahjeblog@gmail.com</t>
  </si>
  <si>
    <t>Pondok Pesantren Asy Syukur</t>
  </si>
  <si>
    <t>Jl. Ahmad Yani, Sembon Satreyan Kanigoro Blitar</t>
  </si>
  <si>
    <t>Kh. Abdullah Mu'thi</t>
  </si>
  <si>
    <t>Muhammad Asroful Hidayat</t>
  </si>
  <si>
    <t>yayasan.asysyukur.blitar@gmail.com</t>
  </si>
  <si>
    <t>Pondok Pesantren Al Sa'diyyah</t>
  </si>
  <si>
    <t>Mantenan Udanawu Blitar</t>
  </si>
  <si>
    <t>Blitar</t>
  </si>
  <si>
    <t>Ibu Nyai Hubby Nur Amami</t>
  </si>
  <si>
    <t>Riana Fariska</t>
  </si>
  <si>
    <t>Siti mukaromah</t>
  </si>
  <si>
    <t>https://maps.app.goo.gl/unHGU2CwKH6C8mSw5</t>
  </si>
  <si>
    <t>assadiyyahmantenan1@gmail.com</t>
  </si>
  <si>
    <t>PPTQ Assalafi Walisongo</t>
  </si>
  <si>
    <t>Dsn. Ngrawan Rt 02 Rw 04 Ds. Rejosari Kec. Wonodadi Kab. Blitar</t>
  </si>
  <si>
    <t>KH. Abdul Kholid Asnawi &amp; Ny. Istifadah Tajwid</t>
  </si>
  <si>
    <t>Krisna Bayu Saputra</t>
  </si>
  <si>
    <t>Ahmad Junaidi, MUHAMMAD ALINIFAN</t>
  </si>
  <si>
    <t>82334199627, 082142327243</t>
  </si>
  <si>
    <t>https://maps.app.goo.gl/nTKsdbrp9aLMx3qo7</t>
  </si>
  <si>
    <t>pptqwalisongo@gmail.com</t>
  </si>
  <si>
    <t>Pondok Pesantren Putri Tahfidzul Qur'an Bustanul Muta'allimat Kota Blitar</t>
  </si>
  <si>
    <t>Jalan Sungai Hilir Timur No.15 Dawuhan Kauman Kepanjenkidul Kota Blitar Jawa Timur</t>
  </si>
  <si>
    <t>Kyai Abdullah Farikh, S.T.h,I.M.M.</t>
  </si>
  <si>
    <t>Nabilatul Fikriya</t>
  </si>
  <si>
    <t>Tazkia Naila Akmala</t>
  </si>
  <si>
    <t>https://goo.gl/maps/mVfvEx7HLKp7FtoM9</t>
  </si>
  <si>
    <t>ppbusmat100@gmail.com</t>
  </si>
  <si>
    <t>Pondok Pesantren Jati Sanan</t>
  </si>
  <si>
    <t>Lingk.Jati-Kel.Kamulan-Kec.Talun-Blitar</t>
  </si>
  <si>
    <t>KH.Ahmad Tamim,SH.I.MH</t>
  </si>
  <si>
    <t>Musyfiq Al Mari</t>
  </si>
  <si>
    <t>M.Ariffuddin</t>
  </si>
  <si>
    <t>smaaljumhuri@gmail.com</t>
  </si>
  <si>
    <t>PPTQ FATHUL HUDA</t>
  </si>
  <si>
    <t>Ringinanom - Udanawu - Blitar</t>
  </si>
  <si>
    <t>Kyai Miftahul Huda M.Pd.I</t>
  </si>
  <si>
    <t>Akmal Hilda Ilmi</t>
  </si>
  <si>
    <t>081259427695</t>
  </si>
  <si>
    <t>Pondok Lirboyo IV Cabang Santren</t>
  </si>
  <si>
    <t>Ds. Tanggung Kec. Kepanjenkidul Kota Blitar</t>
  </si>
  <si>
    <t>Kyai In'amul Aufa</t>
  </si>
  <si>
    <t>Muhammad Arina Rusda</t>
  </si>
  <si>
    <t>081238583461</t>
  </si>
  <si>
    <t>PP. Nurul Iman</t>
  </si>
  <si>
    <t>Jalan Raya Garum 41 Kec Garum Kab Blitar</t>
  </si>
  <si>
    <t>KH SAIFUL BAKHRI</t>
  </si>
  <si>
    <t>Tria</t>
  </si>
  <si>
    <t xml:space="preserve">085755644211 </t>
  </si>
  <si>
    <t>PONPES SALAFIYAH DARUR ROJA'</t>
  </si>
  <si>
    <t>JL. KH WAHID HASYIM SELOKAJANG SRENGAT BLITAR</t>
  </si>
  <si>
    <t>AGUS MUHAMMAD ALI SAIFULLAH</t>
  </si>
  <si>
    <t>SYARIF HIDAYATULLAH</t>
  </si>
  <si>
    <t>085815139866</t>
  </si>
  <si>
    <t>Tarbiyatul muballighin tuliskriyo</t>
  </si>
  <si>
    <t>V582+R6M, Tuliskriyo, Kec. Sanankulon, Kabupaten Blitar, Jawa Timur 66151</t>
  </si>
  <si>
    <t>Kyai Ahmad Masroir</t>
  </si>
  <si>
    <t>Dhodi pujo asmoro</t>
  </si>
  <si>
    <t>081288313475</t>
  </si>
  <si>
    <t>Pondok Pesantren Al-Muhsin SMK Islam 1 Blitar</t>
  </si>
  <si>
    <t xml:space="preserve">Jl. Musi No. 6 </t>
  </si>
  <si>
    <t>KH. Subakir, M.Ag.</t>
  </si>
  <si>
    <t>Al-Muhsin Media</t>
  </si>
  <si>
    <t>083875337282</t>
  </si>
  <si>
    <t>PP MANBA'UL HIDAYAH</t>
  </si>
  <si>
    <t>Dusun Salam Rt/Rw 03/01 Desa Kedawung Kec Nglegok</t>
  </si>
  <si>
    <t>Kyai Syamsul Hadi</t>
  </si>
  <si>
    <t>Khamim Arif Azizi</t>
  </si>
  <si>
    <t>085816514829</t>
  </si>
  <si>
    <t>FATHUL HUDA</t>
  </si>
  <si>
    <t xml:space="preserve">RT 4 RW 4 desa Ringinanom kecamatan Udanawu Kabupaten Blitar </t>
  </si>
  <si>
    <t>Kyai Miftahul Huda</t>
  </si>
  <si>
    <t>M.khoirul Huda</t>
  </si>
  <si>
    <t>+62 821-4282-6515</t>
  </si>
  <si>
    <t>fathulhuda271@gmail.com</t>
  </si>
  <si>
    <t>Jl masjid sunan ampel no 1 bakalan wonodadi blitar</t>
  </si>
  <si>
    <t>Kh.Fahim Ridho Ihsan</t>
  </si>
  <si>
    <t>Kafabi fahmi indana</t>
  </si>
  <si>
    <t>081615969813</t>
  </si>
  <si>
    <t>abfaycommunity@gmail.com</t>
  </si>
  <si>
    <t xml:space="preserve">pptq al-barokah </t>
  </si>
  <si>
    <t>Jl. Raya Trisula No.33, Gogourung, Dawuhan, Kec. Kademangan, Kabupaten Blitar, Jawa Timur 66161</t>
  </si>
  <si>
    <t>H. muhaimin bin said , Hj. mi'rojul asyaroh</t>
  </si>
  <si>
    <t>Nilna fadhilatul fitri , zahrotul aulia</t>
  </si>
  <si>
    <t>082143600029</t>
  </si>
  <si>
    <t>pptqalba@gmail.com</t>
  </si>
  <si>
    <t>Pondok Pesantren Tahfidzul Qur'an Hidayatul Mubtadi'in</t>
  </si>
  <si>
    <t>Jl. Mawar No. 40 Link. Sawahan Satreyan Kanigoro Blitar</t>
  </si>
  <si>
    <t>Abah H.M Riza Zakaria, Ibu Nyai Hj. Hurun In</t>
  </si>
  <si>
    <t>Khurun In</t>
  </si>
  <si>
    <t>085704148405</t>
  </si>
  <si>
    <t>p4tqhm.blitar@gmail.com</t>
  </si>
  <si>
    <t>ponpes mamba'ul hikam</t>
  </si>
  <si>
    <t>Mambaul Hikam, RT./Rw/RW.004/001, Wonorejo, Slemanan, Kabupaten Blitar, Jawa Timur ∙</t>
  </si>
  <si>
    <t>KH. Dliyauddinazamzami</t>
  </si>
  <si>
    <t>Handy ferditiansah</t>
  </si>
  <si>
    <t>0859193773484
085804776049</t>
  </si>
  <si>
    <t>Pondok Pesantren Nurul Ulum</t>
  </si>
  <si>
    <t>Jalan Ciliwung no. 32 E Kepanjenkidul Kota Blitar</t>
  </si>
  <si>
    <t>Arif Rochman Hakim</t>
  </si>
  <si>
    <t>Lailatus Sa'adah</t>
  </si>
  <si>
    <t>asramaputrinu@gmail.com</t>
  </si>
  <si>
    <t>PONDOK PESANTREN HUFFADZ PUTRI AL FALAH</t>
  </si>
  <si>
    <t>Suweden, Kolomayan, Kec. Wonodadi, Kabupaten Blitar, Jawa Timur 66155</t>
  </si>
  <si>
    <t>BPK.H.HILALUDIN DAN IBU NYAI HJ.ROBI'AH ADAWIYAH</t>
  </si>
  <si>
    <t>SITI ZULFA ZUBAIDAH</t>
  </si>
  <si>
    <t>0856-0974-0237</t>
  </si>
  <si>
    <t>pondokpesantrenhuffadzalfalah@gmail.com</t>
  </si>
  <si>
    <t>Mamba'ul Hikam Mantenan</t>
  </si>
  <si>
    <t>M. Hanif Hidayatul Wafa</t>
  </si>
  <si>
    <t>mambaulhikaminduk@gmail.com</t>
  </si>
  <si>
    <t xml:space="preserve">Pondok Pesantren Hidayatul Qurro' </t>
  </si>
  <si>
    <t>RT 2 RW 5 Ds.Pikatan Kec.Wonodadi Kab.Blitar</t>
  </si>
  <si>
    <t>Ibu Nyai Irnada Al Anati</t>
  </si>
  <si>
    <t xml:space="preserve">PP.Hidayatul Qurro' </t>
  </si>
  <si>
    <t xml:space="preserve">PP.Hidayatul Qurro' Pikatan </t>
  </si>
  <si>
    <t>pphq_blitar</t>
  </si>
  <si>
    <t>Muhammad Bagus Aufus Shofi</t>
  </si>
  <si>
    <t xml:space="preserve">Ketua Media Pondok </t>
  </si>
  <si>
    <t>+62 856-9316-4493</t>
  </si>
  <si>
    <t>pphidayatulqurro@gmail.com</t>
  </si>
  <si>
    <t xml:space="preserve">Iqtaada alaika robbanyy </t>
  </si>
  <si>
    <t>Pondokk pesantren Al-Falah Jeblog</t>
  </si>
  <si>
    <t>KH Moh Ardani Bin Ahmad</t>
  </si>
  <si>
    <t>AL-FALAH JEBLOG</t>
  </si>
  <si>
    <t>Al-falah Jeblog</t>
  </si>
  <si>
    <t>alfalahjeblog</t>
  </si>
  <si>
    <t>www.alfalahjeblog.com</t>
  </si>
  <si>
    <t>alfalahjeblog.media</t>
  </si>
  <si>
    <t>Muh. Narendra</t>
  </si>
  <si>
    <t>081977186999</t>
  </si>
  <si>
    <t>alfalahjeblog@gmail.cok</t>
  </si>
  <si>
    <t xml:space="preserve">Pondok Pesantren Al-Falah Kolomayan </t>
  </si>
  <si>
    <t xml:space="preserve">Desa Kolomayan, Kecamatan Wonodadi, Kabupaten Blitar, Provinsi Jawa Timur </t>
  </si>
  <si>
    <t xml:space="preserve">Romo Kyai Agus Muhammad Tajuddin </t>
  </si>
  <si>
    <t xml:space="preserve">Ponpes Al-Falah Kolomayan </t>
  </si>
  <si>
    <t>alfalah.kolomayan</t>
  </si>
  <si>
    <t xml:space="preserve">Alfina Rahmadani </t>
  </si>
  <si>
    <t xml:space="preserve">Editor &amp; Admin Sosial Media Pondok Pesantren Al-Falah Kolomayan </t>
  </si>
  <si>
    <t>+6285755161860</t>
  </si>
  <si>
    <t>Pondok Pesantren Al-Aqsho</t>
  </si>
  <si>
    <t>Jl. Mawar, Dusun Jatiluhur, Jatitengah, Kec. Selopuro, Kabupaten Blitar, Jawa Timur 66185</t>
  </si>
  <si>
    <t>K.H. Hadi Muchlison</t>
  </si>
  <si>
    <t>Al-Aqsho KMI/@alaqshokmi</t>
  </si>
  <si>
    <t xml:space="preserve">PonPes Modern Al-aqsho </t>
  </si>
  <si>
    <t>@ponpesalaqsho_</t>
  </si>
  <si>
    <t>Muhammad Ghazy Adila</t>
  </si>
  <si>
    <t>Ketua Multimedia Pondok Pesantren Al-Aqsho</t>
  </si>
  <si>
    <t>085179785608</t>
  </si>
  <si>
    <t>+62 851 7978 5608</t>
  </si>
  <si>
    <t xml:space="preserve">mahad.alaqsho.selopuro@gmail.com </t>
  </si>
  <si>
    <t>Pondok Pesantren Menara Al-Fattah Tulungagung</t>
  </si>
  <si>
    <t>Sumberagung Munjungan Trenggalek</t>
  </si>
  <si>
    <t>Trenggalek</t>
  </si>
  <si>
    <t>KH. Abdul Latif</t>
  </si>
  <si>
    <t>Sinta Khurin Nuriyah</t>
  </si>
  <si>
    <t>Zaenal Fanani</t>
  </si>
  <si>
    <t>https://maps.app.goo.gl/KDGJprsG6VGj6EHY6</t>
  </si>
  <si>
    <t>pondoksumberagung48@gmail.com</t>
  </si>
  <si>
    <t>Pondok Pesantren Hidayatut Thullab (Pondok Tengah)</t>
  </si>
  <si>
    <t>Kamulan Durenan Trenggalek Jawa Timur 66381</t>
  </si>
  <si>
    <t>KH. Bahrul Munir dan K. Baha'uddin Nafi'i</t>
  </si>
  <si>
    <t>M. Khoirul Anam</t>
  </si>
  <si>
    <t>Riza Rijalul Mufid</t>
  </si>
  <si>
    <t>https://maps.app.goo.gl/GeM3YTwkrLeQ868GA</t>
  </si>
  <si>
    <t>pondoktengah.kamulan@gmail.com</t>
  </si>
  <si>
    <t>Pondok Pesantren Putra-Putri Darissulaimaniyyah</t>
  </si>
  <si>
    <t>Jl.kedung banteng no12. Rt.11 Rw.o2 Ds.Kamulan Kec.Durenan Kab.Trenggalek</t>
  </si>
  <si>
    <t>KH. Nurkhotib</t>
  </si>
  <si>
    <t>Hubby Lubis Al Azhar</t>
  </si>
  <si>
    <t>https://maps.app.goo.gl/4nSW4XXN8iUSJ3Ps8</t>
  </si>
  <si>
    <t>pondoklorkamulan@gmail.com</t>
  </si>
  <si>
    <t>Pondok Pesantren Bait At Taqwa - Pondok Gubug</t>
  </si>
  <si>
    <t>RT 27 RW 10 KEDUNGLURAH, POGALAN, TRENGGALEK</t>
  </si>
  <si>
    <t>KH. Muhammad Cholifah Sholeh SAS</t>
  </si>
  <si>
    <t>Muhamad Faizal Muttaqi</t>
  </si>
  <si>
    <t>https://maps.app.goo.gl/YnH5qd7e3rcKbwkr8</t>
  </si>
  <si>
    <t>pondokgubugkedunglurah@gmail.com</t>
  </si>
  <si>
    <t>Pondok Pesatren Hidayatut Thullab</t>
  </si>
  <si>
    <t>Kamulan Durenan Trenggalek</t>
  </si>
  <si>
    <t>1. KH. Bahrul Munir 2. K. Baha'uddin Nafi'i</t>
  </si>
  <si>
    <t>Za'imun Nadzor</t>
  </si>
  <si>
    <t>Amin Al Madani</t>
  </si>
  <si>
    <t>https://www.glunis.com/ID/Trenggalek/1613605725529107/Pondok-Tengah#</t>
  </si>
  <si>
    <t>Pondok Pesantren Putra Menara Al Fattah</t>
  </si>
  <si>
    <t>Mangunsari Kecamatan Kedungwaru Kabupaten Tulungagung</t>
  </si>
  <si>
    <t>Tulungagung</t>
  </si>
  <si>
    <t>Romo KH. Ibnu Katsir Siroj</t>
  </si>
  <si>
    <t>Muhammad Zaenul Haq</t>
  </si>
  <si>
    <t>Muhammad Nabila Hilmi Mustofa</t>
  </si>
  <si>
    <t>https://maps.app.goo.gl/vNii3myk6QfL8EN27</t>
  </si>
  <si>
    <t>Pondok Pesatren Hidayatul Mubtadi-Ien Ngunut Tulungagung</t>
  </si>
  <si>
    <t>Jln. Raya I No. 34 Ngunut Tulungagung Jawa Timur</t>
  </si>
  <si>
    <t>KH. Mahrus Maryani</t>
  </si>
  <si>
    <t>M. Faiz Fathurrohman</t>
  </si>
  <si>
    <t>M. As`ad Al-Faidl</t>
  </si>
  <si>
    <t>https://goo.gl/maps/zUDgdc9HhY4NG6rbA</t>
  </si>
  <si>
    <t>ngunutpondok@gmail.com dan majalahmadani567@gmail.com</t>
  </si>
  <si>
    <t>Pondok Pesantren Al-Kautsar Durenan</t>
  </si>
  <si>
    <t>RT.02 RW.01 Ds.Durenan Kec.Durenan Kab.Trenggalek,66381</t>
  </si>
  <si>
    <t>KH.Moch.Hasan Buchori</t>
  </si>
  <si>
    <t>Muhammad Anshor</t>
  </si>
  <si>
    <t>Haela Mardiyanti</t>
  </si>
  <si>
    <t xml:space="preserve">+62 856-0785-1206
</t>
  </si>
  <si>
    <t>https://goo.gl/maps/LJzQPTHQdECSKzHDA</t>
  </si>
  <si>
    <t>ppal.kautsardrn@gmail.com</t>
  </si>
  <si>
    <t>Pondok Pesantren Tarbiyyatul Qur'an Al-Mannan</t>
  </si>
  <si>
    <t>Kauman, kalangbret, tulungagung</t>
  </si>
  <si>
    <t>KH Ahmad Nasukhi</t>
  </si>
  <si>
    <t>Ahmada zahid khabibulloh</t>
  </si>
  <si>
    <t>Syihabuddin Ahmad</t>
  </si>
  <si>
    <t xml:space="preserve">+62 857-4541-0159
</t>
  </si>
  <si>
    <t>Pesantren Mahasiswa Mamba’ul Ma’arif Tulungagung (Pesma Mama)</t>
  </si>
  <si>
    <t>Ds Mekarsari Rt 3 RW 1 Tunggulsari Kedungwaru Tulungagung</t>
  </si>
  <si>
    <t>KH. Husnul Haq, L.c., M.A., Ph.D</t>
  </si>
  <si>
    <t>Mila</t>
  </si>
  <si>
    <t>PP. MAMBAUL MA'ARIF TULUNGAGUNG https://goo.gl/maps/QFUWSN9LtTyLRMiJ7</t>
  </si>
  <si>
    <t>Pesma.mama@gmail.com</t>
  </si>
  <si>
    <t>Pondok Pesantren Ma'hadul Ilmi Wal Amal</t>
  </si>
  <si>
    <t>Jln.pattimura II/17,RT.01,RW.03,Pacet, Moyoketen, Kec. Boyolangu, Kabupaten Tulungagung, Jawa Timur</t>
  </si>
  <si>
    <t>KH.Syamsul Umam Aziz</t>
  </si>
  <si>
    <t>Asrofi</t>
  </si>
  <si>
    <t xml:space="preserve">+62 813-5895-5213
</t>
  </si>
  <si>
    <t>Ponpes MIA (Ma'hadul 'Ilmi Wal 'Amal) Pacet, Moyoketen, Kec. Boyolangu, Kabupaten Tulungagung, Jawa Timur 66271 0812-5944-0081 https://maps.app.goo.gl/i3LSTWCrsq5yK37MA</t>
  </si>
  <si>
    <t>Pondok Pesantren Bumi Hidayah At-Taqwa</t>
  </si>
  <si>
    <t>Rt.27 Rw.10 Ds.kedunglurah,Kec.pogalan,Kab.trenggalek</t>
  </si>
  <si>
    <t>KH.Muhamad Fatkhulloh Sholeh</t>
  </si>
  <si>
    <t>Fahim mubarok</t>
  </si>
  <si>
    <t>mohamad mu'ainul amri</t>
  </si>
  <si>
    <t>VQPG+5GH, RT.27/RW.10, Tanggung, Kedunglurah, Kec. Pogalan, Kabupaten Trenggalek, Jawa Timur 66371</t>
  </si>
  <si>
    <t>ppbumihidayahattaqwa@gmail.com</t>
  </si>
  <si>
    <t>Pondok Pesantren Anwarul Haromain</t>
  </si>
  <si>
    <t>Jl Raya Baruharjo, Durenan, Trenggalek, Jawa Timur 66381</t>
  </si>
  <si>
    <t>KH Bahrul Munir</t>
  </si>
  <si>
    <t>Muhamad Luqmanul Hakim</t>
  </si>
  <si>
    <t>Lukman Fauzi</t>
  </si>
  <si>
    <t>https://www.google.com/maps/place/Pondok+Pesantren+Anwarul+Haromain/@-8.0978827,111.8231416,18.02z/data=!4m5!3m4!1s0x2e791daa45d73621:0xab099dfc2f902a94!8m2!3d-8.0974718!4d111.8229913</t>
  </si>
  <si>
    <t>alanwardurenan@gmail.com</t>
  </si>
  <si>
    <t>Pondok Pesantren Bustanu Usyaqil Qur'an [PPBUQ] Kaliwungu</t>
  </si>
  <si>
    <t>Pondok Pesantren Bustanu Usyaqil Qur’an Dsn. Umbutsewu, RT 02 RW 02, Ds. Kaliwungu, Kec. Ngunut, Kab. Tulungagung, Prov. Jawa Timur 66292</t>
  </si>
  <si>
    <t>Kyai. Ahmad Marzuqi, S.Th.I, M.Pd.I</t>
  </si>
  <si>
    <t>Reka Sakhinatur Rochma</t>
  </si>
  <si>
    <t>Choni'atul Kumaidah</t>
  </si>
  <si>
    <t>https://maps.app.goo.gl/QfZBxtrcsS1rpecV9</t>
  </si>
  <si>
    <t>ppbuqkaliwungu11@gmail.com</t>
  </si>
  <si>
    <t>Pondok Pesantren Ar-Ridwan</t>
  </si>
  <si>
    <t>JL. Soekarno-Hatta Gg Durian No. 22A Kelutan Trenggalek</t>
  </si>
  <si>
    <t>KH. Ridlo Mahbub</t>
  </si>
  <si>
    <t>Yusuf Imam Ali Syafi'i</t>
  </si>
  <si>
    <t>Lirboyo</t>
  </si>
  <si>
    <t>Ds. Mojosari Kec. Kauman Kab. Tulungagung</t>
  </si>
  <si>
    <t>Kabupaten Tulungagung</t>
  </si>
  <si>
    <t>KH. Nasihudin Alwi</t>
  </si>
  <si>
    <t>Pondok Pesantren Bahrul Ulum Kedungbajul</t>
  </si>
  <si>
    <t xml:space="preserve">Jl. Raya Durenan - Bandung Gg. Kedungbajul Ds. Ngadisuko Kec. Durenan Kab. Trenggalek </t>
  </si>
  <si>
    <t>Kabupaten Trenggalek</t>
  </si>
  <si>
    <t>KH. Ibnu Mukti</t>
  </si>
  <si>
    <t>Saiq AlMubarok</t>
  </si>
  <si>
    <t>Fajrul Falah Maula Saiq</t>
  </si>
  <si>
    <t>089617476965</t>
  </si>
  <si>
    <t>0895397005490</t>
  </si>
  <si>
    <t>Ponpes Al-Ma'rifah Darunnajah</t>
  </si>
  <si>
    <t>Jl. Sukarno Hatta No.26, Kelutan, Kec. Trenggalek, Kabupaten Trenggalek, Jawa Timur 66313, Indonesia</t>
  </si>
  <si>
    <t>M Qosim</t>
  </si>
  <si>
    <t>Maulida Eriana</t>
  </si>
  <si>
    <t>0856-8727-299</t>
  </si>
  <si>
    <t>Pondok pesantren Al-Ghozali</t>
  </si>
  <si>
    <t>Jl. Pondok Bolu, Bolu, Punjul, Kec. Karangrejo, Kabupaten Tulungagung, Jawa Timur 66253</t>
  </si>
  <si>
    <t>KH. Muhsin Ghozali</t>
  </si>
  <si>
    <t>Adib khoirul anam</t>
  </si>
  <si>
    <t>085795574464</t>
  </si>
  <si>
    <t>Yayasan Djie - Tu Mandiri</t>
  </si>
  <si>
    <t>Setonobendo Rt 01 Rw 01 Babadan Karangrejo</t>
  </si>
  <si>
    <t>Dulah Hasim</t>
  </si>
  <si>
    <t>Shafira Najwa Hasyim</t>
  </si>
  <si>
    <t>085748613400</t>
  </si>
  <si>
    <t xml:space="preserve">Pondok Pesantren Nurul Huda Tulungagung </t>
  </si>
  <si>
    <t xml:space="preserve">Jln. Trunojoyo no. 6 Ds / Kec. Karangrejo Kab. Tulungagung 66253 Jawa Timur </t>
  </si>
  <si>
    <t>KH. Abdul Hamid Majid</t>
  </si>
  <si>
    <t xml:space="preserve">Nadia Shofiatul Muna </t>
  </si>
  <si>
    <t>085850615347</t>
  </si>
  <si>
    <t>Pondok Pesantren Darussalam</t>
  </si>
  <si>
    <t>Dsn. Bandil, ds. Gedangan, kec. Campurdarat,kab. Tulungagung, prov. Jawa timur</t>
  </si>
  <si>
    <t xml:space="preserve">KH. MUHAMMAD MUKHOIR HUSEN </t>
  </si>
  <si>
    <t>Muhammad alfan</t>
  </si>
  <si>
    <t>082228107473</t>
  </si>
  <si>
    <t>darussalambandil01@gmail.com</t>
  </si>
  <si>
    <t>PONDOK PESANTREN AL ITTIHAD DARUNNAJAH</t>
  </si>
  <si>
    <t>Jl. Soekarno Hatta Gg. Durian RT. 14 RW. 05 Kelutan Trenggalek KP. 66313</t>
  </si>
  <si>
    <t>KH. SAIFUL ISLAM, S.Sos</t>
  </si>
  <si>
    <t>SITI FARIKATUR ROHMAH</t>
  </si>
  <si>
    <t>089524069383</t>
  </si>
  <si>
    <t>media.alittihaddarunnajah@gmail.com</t>
  </si>
  <si>
    <t>AL - HASAN</t>
  </si>
  <si>
    <t>MMQ AL - HASAN</t>
  </si>
  <si>
    <t>Agus Muhammad Haidar Zein</t>
  </si>
  <si>
    <t>Muchammad Holil</t>
  </si>
  <si>
    <t>085755508243</t>
  </si>
  <si>
    <t xml:space="preserve">Al Asy'ari </t>
  </si>
  <si>
    <t>Dsn. Plenggrong Ds. Tiudan Kec. Gondang Kab.Tulungangung</t>
  </si>
  <si>
    <t>Kiyai Ahmad Yazid</t>
  </si>
  <si>
    <t>Muhammad Subchan</t>
  </si>
  <si>
    <t>085850377048</t>
  </si>
  <si>
    <t>majelistalimalasyari@gmail.com</t>
  </si>
  <si>
    <t>Muhammad Yustafad Naja</t>
  </si>
  <si>
    <t>Jalan M.T. Haryono, Gang 2, Srigading, Plosokandang, Kedungwaru, Srigading, Plosokandang, Kec. Kedungwaru, Kabupaten Tulungagung, Jawa Timur 66229</t>
  </si>
  <si>
    <t>KH. Muhammad Ma'shum</t>
  </si>
  <si>
    <t>087866983623</t>
  </si>
  <si>
    <t>masih proses pembuatan website</t>
  </si>
  <si>
    <t xml:space="preserve">Pondok pesantren Sirojut Tholibin </t>
  </si>
  <si>
    <t xml:space="preserve">Ibu Nyai Hj. Ulfatul Isto'inah </t>
  </si>
  <si>
    <t xml:space="preserve">Aliyyu Binti Islamia </t>
  </si>
  <si>
    <t>089601677007</t>
  </si>
  <si>
    <t>ppsirojuttholibin16@gmail.com</t>
  </si>
  <si>
    <t>Pondok pesantren miftahul ulum</t>
  </si>
  <si>
    <t xml:space="preserve">Dsn. Tamanan ds. Sukowiyono kec. Karangrejo kab. Tulungagung </t>
  </si>
  <si>
    <t>Agus Muhammad Habibi</t>
  </si>
  <si>
    <t>Yanuar izzudin abror</t>
  </si>
  <si>
    <t>081515332631</t>
  </si>
  <si>
    <t>pondokpesantrenmiftahululum0@gmail.com</t>
  </si>
  <si>
    <t>PP HIDAYATULLOH</t>
  </si>
  <si>
    <t>Jombok pule trenggalek</t>
  </si>
  <si>
    <t>KH. MAKSUM</t>
  </si>
  <si>
    <t>Ahmad abdurrokhim</t>
  </si>
  <si>
    <t>082134789833</t>
  </si>
  <si>
    <t>www.hidayatulloh.or.id</t>
  </si>
  <si>
    <t>Pondok Pesantren Mbah Dul</t>
  </si>
  <si>
    <t>Plosokandang Kedungwaru Tulungagung</t>
  </si>
  <si>
    <t>KH. Abdul Kholik</t>
  </si>
  <si>
    <t>farhan</t>
  </si>
  <si>
    <t>085156612896</t>
  </si>
  <si>
    <t>ponpesmbahdul@gmail.com</t>
  </si>
  <si>
    <t>PONPES NURUTTAQWA JABAL NOOR POGALAN TRENGGALEK</t>
  </si>
  <si>
    <t>Duwut ngetal pogalan trenggalek</t>
  </si>
  <si>
    <t>KH. MAHFUDZ ABSYIR</t>
  </si>
  <si>
    <t>Khoirul ihwanudin</t>
  </si>
  <si>
    <t>PP. Putri Ma'hadul 'Ilmi Wal 'Amal (MIA)</t>
  </si>
  <si>
    <t>Jl. HOS Cokroaminoto RT.01/RW.02, Gedangsewu, Kec. Boyolangu, Kab. Tulungagung, Prov. Jawa Timur, Kode pos (66231) (PONDOK PESANTREN PUTRI MIA)</t>
  </si>
  <si>
    <t>KH. NASIHUDDIN ALWIE S.H</t>
  </si>
  <si>
    <t>ATIFATUL ASMIAH</t>
  </si>
  <si>
    <t>085755386265</t>
  </si>
  <si>
    <t>mialilbanaat@gmail.com</t>
  </si>
  <si>
    <t xml:space="preserve">Pondok pesantren al-anwar ngadirenggo </t>
  </si>
  <si>
    <t>Gondangrejo, Ngadirenggo, Kec. Pogalan, Kabupaten Trenggalek, Jawa Timur 66371</t>
  </si>
  <si>
    <t>KH. Muhammad Ghufron Syamsuri</t>
  </si>
  <si>
    <t>Abdul rohim</t>
  </si>
  <si>
    <t>+62 817-0355-5127</t>
  </si>
  <si>
    <t>pp.alanwar1993@gmail.com</t>
  </si>
  <si>
    <t>Pondok Pesantren Hidayatulloh</t>
  </si>
  <si>
    <t>RT. 36 RW. 10 Dsn. Bakalan Ds. Jombok Kec. Pule Kab. Trenggalek</t>
  </si>
  <si>
    <t>KH. Ma'shum</t>
  </si>
  <si>
    <t xml:space="preserve"> Farhan Azidul Kirom</t>
  </si>
  <si>
    <t>082248707497</t>
  </si>
  <si>
    <t>pesantrenhidayatulloh@gmail.com</t>
  </si>
  <si>
    <t>Pondok Pesantren Jati Salam Al-Husna</t>
  </si>
  <si>
    <t xml:space="preserve">RT. 03/RW. 01, Dsn. Talun, Desa Gombang, Kec. Pakel, Kab. Tulungagung </t>
  </si>
  <si>
    <t>Abah Fuad Bahaudin dan Ibu Saniyah</t>
  </si>
  <si>
    <t xml:space="preserve">Shofia Indi Habibah </t>
  </si>
  <si>
    <t>085730771415</t>
  </si>
  <si>
    <t>komplekalhusna@gmail.com</t>
  </si>
  <si>
    <t>PONDOK PESANTREN BAIT AT TAQWA</t>
  </si>
  <si>
    <t>Rt 27 Rw 10 Ds. Kedunglurah Kec. Pogalan Kab. Trenggalek</t>
  </si>
  <si>
    <t>KH. MUHAMMAD CHOLIFAH SHOLEH SAS</t>
  </si>
  <si>
    <t>Rizki Nur Lailul</t>
  </si>
  <si>
    <t>082132168687</t>
  </si>
  <si>
    <t>Pondokgubugkedunglurah@gmail.com</t>
  </si>
  <si>
    <t>Pondok pesantren nuruttaqwa jabalnoor</t>
  </si>
  <si>
    <t>Jalan nasianal lll duwet, ngetal, pogalan, trenggalek, Jawa Timur</t>
  </si>
  <si>
    <t>Kh.Mahfudz absyir</t>
  </si>
  <si>
    <t>Media janor</t>
  </si>
  <si>
    <t>0838-3407-9486</t>
  </si>
  <si>
    <t>Pondok BQA Pucung</t>
  </si>
  <si>
    <t>Pondok Baitul Quran Alfarisy, Jalan Mayjend Sungkono Pucung Tamanan, RT.5/RW.2, Tamanan, Trenggalek</t>
  </si>
  <si>
    <t>KH M. Farid Ma’ruf M. Ag</t>
  </si>
  <si>
    <t>Aldo</t>
  </si>
  <si>
    <t>wahyu</t>
  </si>
  <si>
    <t>087778607032</t>
  </si>
  <si>
    <t>082266507369</t>
  </si>
  <si>
    <t>baitulquranalfarisy@gmail.com, pondokbqapucung@gmail.com</t>
  </si>
  <si>
    <t>Pondok Pesantren Modern Darul Akhwan</t>
  </si>
  <si>
    <t>Jalan Raya Kendal, RT. 08/RW. 04, Kendal, Gondang, Tulungagung</t>
  </si>
  <si>
    <t>KH. SOIM AL KASSI</t>
  </si>
  <si>
    <t>Arini Bintan Muslikha</t>
  </si>
  <si>
    <t>ppmda2022@gmail.com</t>
  </si>
  <si>
    <t>pondok pesantren Madu Kh. Ahmad badjuri</t>
  </si>
  <si>
    <t>dusun Blumbang Rt 05 Rw 01 Desa Campurdarat Tulungagung</t>
  </si>
  <si>
    <t>KH. Ali Mas'Ud , SH</t>
  </si>
  <si>
    <t>muhamad Imam Ibnu Majah</t>
  </si>
  <si>
    <t>yasankhbadjuri@gmail.com</t>
  </si>
  <si>
    <t>PONDOK pesantren Baitul Arifin</t>
  </si>
  <si>
    <t>Ketanon Kedungwaru Tulungagung</t>
  </si>
  <si>
    <t>Agus Ahmad asfahani siroj</t>
  </si>
  <si>
    <t>Hazim</t>
  </si>
  <si>
    <t>mediasirojulmarif@gmail.com</t>
  </si>
  <si>
    <t>Ponpes Al-Khoiriyah</t>
  </si>
  <si>
    <t>Pondok Pesantren Al-Khoiriyah</t>
  </si>
  <si>
    <t>ABAH HABIB HAMID BIN AHMAD AL-MUHDLOR</t>
  </si>
  <si>
    <t>MUHAMMAD 'AINUN NA'IM</t>
  </si>
  <si>
    <t>ponpesalkhoiriyah27@gmail.com</t>
  </si>
  <si>
    <t>Pondok Pesantren Tahfidz Qur'an Ar-Roudhoh Putri</t>
  </si>
  <si>
    <t>Jl. Su Tan Syahrir No.57, RT.2/RW.1, Botoran, Kec. Tulungagung, Kabupaten Tulungagung, Jawa Timur 66213</t>
  </si>
  <si>
    <t>Umi hj. Robiah Adawiyah Lc. Al-Hafidzhoh</t>
  </si>
  <si>
    <t>Elya Nur Firdausi dan Syifaul Muna Al-Chasany</t>
  </si>
  <si>
    <t>085707340068 dan 089516627464</t>
  </si>
  <si>
    <t>RAUDLATUL MUSTHOFA</t>
  </si>
  <si>
    <t>Dsn Pundensari,RT/RW 01/01,Desa/Kec. Rejotangan</t>
  </si>
  <si>
    <t>KH. M. JUNAIDI IMRON</t>
  </si>
  <si>
    <t>Muhammad Afif Zaenal Arifin</t>
  </si>
  <si>
    <t>Pondok pesantren Al Qur'an Al Musthofa</t>
  </si>
  <si>
    <t>Tulungagung Ngantru Pulerejo</t>
  </si>
  <si>
    <t>KH SYAMSU DLUHA</t>
  </si>
  <si>
    <t>Arham</t>
  </si>
  <si>
    <t>Pondok Pesantren Nurul Ulum Sumberagung</t>
  </si>
  <si>
    <t>Sumberagung Munjungan Trenggalek Jawa Timur</t>
  </si>
  <si>
    <t>Drs. KH. Abdul Latief, M.Pd</t>
  </si>
  <si>
    <t>812-3580-0169</t>
  </si>
  <si>
    <t>Pondok Pesantren Al-Mursyid</t>
  </si>
  <si>
    <t>Rt 10, Rw 04, Dsn.Duwet, Ds.Ngetal, Kec.Pogalan, Kab.Trenggalek</t>
  </si>
  <si>
    <t>Agus Ahyina Hubbal Faizin</t>
  </si>
  <si>
    <t>Faza Fatkur Ridho</t>
  </si>
  <si>
    <t>+62 851-8909-7889</t>
  </si>
  <si>
    <t>ittihaadalmursyid@gmail.com</t>
  </si>
  <si>
    <t>pp darunnajah</t>
  </si>
  <si>
    <t xml:space="preserve">dsn bakalan ds suruhan kidul kec bandung kab Tulungagung </t>
  </si>
  <si>
    <t>k.h syafi' mukarrom mp.d.i</t>
  </si>
  <si>
    <t>nadiatur rosidah</t>
  </si>
  <si>
    <t>+62 878-5852-0248</t>
  </si>
  <si>
    <t>nadiarosh07@gmail.com</t>
  </si>
  <si>
    <t>PP. Ittihadul Ummah</t>
  </si>
  <si>
    <t>Jl. Soekarno-Hatta Gg VI No. 24 Jarakan Banyudono Ponorogo</t>
  </si>
  <si>
    <t>Ponorogo</t>
  </si>
  <si>
    <t>KH Imam Sayuti Farid</t>
  </si>
  <si>
    <t>Ahmad Khoirudin</t>
  </si>
  <si>
    <t>Zainal Abidin</t>
  </si>
  <si>
    <t>https://maps.app.goo.gl/aEDufwJuXHfgXTMf7</t>
  </si>
  <si>
    <t>pp. Ittihadul.ummah@gmail.com</t>
  </si>
  <si>
    <t>Perguruan Islam Pondok Tremas</t>
  </si>
  <si>
    <t>Jl. Patrem no. 21 tremas, Arjosari, Pacitan Jawa Timur</t>
  </si>
  <si>
    <t>Pacitan</t>
  </si>
  <si>
    <t>Kh. Fuad Habib Dimyathi</t>
  </si>
  <si>
    <t>A.Fathul Munir</t>
  </si>
  <si>
    <t>Ulil Albab Agma Pradana</t>
  </si>
  <si>
    <t>https://maps.app.goo.gl/7zR2D4AXRKobJcEa6</t>
  </si>
  <si>
    <t>Fathulchannel@gmail.com</t>
  </si>
  <si>
    <t>Darussalam Mekar Agung</t>
  </si>
  <si>
    <t>Jalan Kali buntu no. 122 Dusun Kepuhbeluk RT/RW 51/05 Desa Pucanganom Kecamatan Kebonsari Kabupaten Madiun</t>
  </si>
  <si>
    <t>Madiun</t>
  </si>
  <si>
    <t>Ibu Nyai Hj. Khomsatul Faridah</t>
  </si>
  <si>
    <t>Ahmad Qusyairi</t>
  </si>
  <si>
    <t>https://www.google.com/Pondok%20Pesantren%20Darussalam%20Mekar%20AgungJalan%20Kali%20Buntung%20No.122,%20Ringinanom,%20Pucanganom,%20Kebonsari,%20Madiun,%20Jawa%20Timur%2063173(0351)%20367770https://g.co/kgs/BmHRXC</t>
  </si>
  <si>
    <t>matsawastudio@gmail.com</t>
  </si>
  <si>
    <t>Pp Salafiyah Al Basyariyah</t>
  </si>
  <si>
    <t>Jl.Tirtotejo no 54 Kenongorejo, Pilangkenceng, Madiun</t>
  </si>
  <si>
    <t>Kh. Mustaqim Basyari</t>
  </si>
  <si>
    <t>Agus Ahmad Masduqi</t>
  </si>
  <si>
    <t>Nasrudin</t>
  </si>
  <si>
    <t>https://g.co/kgs/uY9rPe</t>
  </si>
  <si>
    <t>ponpessalafiyahalbasyariyah@gmail.com</t>
  </si>
  <si>
    <t>Pondok Pesantren Tahfidhul Qur'an Bani 'Ali Mursyad Psm Banaran</t>
  </si>
  <si>
    <t>Dsn. Banaran Desa Kerik RT 17 RW 03 Kec. Takeran kab. Magetan Jawa timur Indonesia</t>
  </si>
  <si>
    <t>Magetan</t>
  </si>
  <si>
    <t>Kyai Wasis Ayib Rosidi</t>
  </si>
  <si>
    <t>Habib Aprila Putra</t>
  </si>
  <si>
    <t>Muhammad Husain</t>
  </si>
  <si>
    <t xml:space="preserve">+62 821-5018-5313
</t>
  </si>
  <si>
    <t xml:space="preserve">+62 858-9541-8381
</t>
  </si>
  <si>
    <t>https://maps.app.goo.gl/MPeYRV7mskDTF42M8</t>
  </si>
  <si>
    <t>pondokbanaran15@gmail.com</t>
  </si>
  <si>
    <t>Pp Darul Ulum Putri</t>
  </si>
  <si>
    <t>Jln H Samanhudi Desa Poncol Kecamatan Poncol Kabupaten Magetan Jawatimur</t>
  </si>
  <si>
    <t>Kh Ahmad Fathoni</t>
  </si>
  <si>
    <t>Khoirun Nafiah</t>
  </si>
  <si>
    <t>Binti Musdalifah</t>
  </si>
  <si>
    <t>+62 858-5923-2556</t>
  </si>
  <si>
    <t>https://maps.app.goo.gl/VDkLCfwFEZcwownu5</t>
  </si>
  <si>
    <t>asramaduputri@gmail.com</t>
  </si>
  <si>
    <t>Asrama Unggulan An-Najah</t>
  </si>
  <si>
    <t>Jl. H. Samanhudi Rt 14 Rw 05 Ds. Poncol Kec. Poncol Kab. Magetan</t>
  </si>
  <si>
    <t>Habib Mustofa S.S., M.M</t>
  </si>
  <si>
    <t>Alfanny Rohmat</t>
  </si>
  <si>
    <t>Guruh Noyek Pangestu</t>
  </si>
  <si>
    <t>https://www.google.com/maps/@-7.7296013,111.2569249,3a,75y,323.9h,94.25t/data=!3m6!1e1!3m4!1saaCJZqQKk1ugJypL8Rhjsw!2e0!7i16384!8i8192</t>
  </si>
  <si>
    <t>asramaunggulanannajah@gmail.com</t>
  </si>
  <si>
    <t>Pondok Pesantren Tahfidzul Qur'an Nurul Falah Poncol</t>
  </si>
  <si>
    <t>Jl. Slamet Riyadi no 09 RT 22 RW 07 Desa Poncol Kecamatan Poncol Kabupaten Magetan</t>
  </si>
  <si>
    <t>K.H. Marhaban Al Hafidz</t>
  </si>
  <si>
    <t>Muhammad Miftahurroyan</t>
  </si>
  <si>
    <t>Alfi Nur Hidayah</t>
  </si>
  <si>
    <t>https://maps.app.goo.gl/1DppcpT3hdxxUkAGA</t>
  </si>
  <si>
    <t>pptqnurulfalahponcolmagetan@gmail.com</t>
  </si>
  <si>
    <t>Al Hidayah</t>
  </si>
  <si>
    <t>Jl. Raya Kendal-Geneng KM. 03 Dsn. Sondriyan RT/RW 001/001
 Ds. Majasem Kec. Kendal Kab. Ngawi</t>
  </si>
  <si>
    <t>Ngawi</t>
  </si>
  <si>
    <t>Kh. Khoirul Anam Mu'min</t>
  </si>
  <si>
    <t>Ahmad Amirul</t>
  </si>
  <si>
    <t>Ahmad Sholihin</t>
  </si>
  <si>
    <t>https://maps.app.goo.gl/3NpyXSWmUBNR5Cwb8</t>
  </si>
  <si>
    <t>alhidayahsondriyan@gmail.com</t>
  </si>
  <si>
    <t>Ponpes Mamba'ul Hikmah Kerten</t>
  </si>
  <si>
    <t>Dusun Kerten, Desa Teguhan, Kecamatan Paron, Kabupaten Ngawi, Provinsi Jawa Timur Indonesia</t>
  </si>
  <si>
    <t>Kh. Muhammad Dumami, M. Pd. I</t>
  </si>
  <si>
    <t>M. Syaifudin, S. Sy, M.H</t>
  </si>
  <si>
    <t>Didik Agus Dewantoro</t>
  </si>
  <si>
    <t>0813-5799-1261</t>
  </si>
  <si>
    <t>https://ponpesmambaulhikmahkertenonline.wordpress.com/</t>
  </si>
  <si>
    <t>ponpesmambaulhikmahkerten@gmail.com</t>
  </si>
  <si>
    <t>Pon Pes Darul Ulum</t>
  </si>
  <si>
    <t>JL. SAMANHUDI NO 39 RT/RW 14/05</t>
  </si>
  <si>
    <t>Kh. Ahmad Fathoni</t>
  </si>
  <si>
    <t>RIDHO AROYAN</t>
  </si>
  <si>
    <t>M. Ihsanuddin</t>
  </si>
  <si>
    <t>https://goo.gl/maps/nANeih3ttuEmSrUHA</t>
  </si>
  <si>
    <t>darululumponcol@gmail.com</t>
  </si>
  <si>
    <t>Pondok Pesantren Al-Waridin</t>
  </si>
  <si>
    <t>Pondok Pesantren Al - Waridin
 Jl. Jend. Sudirman, Dusun 1, Pagotan, Kec. Geger, Madiun, Jawa Timur 63171</t>
  </si>
  <si>
    <t>Kyai Saifuddin Qulyubi</t>
  </si>
  <si>
    <t>Mukafi</t>
  </si>
  <si>
    <t>https://maps.app.goo.gl/hJctp21mQbmV89CD7</t>
  </si>
  <si>
    <t>ppalwaridin@gmail.com</t>
  </si>
  <si>
    <t>Darul Ulum</t>
  </si>
  <si>
    <t>Jln.Teluk Tambora, RT/RW.02/12, Lingk. Barean Kel. Sidoharjo, Kec. Pacitan, Kab. Pacitan</t>
  </si>
  <si>
    <t>Khairul Anwar.,S.Pd.I</t>
  </si>
  <si>
    <t>Riyanto</t>
  </si>
  <si>
    <t>Toha Hasan Anwar</t>
  </si>
  <si>
    <t xml:space="preserve">+62 821-9936-8394
</t>
  </si>
  <si>
    <t>Jl. Teluk Tambora, Plelen, Sidoharjo, Kec. Pacitan, Kabupaten Pacitan, Jawa Timur 63514</t>
  </si>
  <si>
    <t>Lpypdarussalampacitan@gmail.com</t>
  </si>
  <si>
    <t>Pondok Jenes</t>
  </si>
  <si>
    <t>Pondok Pesantren Hudatul Muna</t>
  </si>
  <si>
    <t>Kh. Abdul Qodir Murdani</t>
  </si>
  <si>
    <t>Muklis Arbai</t>
  </si>
  <si>
    <t>Muhammad Faiz Gian Indra</t>
  </si>
  <si>
    <t>Pondok Pesantren Hudatul Muna (0352) 461147 https://goo.gl/maps/mTreg1n3tXRxVG9B6</t>
  </si>
  <si>
    <t>Pondokhudatulmuna@gmail.com</t>
  </si>
  <si>
    <t>Pondok Pesantren Kanzul Ulum</t>
  </si>
  <si>
    <t>Jl. Sri Rejeki No. 23 Kel. Sukosari Kec. Kartoharjo, Kota Madiun</t>
  </si>
  <si>
    <t>Kota Madiun</t>
  </si>
  <si>
    <t>Dr. Hj. Najahah, M.Ag</t>
  </si>
  <si>
    <t>Muhamad Nasrulloh</t>
  </si>
  <si>
    <t>Ibnu Mudzakkir</t>
  </si>
  <si>
    <t>https://goo.gl/maps/U4EU2mQHaBHMq7Lj9</t>
  </si>
  <si>
    <t>ponpeskanzululum@yahoo.com</t>
  </si>
  <si>
    <t>Asrama Unggulan Al Mawarid</t>
  </si>
  <si>
    <t>Jl.Samanhudi No.39 Rt 14 Rw 05 Desa Poncol Kecamatan Poncol Kabupaten Magetan Jawa Timur 63362</t>
  </si>
  <si>
    <t>Kh.Marhaban Al Hafidz</t>
  </si>
  <si>
    <t>Nafi' Sa'adatul Karimah</t>
  </si>
  <si>
    <t>Dzurrotul Muwafiroh Irsyadi</t>
  </si>
  <si>
    <t>Asrama Unggulan Al-Mawarid PPTQ Nurul Falah Poncol https://maps.app.goo.gl/45SiJyHgjcyZmw546</t>
  </si>
  <si>
    <t>almawarid02@gmail.com</t>
  </si>
  <si>
    <t>Pondok Pesantren Al-Mardliyyah</t>
  </si>
  <si>
    <t>Jln. H. Moch. Noer, RT/RW 01/01, Kel. Demangan, Kec. Taman, Kota Madiun</t>
  </si>
  <si>
    <t>K.H. Agus Mushoffa Izzudin, M.Pd.I</t>
  </si>
  <si>
    <t>Miftakhurrohmah</t>
  </si>
  <si>
    <t>Kinanthi Dyah Pratiwi</t>
  </si>
  <si>
    <t>https://g.co/kgs/tjk1Ze</t>
  </si>
  <si>
    <t>almardliyyahpondok@gmail.com</t>
  </si>
  <si>
    <t>Madinatul ulum</t>
  </si>
  <si>
    <t>Ds.buduran kec.wonoasri kab.madiun</t>
  </si>
  <si>
    <t>K. Mansur S.os</t>
  </si>
  <si>
    <t>Ananda abu mansur</t>
  </si>
  <si>
    <t>Perguruan islam pondok wates</t>
  </si>
  <si>
    <t>Jalan Maulana Malik Ibrahim No 48. Dusun Ngetol, Desa Widoro, Kecamatan Pacitan</t>
  </si>
  <si>
    <t>Kabupaten Pacitan</t>
  </si>
  <si>
    <t xml:space="preserve">KH. ASMUNI </t>
  </si>
  <si>
    <t>Maulana achsan</t>
  </si>
  <si>
    <t>081251315359</t>
  </si>
  <si>
    <t>Pondok Pesantren Al Waridin</t>
  </si>
  <si>
    <t>Pagotan Geger Madiun</t>
  </si>
  <si>
    <t>Kabupaten Madiun</t>
  </si>
  <si>
    <t>K. Saifuddin Qulyubi</t>
  </si>
  <si>
    <t>Ahmad Mukafi</t>
  </si>
  <si>
    <t>085649104642</t>
  </si>
  <si>
    <t xml:space="preserve">Miftahu Nurul Huda </t>
  </si>
  <si>
    <t xml:space="preserve">Joso turi panekan magetan </t>
  </si>
  <si>
    <t>Kabupaten Ngawi</t>
  </si>
  <si>
    <t xml:space="preserve">KH. ABDUL WAHID </t>
  </si>
  <si>
    <t xml:space="preserve">Jauhar </t>
  </si>
  <si>
    <t xml:space="preserve">PPTQ AL MUQOROBIN PONOROGO </t>
  </si>
  <si>
    <t>Jalan Menur Gang V 15b Ronowijayan Siman Ponorogo.</t>
  </si>
  <si>
    <t>Kabupaten Ponorogo</t>
  </si>
  <si>
    <t>Ibu Nyai Sayyidah Faizatul Fitriati</t>
  </si>
  <si>
    <t xml:space="preserve">Wahyu Wulandari </t>
  </si>
  <si>
    <t>085701694467</t>
  </si>
  <si>
    <t>Pp thoriqul huda</t>
  </si>
  <si>
    <t>Jl.syuhada cekok babadan ponorogo</t>
  </si>
  <si>
    <t>Ibu nyai munjiatin iskandar</t>
  </si>
  <si>
    <t>Muzakki fathurrohman</t>
  </si>
  <si>
    <t>085776555714</t>
  </si>
  <si>
    <t xml:space="preserve">Pondok Pesantren Darul Muttaqien </t>
  </si>
  <si>
    <t>KH. Anwar Sholeh Azzarkoni S.H.I, M.H</t>
  </si>
  <si>
    <t xml:space="preserve">Muhammad Asrofi </t>
  </si>
  <si>
    <t>+62 878-1602-5790</t>
  </si>
  <si>
    <t>Al-kholily ma'unah sari</t>
  </si>
  <si>
    <t xml:space="preserve">Pilang,tulung,sampung, Ponorogo </t>
  </si>
  <si>
    <t>Abah yai agus mahmud isa mudhofar</t>
  </si>
  <si>
    <t>Naufal</t>
  </si>
  <si>
    <t>08995457849</t>
  </si>
  <si>
    <t xml:space="preserve">Ibnu Umar </t>
  </si>
  <si>
    <t xml:space="preserve">RT.02/02,Kebon, Punung, Punung, </t>
  </si>
  <si>
    <t>Ahmad Shokeh</t>
  </si>
  <si>
    <t xml:space="preserve">Supendi </t>
  </si>
  <si>
    <t>082232424770</t>
  </si>
  <si>
    <t>Ma’hadul Muta’allimin</t>
  </si>
  <si>
    <t>Dsn. Katerban RT/RW 04/01 Ds. Sekaralas Kec. Widodaren Kab. Ngawi</t>
  </si>
  <si>
    <t>KH. Haris Ma’mun Manfaluthi</t>
  </si>
  <si>
    <t>M. Zainal Abidin</t>
  </si>
  <si>
    <t>‪081336423381‬</t>
  </si>
  <si>
    <t xml:space="preserve">Ponpes Mamba'ul Hikmah Kerten </t>
  </si>
  <si>
    <t>Dsn Kerten, Ds Teguhan Kc Paron</t>
  </si>
  <si>
    <t>KH. M. Dumami, M. Pd</t>
  </si>
  <si>
    <t>Mahi Center</t>
  </si>
  <si>
    <t>087752041439</t>
  </si>
  <si>
    <t>PPTQ AL MUQORROBIN</t>
  </si>
  <si>
    <t>JL. MENUR GANG V NO. 15B RONOWIJAYAN SIMAN PONOROGO</t>
  </si>
  <si>
    <t>Ny. Hj. Sayyidah Faizatul Fitriati, S.Th.I</t>
  </si>
  <si>
    <t>INTAN SALSABILA ALMASARI</t>
  </si>
  <si>
    <t xml:space="preserve">Shavira Af'idah </t>
  </si>
  <si>
    <t>082314222309</t>
  </si>
  <si>
    <t>085726456463</t>
  </si>
  <si>
    <t>Roudlotul Mubtadiin</t>
  </si>
  <si>
    <t xml:space="preserve">Roudlotul mubtadiin tulungrejo madiun </t>
  </si>
  <si>
    <t>Kh.nurkholis</t>
  </si>
  <si>
    <t>Abdulloh zainil aftom</t>
  </si>
  <si>
    <t>085708177588</t>
  </si>
  <si>
    <t xml:space="preserve">Pondok Pesantren Keterampilan Al-Ikhlas </t>
  </si>
  <si>
    <t xml:space="preserve">Jl. Ponorogo madiun Km. 07 Kanten Babadan Ponorogo </t>
  </si>
  <si>
    <t>KH. MOCH TANWIR</t>
  </si>
  <si>
    <t xml:space="preserve">Chozinatul Asror </t>
  </si>
  <si>
    <t>083845916457</t>
  </si>
  <si>
    <t>Pondok Pesantren Modern Al-Abror</t>
  </si>
  <si>
    <t>Desa Tegalarum RT 04 RW 01 Kecamatan Bendo Kabupaten Magetan</t>
  </si>
  <si>
    <t>Kabupaten Magetan</t>
  </si>
  <si>
    <t>Gus Ahmad Fitriyan Bayu Sucipto</t>
  </si>
  <si>
    <t>Robbani</t>
  </si>
  <si>
    <t>081221000981</t>
  </si>
  <si>
    <t>PP Thoriqul Huda</t>
  </si>
  <si>
    <t>Jl Syuhada No 194 Desa Cekok Kec Babadan Kab Ponorogo</t>
  </si>
  <si>
    <t xml:space="preserve">Kyai Kholid Ali Husni </t>
  </si>
  <si>
    <t xml:space="preserve">Eko Prastio </t>
  </si>
  <si>
    <t>082236068058</t>
  </si>
  <si>
    <t>PP Nurul Qur'an</t>
  </si>
  <si>
    <t>Jl. Ahmad yani Gg. 2 No. 8 B Pakunden Ponorogo Jawa Timur</t>
  </si>
  <si>
    <t>M Sholikhan</t>
  </si>
  <si>
    <t>Nur Mahfud</t>
  </si>
  <si>
    <t>082335256622</t>
  </si>
  <si>
    <t xml:space="preserve">PP MIFTAHUL JANNAH </t>
  </si>
  <si>
    <t xml:space="preserve">Jl pahlawan No 16 Panjeng jenangan Ponorogo </t>
  </si>
  <si>
    <t>Ust. Ahmad Yusuf</t>
  </si>
  <si>
    <t xml:space="preserve">Munirul Janani </t>
  </si>
  <si>
    <t>087858056444</t>
  </si>
  <si>
    <t>ponpesmiftahuljannah15@gmail.com</t>
  </si>
  <si>
    <t>Pondok Pesantren Modern Al-Anwar Ploso Pacitan</t>
  </si>
  <si>
    <t>Jalan K.H. Hasyim Asy’ari No. 41, Ploso, Kecamatan Pacitan, Peden, Ploso, Kec. Pacitan, Kabupaten Pacitan, Jawa Timur 63515</t>
  </si>
  <si>
    <t>Ustad Abdul Manan Anwar</t>
  </si>
  <si>
    <t>Zefri Abdul Aziz, Febrian mustofa</t>
  </si>
  <si>
    <t>Muhammad Wildan Maulana</t>
  </si>
  <si>
    <t>082257256552, 81292282609</t>
  </si>
  <si>
    <t>pondokalanwar1981@gmail.com, alanwarpacitan@gmail.com</t>
  </si>
  <si>
    <t xml:space="preserve">AL-HIDAYAH Sondriyan Majasem Kendal Ngawi </t>
  </si>
  <si>
    <t xml:space="preserve">Jl. Geneng Km.03 Majasem, Kendal Ngawi Jawa Timur </t>
  </si>
  <si>
    <t xml:space="preserve">KH. Khoirul Anam Mu'min </t>
  </si>
  <si>
    <t xml:space="preserve">Nur Hasan Fauzi </t>
  </si>
  <si>
    <t>085608968597</t>
  </si>
  <si>
    <t>Nahdlatussubban</t>
  </si>
  <si>
    <t>Desa arjowinangun pacitan</t>
  </si>
  <si>
    <t>KH. Abdullah sadjad</t>
  </si>
  <si>
    <t>Hendri Pratama</t>
  </si>
  <si>
    <t>085706807398</t>
  </si>
  <si>
    <t>jitoketek@gmail.com</t>
  </si>
  <si>
    <t>Pondok Pesantren Hidayatul Mubtadiin</t>
  </si>
  <si>
    <t>Dsn katalumben 11/02, Desa Tegalarum Kecamatan Bendo Kabupaten Magetan</t>
  </si>
  <si>
    <t>KH. SHOHIB WAHYUNI</t>
  </si>
  <si>
    <t>Wahid Afnan</t>
  </si>
  <si>
    <t>jokoumbaranpphm@gmail.con</t>
  </si>
  <si>
    <t>Pondok Pesantren Al Ishlah</t>
  </si>
  <si>
    <t>Desa Tambakmas, Kec. Kebonsari Kab. Madiun</t>
  </si>
  <si>
    <t>KH. Muhammad Salamun Ahmadi</t>
  </si>
  <si>
    <t>Muhammad Sayyid Khomsa Rofiuddin</t>
  </si>
  <si>
    <t>+62 812-3222-5016</t>
  </si>
  <si>
    <t>Desa Tambakmas, Kec. Kebonsari Kab, Madiun</t>
  </si>
  <si>
    <t>Nurul quran pakunden</t>
  </si>
  <si>
    <t>Jl. Ahmad yani</t>
  </si>
  <si>
    <t>Kh.M.Sholehan Al Hafidz</t>
  </si>
  <si>
    <t>Ilham</t>
  </si>
  <si>
    <t>Ppnqpakunden@gmail.com</t>
  </si>
  <si>
    <t>AL FATAH TEMBORO</t>
  </si>
  <si>
    <t>Temboro Karas Magetan</t>
  </si>
  <si>
    <t>Romo Kyai Haji Umar Fathullah &amp; Romo Kyai Haji Ubaidillah Ahror</t>
  </si>
  <si>
    <t>Anas nur khoiri</t>
  </si>
  <si>
    <t>Achmad</t>
  </si>
  <si>
    <t>ypaalfatahtemboro@gmail.com</t>
  </si>
  <si>
    <t>Pondok Pesantren NURUL AKBAR</t>
  </si>
  <si>
    <t>Jl. Sido Makmur No.66, Karangtalok, Babadan, Kec. Babadan, Kabupaten Ponorogo, Jawa Timur</t>
  </si>
  <si>
    <t>KH Ali Masyhud</t>
  </si>
  <si>
    <t>Muhammad Fathur Rohman Azzuhdi</t>
  </si>
  <si>
    <t>Ppnurulakbarponorogo@gmail.com</t>
  </si>
  <si>
    <t>Pondok Pesantren Al-Fattah Kikil</t>
  </si>
  <si>
    <t>Jl. Nawangan Km. 01 Arjosari Pacitan</t>
  </si>
  <si>
    <t>KH. Hammam Fathullah HB</t>
  </si>
  <si>
    <t>Imam Muchlasin</t>
  </si>
  <si>
    <t>+62 878-7691-1999</t>
  </si>
  <si>
    <t>pontren@alfatahkikil.net</t>
  </si>
  <si>
    <t>NGAWITAN KANJENG SUNAN KALIJOGO</t>
  </si>
  <si>
    <t>Jl. Widodaren, RT.003/RW.001, Walikukun Kulon, Walikukun, Ngawi, Kabupaten Ngawi, Jawa Timur 63256</t>
  </si>
  <si>
    <t>Gus Danang Agung Nugroho</t>
  </si>
  <si>
    <t>Ma'ruf Maulana</t>
  </si>
  <si>
    <t>kamoelseventeen@gmail.com</t>
  </si>
  <si>
    <t>PPTQ Ar Royyan</t>
  </si>
  <si>
    <t>Dsn Gunung Cilik, Desa Purwoasri, Kec. Kebonagung, Kab. Pacitan</t>
  </si>
  <si>
    <t>Hary Trisdianto,Lc</t>
  </si>
  <si>
    <t>Alvian</t>
  </si>
  <si>
    <t>pptqarroyyan@gmail.com</t>
  </si>
  <si>
    <t>PONDOK PESANTREN ROUDHOTU HUFFADZIL QUR'AN</t>
  </si>
  <si>
    <t>RT 31/RW 04, Dsn. Godongan Kidul, Ds. Purworejo, Kec. Geger, Kab. Madiun</t>
  </si>
  <si>
    <t>KH. Wasis Ayib Rosidi</t>
  </si>
  <si>
    <t>Harun Ismail</t>
  </si>
  <si>
    <t>0857-0668-8845</t>
  </si>
  <si>
    <t>pproudhotuhuffadzilquran@gmail.com</t>
  </si>
  <si>
    <t>Raden wijaya</t>
  </si>
  <si>
    <t>Sawahan pulosari jambon ponorogo</t>
  </si>
  <si>
    <t>Prof DR Jayadi SE.,M.M.,M.Kes.</t>
  </si>
  <si>
    <t>Bayu cahya pradana</t>
  </si>
  <si>
    <t>ppradenwijaya@gmail.com</t>
  </si>
  <si>
    <t xml:space="preserve">Pondok Pesantren Munawwiruzzuhriyyah </t>
  </si>
  <si>
    <t>6G7G+HQW, Umbul, Glonggong, Kec. Dolopo, Kabupaten Madiun, Jawa Timur 63174</t>
  </si>
  <si>
    <t>Ibu Nyai Hj. Mudrikah Syahid</t>
  </si>
  <si>
    <t>Emy 'Izzatul Mufarriqoh</t>
  </si>
  <si>
    <t>082237722156</t>
  </si>
  <si>
    <t>ponpesmunawwiruzzuhriyyah@gmail.com</t>
  </si>
  <si>
    <t xml:space="preserve">Pondok Pesantren Putri Tahfidzul Qur'an Pring Sewu </t>
  </si>
  <si>
    <t xml:space="preserve">jln Ki Ageng Punuk Pandan desa Pulosari kec jambon kab Ponorogo </t>
  </si>
  <si>
    <t xml:space="preserve">Ibu Nyai Umi Sholihah </t>
  </si>
  <si>
    <t xml:space="preserve">PPPTQ PRING SEWU </t>
  </si>
  <si>
    <t>belum ada</t>
  </si>
  <si>
    <t>p3tq_pringsewu</t>
  </si>
  <si>
    <t xml:space="preserve">official Pring Sewu </t>
  </si>
  <si>
    <t xml:space="preserve">Fitriana Nur Fadhilah </t>
  </si>
  <si>
    <t xml:space="preserve">koordinator </t>
  </si>
  <si>
    <t>085708577509</t>
  </si>
  <si>
    <t>ppptqpringsewu@gmail.com</t>
  </si>
  <si>
    <t>Pondok Pesantren Tahfizul Qur'an Hasan Munadi</t>
  </si>
  <si>
    <t>Kopen pohlowo dukuh tunggur, karangan, kec badegan, kab ponorogo, jawatimur 63455</t>
  </si>
  <si>
    <t>Kyai AGUS MAGFUR AL-HAFIZ</t>
  </si>
  <si>
    <t>PPTQ HASAN MUNADI</t>
  </si>
  <si>
    <t>Pondok pohlowo</t>
  </si>
  <si>
    <t>Pondok_pohlowo</t>
  </si>
  <si>
    <t>Pondok*pohlowo. net</t>
  </si>
  <si>
    <t>Pondok putra pohlowo</t>
  </si>
  <si>
    <t>Muhamad saifudin sitohang</t>
  </si>
  <si>
    <t>0882010181934</t>
  </si>
  <si>
    <t>Pondokpohlowo@gmail.com</t>
  </si>
  <si>
    <t>Pondok Pesantren Darussalam Blokagung</t>
  </si>
  <si>
    <t>Pondok Pesantren Mukhtar Syafa'at</t>
  </si>
  <si>
    <t>Blokagung Karangdoro tegalsari Banyuwangi</t>
  </si>
  <si>
    <t>Kabupaten Banyuwangi</t>
  </si>
  <si>
    <t>KH Khotibul Umam</t>
  </si>
  <si>
    <t>Ahmad Saddam Hussein Alfaroidz</t>
  </si>
  <si>
    <t>https://maps.app.goo.gl/irQNPf1WWSoy7L9C9</t>
  </si>
  <si>
    <t>Pondok Pesantren Nurul Abror Al-Robbaniyin</t>
  </si>
  <si>
    <t>Jl. KH. Agus Salim No.165 Dusun Krajan 1 RT.08/RW.02 Alasbuluh Wongsorejo Banyuwangi</t>
  </si>
  <si>
    <t>KH. Fadlurrahman Zaini, BA</t>
  </si>
  <si>
    <t>Arizal Iwan Mabruri</t>
  </si>
  <si>
    <t>Ahmad Silmul Fuady</t>
  </si>
  <si>
    <t>https://www.google.com/maps/place/Pondok+Pesantren+Nurul+Abror+Al-Robbaniyyin/@-8.0093943,114.4199125,17z/data=!4m8!1m2!2m1!1snurul+abror+al+robbaniyin!3m4!1s0x2dd1392e90cfec35:0x7ff1418c0b4b43d5!8m2!3d-8.0095477!4d114.4223962</t>
  </si>
  <si>
    <t>nurulabroralrobbaniyin@gmail.com</t>
  </si>
  <si>
    <t>Pondok Pesantren Sunan Kalijogo</t>
  </si>
  <si>
    <t>Jl.prajutur Syakur Parirejo 02/01 parijatahwetan srono Banyuwangi</t>
  </si>
  <si>
    <t>KH.Mahrus Ali</t>
  </si>
  <si>
    <t>Sofyan Sauri</t>
  </si>
  <si>
    <t>M.Halimi Ilmawan</t>
  </si>
  <si>
    <t>https://maps.app.goo.gl/krpT52pAnhq55tLy7</t>
  </si>
  <si>
    <t>ponpessunankalijogo1971@gmail.com</t>
  </si>
  <si>
    <t>Pondok Pesantren Mamba'ul Huda</t>
  </si>
  <si>
    <t>Jl. KH. Abdul Majid Krasak Tegalsari Banyuwangi</t>
  </si>
  <si>
    <t>pendiri Alm. KH. Abdul Majid / Kyai M. Khozin Majid</t>
  </si>
  <si>
    <t>Alan Najmits Tsaqib</t>
  </si>
  <si>
    <t>M. Yusril Izzal Fahmi</t>
  </si>
  <si>
    <t>https://www.google.co.id/maps/@-8.4254612,114.1568812,18.25z</t>
  </si>
  <si>
    <t>mambaulhudakrasak44@gmail.com</t>
  </si>
  <si>
    <t>Pondok Pesantren Yanbuulqur'an</t>
  </si>
  <si>
    <t>Desa pesucen kecamatan Kalipuro kabupaten Banyuwangi</t>
  </si>
  <si>
    <t>Abah Agus idrus</t>
  </si>
  <si>
    <t>Firly Alfachri Ramadhan</t>
  </si>
  <si>
    <t>yanbuulqur'an.net@gmail.com</t>
  </si>
  <si>
    <t>BPUI Minhajut Thullab Krikilan</t>
  </si>
  <si>
    <t>JL. RSU Bhakti Husada Krikilan, Tegalharjo, Glenmore, Banyuwangi</t>
  </si>
  <si>
    <t>KH THOHA MUNTAHA</t>
  </si>
  <si>
    <t>Habiby Alwi Maulana</t>
  </si>
  <si>
    <t>Haikal Hamid</t>
  </si>
  <si>
    <t>https://goo.gl/maps/moG6FJVYtyD1ZDwq5</t>
  </si>
  <si>
    <t>mtk1989media@gmail.com</t>
  </si>
  <si>
    <t>Pondok Pesantren Nurul Abror Al Robbaniyin</t>
  </si>
  <si>
    <t>Jl. KH. Agus Salim No. 165 RT 008 RW 002 Dusun Krajan 1 Desa Alasbuluh Kecamatan Wongsorejo Kabupaten Banyuwangi 68453</t>
  </si>
  <si>
    <t>KH. Fadlurrahman Zaini, BA.</t>
  </si>
  <si>
    <t>877-8331-3324
'0</t>
  </si>
  <si>
    <t>https://goo.gl/maps/gM62yrV3cm5MuUWC8</t>
  </si>
  <si>
    <t>jl. Pb. Sudirman No. 56, Gunungsari, Sumbergondo, Glenmore, Banyuwangi</t>
  </si>
  <si>
    <t>KH. Ishaq Muhsin</t>
  </si>
  <si>
    <t>Ahmad Ridho Alvin Nabali</t>
  </si>
  <si>
    <t>Mohammad Abdul Azis</t>
  </si>
  <si>
    <t>https://goo.gl/maps/RKNEqGWvqnvxApbZ9</t>
  </si>
  <si>
    <t>raudlatussalam1977@gmail.com</t>
  </si>
  <si>
    <t>Pondok Pesantren Al Fadl</t>
  </si>
  <si>
    <t>Jl Kh Rofi'i no.15 kendalrejo Tegaldlimo Banyuwangi</t>
  </si>
  <si>
    <t>Ky. Sirotjul Munir</t>
  </si>
  <si>
    <t>M Faisol Alwi</t>
  </si>
  <si>
    <t>Pondok Pesantren Salafiyah Syafi'iyah</t>
  </si>
  <si>
    <t>Sukorejo Bangorejo Banyuwangi Jawa timur</t>
  </si>
  <si>
    <t>Kh. Zainal Arifin Hakim</t>
  </si>
  <si>
    <t>Kiromim Baroroh Alhafid</t>
  </si>
  <si>
    <t>Muhammad Zidan Rifqi</t>
  </si>
  <si>
    <t>kh.alhafid.sq.sh@gmail.com</t>
  </si>
  <si>
    <t>Pondok Pesantren Al-Anwari</t>
  </si>
  <si>
    <t>Jl. KH Abdul Wahid No.25, Kelurahan Kertosari, Kecamatan Banyuwangi</t>
  </si>
  <si>
    <t>KH. Achmad Siddiq, S.Ag, M.HI</t>
  </si>
  <si>
    <t>M. Rifa'i</t>
  </si>
  <si>
    <t>08 2248 724 562 Tele (08 2248 724 562 )</t>
  </si>
  <si>
    <t>Pondok Pesantren As Syamsuri Salamrejo</t>
  </si>
  <si>
    <t>Jln. Syamsuri Syamsudin, Dusun Salamrejo, Desa Sumbergondo, Kecamatan Glenmore</t>
  </si>
  <si>
    <t>KH. ICHSANUDIN SYAMSURI</t>
  </si>
  <si>
    <t>Agus Budianto</t>
  </si>
  <si>
    <t>083834923067 Tele 1 082225202425</t>
  </si>
  <si>
    <t xml:space="preserve">Yayasan Ma'had Amanatulloh </t>
  </si>
  <si>
    <t xml:space="preserve">Jl.sriwijaya, Wringinagung, Gambiran, Banyuwangi </t>
  </si>
  <si>
    <t>Drs.KH. Rouhin Huda</t>
  </si>
  <si>
    <t xml:space="preserve">Hasyim rifa'i </t>
  </si>
  <si>
    <t>083856015415</t>
  </si>
  <si>
    <t>Darussalam</t>
  </si>
  <si>
    <t>Kabatmantren, Wringinputih, Muncar</t>
  </si>
  <si>
    <t>KH. ALI MAHRUS MISBAH</t>
  </si>
  <si>
    <t>Ahmad Rifky Hadiansyah</t>
  </si>
  <si>
    <t>0882009627424</t>
  </si>
  <si>
    <t>Pondok Pesantren Sunni</t>
  </si>
  <si>
    <t>Sukomaju - Srono - Banyuwangi</t>
  </si>
  <si>
    <t xml:space="preserve">KH. Ainur Rofiq </t>
  </si>
  <si>
    <t>Nurul yaqin</t>
  </si>
  <si>
    <t>082141403507</t>
  </si>
  <si>
    <t xml:space="preserve">Pondok Pesantren Al Haramain </t>
  </si>
  <si>
    <t xml:space="preserve">Parijatah wetan Srono Banyuwangi </t>
  </si>
  <si>
    <t xml:space="preserve">KH MUHAMMAD HASANUDDIN </t>
  </si>
  <si>
    <t>Asvak</t>
  </si>
  <si>
    <t>081336896867</t>
  </si>
  <si>
    <t>haromediaofficial@gmail.com</t>
  </si>
  <si>
    <t>PONDOK PESANTREN ASY-SYAFAAH</t>
  </si>
  <si>
    <t>Jln.Bok Penceng No.10 Ds.Krajan Desa. Plampangrejo Kecamatan. Cluring Kabupaten Banyuwangi</t>
  </si>
  <si>
    <t>AGUS BAHAULLAH</t>
  </si>
  <si>
    <t>Sofian Sauri</t>
  </si>
  <si>
    <t>085244561894</t>
  </si>
  <si>
    <t xml:space="preserve">Al Futuhiyyah </t>
  </si>
  <si>
    <t xml:space="preserve">Jl Patung Raya no. 6 Tembokrejo Muncar Banyuwangi </t>
  </si>
  <si>
    <t>KH. Moh. syaifudin, S.Ag</t>
  </si>
  <si>
    <t xml:space="preserve">Ahmad Qosim </t>
  </si>
  <si>
    <t>089514586366</t>
  </si>
  <si>
    <t>Pondok Pesantren Sayyid Ahmad Banyuwangi</t>
  </si>
  <si>
    <t xml:space="preserve">Depan SPBU sukonatar (sukolilo, sukonatar, Srono Kabupaten Banyuwangi). </t>
  </si>
  <si>
    <t>K.H. AHMAD FAWAID, S.Pd.I</t>
  </si>
  <si>
    <t>Ali Riza</t>
  </si>
  <si>
    <t>085223929715</t>
  </si>
  <si>
    <t>www.sunniindonesia.com</t>
  </si>
  <si>
    <t>Ponpes Miftahul ulum</t>
  </si>
  <si>
    <t>Dusun Krajan barat RT 3 RW 4 desa labanasem kecamatan kabat</t>
  </si>
  <si>
    <t>Ustadz A.Zainul Arifin</t>
  </si>
  <si>
    <t>Deny sayidil akrom</t>
  </si>
  <si>
    <t>0882-3053-0298</t>
  </si>
  <si>
    <t xml:space="preserve">idrusmohamad1409@gmail.com </t>
  </si>
  <si>
    <t>PONDOK PESANTREN ADZ-DZIKRA BANYUWANGI</t>
  </si>
  <si>
    <t>jln.kepiting no 48, ds,tukangkayu. Kec, banyuwangi. Kab,banyuwangi</t>
  </si>
  <si>
    <t>Kh. Ir. Achmad wahyudi SH, MH.</t>
  </si>
  <si>
    <t>Asrori</t>
  </si>
  <si>
    <t>083831717632</t>
  </si>
  <si>
    <t>hesoyamgroup82@gmail.com</t>
  </si>
  <si>
    <t>Pondok Pesantren Subulussalam</t>
  </si>
  <si>
    <t>Jl. Sunan Drajad, Krajan I, Rt 003/Rw 003, Ds. Tegalsari, Kec. Tegalsari, Kab. Banyuwangi</t>
  </si>
  <si>
    <t>KH. Hambali Mu'thi</t>
  </si>
  <si>
    <t>Rifqi Fuadi Ahmad</t>
  </si>
  <si>
    <t>085234719413</t>
  </si>
  <si>
    <t>pondokpesantrensubulussalam9@gmail.com</t>
  </si>
  <si>
    <t>Pondok Pesantren Mabadiul Ihsan</t>
  </si>
  <si>
    <t>Jl. Kh. Achmad Musayyidi Karangdoro Tegalsari Banyuwangi</t>
  </si>
  <si>
    <t>KH Masykur Wardhi &amp; Ny. Hj. Murtasimah Zuhairo'</t>
  </si>
  <si>
    <t>Rika Anafia</t>
  </si>
  <si>
    <t>082264284146</t>
  </si>
  <si>
    <t>Pondok Pesantren Salafiyah Al-Mubaarok</t>
  </si>
  <si>
    <t>Jl. Soedomo Panjen Jambewangi Sempu Banyuwangi Jawa timur</t>
  </si>
  <si>
    <t>KH. Bahrul Muttaqin.AW,</t>
  </si>
  <si>
    <t>Amanda Khoirun Neisyah</t>
  </si>
  <si>
    <t>085812802405</t>
  </si>
  <si>
    <t>mediaalmubaarok@gmail.com</t>
  </si>
  <si>
    <t>Pondok Pesantren Darussalam puncak</t>
  </si>
  <si>
    <t>Barurejo siliragung Banyuwangi</t>
  </si>
  <si>
    <t>KH.ABDUL MALIK SYAFAAT</t>
  </si>
  <si>
    <t>AHMAD ZILDAN HAFIDZ ALFADANI</t>
  </si>
  <si>
    <t>082232438750</t>
  </si>
  <si>
    <t>ponpesdarussalamp@gmail.com</t>
  </si>
  <si>
    <t>Raudlatut Tholabah</t>
  </si>
  <si>
    <t>Dsn Krajan, Ds Sragi, Kec Songgon</t>
  </si>
  <si>
    <t>KH Abdullah Yasir</t>
  </si>
  <si>
    <t>Syahru tamam</t>
  </si>
  <si>
    <t>081296920591</t>
  </si>
  <si>
    <t>raudlatuttholabahsragi@gmail.com</t>
  </si>
  <si>
    <t xml:space="preserve">Ponpes Nurul Falah </t>
  </si>
  <si>
    <t xml:space="preserve">Sember jeding Srono Banyuwangi </t>
  </si>
  <si>
    <t>Nyai hj lutfiatus Sholeha</t>
  </si>
  <si>
    <t>Khotibin</t>
  </si>
  <si>
    <t>085745576297</t>
  </si>
  <si>
    <t>pondokpesantrennurulfalah01@gmail.com</t>
  </si>
  <si>
    <t>Pondok Pesantren Langitan</t>
  </si>
  <si>
    <t>Widang, Tuban, Jawa Timur</t>
  </si>
  <si>
    <t>Kabupaten Tuban</t>
  </si>
  <si>
    <t>KH. Abdullah Habib Faqih</t>
  </si>
  <si>
    <t>Firdaus Islami</t>
  </si>
  <si>
    <t>Pondok Pesantren Salaf Tahshilul Murodi</t>
  </si>
  <si>
    <t>Dsn. Dondoman Rt 002 / Rw 001 Ds. Bojoasri Kec. Kalitengah Kab. Lamongan</t>
  </si>
  <si>
    <t>Lamongan</t>
  </si>
  <si>
    <t>KH Nuril Huda</t>
  </si>
  <si>
    <t>Abdullah Fatih</t>
  </si>
  <si>
    <t>Agus Muhammad</t>
  </si>
  <si>
    <t>https://goo.gl/maps/xux546AyQNoP6AXH9</t>
  </si>
  <si>
    <t>Pps.tahshilulmurodi18@gmail.com</t>
  </si>
  <si>
    <t>Pondok Pesantren Raudlatut Thalibin</t>
  </si>
  <si>
    <t>Tanggir Singgahan Tuban</t>
  </si>
  <si>
    <t>Tuban</t>
  </si>
  <si>
    <t>KH. Manshur Mushlich</t>
  </si>
  <si>
    <t>Hafid Badaruddin</t>
  </si>
  <si>
    <t>Rizal Khusaeni</t>
  </si>
  <si>
    <t>https://maps.google.com/?cid=17196773838750989004</t>
  </si>
  <si>
    <t>pp.tanggirtuban@gmail.com</t>
  </si>
  <si>
    <t>Pondok Pesantren Ppm Daruttauhid Al Hasaniyyah</t>
  </si>
  <si>
    <t>Jl.Letnan Soecipto Gg.Haji Syakur Komplek Pondok Pesantren Ppm Daruttauhid Al Hasaniyyah Sendang Senori Tuban 62365</t>
  </si>
  <si>
    <t>K.Ach. Husam Zainul Fadhol Nashiruddin</t>
  </si>
  <si>
    <t>Mumuh Hidayat</t>
  </si>
  <si>
    <t>M.Hamka Sikho'un Nibros</t>
  </si>
  <si>
    <t>Pon Pes Daruttauhid Al Hasaniyyah https://maps.app.goo.gl/hbhRcDdX5v1tDi3i7</t>
  </si>
  <si>
    <t>ppmdaruttauhidalhasaniyyah@gmail.com</t>
  </si>
  <si>
    <t>Markaz Ridwan Romly Al Maliky</t>
  </si>
  <si>
    <t>Jl. Singoranu No.4 Sukorejo Bojonegoro</t>
  </si>
  <si>
    <t>Bojonegoro</t>
  </si>
  <si>
    <t>KH. Tsalis Dhuha Ridlwan</t>
  </si>
  <si>
    <t>Ahmad Khotibul Umam</t>
  </si>
  <si>
    <t>Ahmad Wahyu Rizkiawan</t>
  </si>
  <si>
    <t>AR-RIDWAN BOJONEGORO</t>
  </si>
  <si>
    <t>Media.arridwan.bojonegoro@gmail.com</t>
  </si>
  <si>
    <t>Pondok Pesantren Al Rosyid</t>
  </si>
  <si>
    <t>Jln. KHR. MOH. Rosyid Kendal Ngumpakdalem Dander Bojonegoro Jawa Timur</t>
  </si>
  <si>
    <t>KH. Alamul Huda</t>
  </si>
  <si>
    <t>Fawwaz</t>
  </si>
  <si>
    <t>https://g.page/yppp-alrosyid?share</t>
  </si>
  <si>
    <t>maalrosyid@gmail.com</t>
  </si>
  <si>
    <t>Pondok Pesantren Tarbiyatut Thullab</t>
  </si>
  <si>
    <t>Jl. Raya Sumurcinde Gg, Pondok Desa Sumurcinde - Soko - Tuban</t>
  </si>
  <si>
    <t>Ky. S Anshori, M.Pd</t>
  </si>
  <si>
    <t>Ust. Imam Rovi'i, S.Pd.I</t>
  </si>
  <si>
    <t>Muhammad Rizky Saputra</t>
  </si>
  <si>
    <t>https://goo.gl/maps/W9h7ED6nDTRZCFUQA</t>
  </si>
  <si>
    <t>Pp_tarbiyatutthullab@gmail.com</t>
  </si>
  <si>
    <t>Pondok Pesantren Nurul Huda</t>
  </si>
  <si>
    <t>Jl. Raya Sokosari, Gg. KH. Nurhasyim, No.7 Rt/01 Rw/01, Sokosari, Soko Tuba</t>
  </si>
  <si>
    <t>K. Khoirul Muttaqin Hasyim Dan K. Asadullah Khoiri Hasyim</t>
  </si>
  <si>
    <t>Adi Putra</t>
  </si>
  <si>
    <t>ppnurulhudasoko@gmail.com</t>
  </si>
  <si>
    <t>Pondok Pesantren Roudlotul Muta'allim</t>
  </si>
  <si>
    <t>Rt 28 Rw 02 Dk. Krajan Ds. Sugihwaras Kec. Sugihwaras</t>
  </si>
  <si>
    <t>Abdus Syafik, S.Si</t>
  </si>
  <si>
    <t>Achmad Khoirul Abidin</t>
  </si>
  <si>
    <t>Prayitno</t>
  </si>
  <si>
    <t>https://goo.gl/maps/BMTsphc6vviALvJy9</t>
  </si>
  <si>
    <t>ponpesroudlotulmutaallim@gmail.com</t>
  </si>
  <si>
    <t>Pesantren Dafi - Pondok Pesantren Darul Fiqhi</t>
  </si>
  <si>
    <t>Jl. Masjid Jami' Baitur Rahim, Miru, Sekaran, Lamongan</t>
  </si>
  <si>
    <t>KH. Fadloli Hasan</t>
  </si>
  <si>
    <t>H. Mufid Mubarok</t>
  </si>
  <si>
    <t>https://g.page/darulfiqhimirulamongan?share</t>
  </si>
  <si>
    <t>Ppad Al Ridlwan</t>
  </si>
  <si>
    <t>Sumbertlaseh, Dander, Bojonegoro</t>
  </si>
  <si>
    <t>K. M. Jauharul Ma'arif</t>
  </si>
  <si>
    <t>Ahmad Syifa'un Na'im</t>
  </si>
  <si>
    <t>Ahmad Khoiron</t>
  </si>
  <si>
    <t>Pondok Pesantren Abu Dzarrin Al-Ridlwan 0852-3548-0111 https://maps.app.goo.gl/VfMiR6P9E6g6yTXi9</t>
  </si>
  <si>
    <t>ppalridlwan@gmail.com</t>
  </si>
  <si>
    <t>Pondok Pesantren Nuur Al Anwar</t>
  </si>
  <si>
    <t>Jl Raya Parengan No 90, Rt 01/Rw 04. Desa Parengan, Kecamatan Maduran, Kabupaten Lamongan, Jawa Timur</t>
  </si>
  <si>
    <t>KH. Ali Imron Muhammad</t>
  </si>
  <si>
    <t>Naufal Tsawab</t>
  </si>
  <si>
    <t>089528458571</t>
  </si>
  <si>
    <t>https://goo.gl/maps/ipt8tQuQrezbLqdQ7</t>
  </si>
  <si>
    <t>nuur.alanwar01@gmail.com</t>
  </si>
  <si>
    <t>Ypp Alhamdulillah</t>
  </si>
  <si>
    <t>Jl. Sunan Drajat No. 9 Desa Geger Kecamatan Kedungadem Kabupaten Bojonegoro</t>
  </si>
  <si>
    <t>Ibu Dr. Dyah Ayu Ratna Dewi Aa, M. Pd. I</t>
  </si>
  <si>
    <t>Moh Taufiq</t>
  </si>
  <si>
    <t>M. Raka Zainuddin Rochmatulloh</t>
  </si>
  <si>
    <t xml:space="preserve">+62 813-3604-9196
</t>
  </si>
  <si>
    <t>Ponpes Alhamdulillah Berbaur Bojonegoro https://maps.app.goo.gl/wq69hBJ3nmykzbfG9</t>
  </si>
  <si>
    <t>ypp.alhamdulillah@gmai.com</t>
  </si>
  <si>
    <t>Al Lathifiyah Marzuqi Syakur</t>
  </si>
  <si>
    <t>Jl. Kalitidu - Ngasem Dk. Nglingi Ds. Bareng Kec. Ngasem Kab. Bojonegoro</t>
  </si>
  <si>
    <t>Kabupaten Bojonegoro</t>
  </si>
  <si>
    <t>Ky. MOCH ALY IMRON MZ</t>
  </si>
  <si>
    <t>Bagas Sandrianto Siregar</t>
  </si>
  <si>
    <t>08817020813</t>
  </si>
  <si>
    <t>Al marzuqi</t>
  </si>
  <si>
    <t xml:space="preserve">Pondok pesantren Syakur Al Marzuqi </t>
  </si>
  <si>
    <t>Kyai Agus Ali baidlowi</t>
  </si>
  <si>
    <t>Didik Heri mustofa</t>
  </si>
  <si>
    <t>+62 856-5515-9303</t>
  </si>
  <si>
    <t>YPPP MIFTAHUL ULUM</t>
  </si>
  <si>
    <t>RT. 03 RW. 01 Desa Sitiaji</t>
  </si>
  <si>
    <t>K. Syaikhu Mukhtar</t>
  </si>
  <si>
    <t>Ach. Latoiful Mahashin</t>
  </si>
  <si>
    <t>085607316128</t>
  </si>
  <si>
    <t>PONDOK PESANTREN BABUSSALAM</t>
  </si>
  <si>
    <t>Jln.Ds.Blawi Tengah Rt.02 Rw.03 Kec.Karangbinangun</t>
  </si>
  <si>
    <t>Kabupaten Lamongan</t>
  </si>
  <si>
    <t>KH.ROFI'I ABDURRAHMAN.Spd.i</t>
  </si>
  <si>
    <t>MUHAMMAD AFANUL MU'MIN</t>
  </si>
  <si>
    <t>081341574371</t>
  </si>
  <si>
    <t>Ponpes Adnan Al Charish</t>
  </si>
  <si>
    <t xml:space="preserve">Jl. KHM. Moh. Rosyid, Ngumpak Dalem, Dander </t>
  </si>
  <si>
    <t xml:space="preserve">KH Agus Ustadz Mangku Alam </t>
  </si>
  <si>
    <t xml:space="preserve">Muhammad Risqi Indra jaya </t>
  </si>
  <si>
    <t>088980607084</t>
  </si>
  <si>
    <t>Pondok Pesantren Kebon Dalem</t>
  </si>
  <si>
    <t>Jl KH Badrun No.99 Tanggungan-Pucuk-Lamongan</t>
  </si>
  <si>
    <t>Kyai UBAIDILLAH SALIM</t>
  </si>
  <si>
    <t>syarif hidayatulloh</t>
  </si>
  <si>
    <t>0896-7883-3718</t>
  </si>
  <si>
    <t>PP. IHYAUL 'ULUM</t>
  </si>
  <si>
    <t>Jl. Sumowiharjo No : 61-63 Gilang Babat Lamongan</t>
  </si>
  <si>
    <t>K. Muhammad Amin Muhyiddin</t>
  </si>
  <si>
    <t>Irfan, Afif, Faris</t>
  </si>
  <si>
    <t>085159984328</t>
  </si>
  <si>
    <t>Raudlatul Muslimin</t>
  </si>
  <si>
    <t xml:space="preserve"> Depan Pom bensin Rt.017/Rw.VI Dsn. Kedungbunder Desa Sumberarum kec. Ngraho</t>
  </si>
  <si>
    <t>K.Ibnu Khakim MHI</t>
  </si>
  <si>
    <t>Miftahul Munir dan M.Agus Budianto</t>
  </si>
  <si>
    <t>+62 857-7763-8974</t>
  </si>
  <si>
    <t xml:space="preserve">Pondok Pesantren Fathul Hidayah </t>
  </si>
  <si>
    <t xml:space="preserve">Pangean Maduran Lamongan </t>
  </si>
  <si>
    <t>Kyai Ahmad Labiq Muzayyan S. Ud,. M. Ag.</t>
  </si>
  <si>
    <t xml:space="preserve">Khoirul Huda </t>
  </si>
  <si>
    <t>+62 857-3047-3746</t>
  </si>
  <si>
    <t>Pondok Pesantren ASSALAM Bangilan Tuban</t>
  </si>
  <si>
    <t>Jl. Raya Kauman No.01 Bangilan Tuban 62364</t>
  </si>
  <si>
    <t>H. Yunan Jauhar, S.Pd, M.Pd.I</t>
  </si>
  <si>
    <t>Rivan nur Rochim</t>
  </si>
  <si>
    <t>085815831664</t>
  </si>
  <si>
    <t xml:space="preserve">Pondok Pesantren Maulana Ishaq </t>
  </si>
  <si>
    <t xml:space="preserve">Jln pendidikan raya kampung bukit raya Kemantren Paciran Lamongan </t>
  </si>
  <si>
    <t>KH Abdul Wahid M.Pd.I</t>
  </si>
  <si>
    <t xml:space="preserve">Rifki Danu Pratama </t>
  </si>
  <si>
    <t>089530416660</t>
  </si>
  <si>
    <t xml:space="preserve">Pondok Pesantren Roudlotul Muta'abbidin </t>
  </si>
  <si>
    <t xml:space="preserve">Payaman Solokuro Lamongan </t>
  </si>
  <si>
    <t>Kyai H. Bastho Basyir</t>
  </si>
  <si>
    <t>A'id Majdana</t>
  </si>
  <si>
    <t>085772183729</t>
  </si>
  <si>
    <t xml:space="preserve">Pondok Pesantren Manba'ul Qur'an </t>
  </si>
  <si>
    <t xml:space="preserve">Semenpinggir -Kapas -Bojonegoro </t>
  </si>
  <si>
    <t xml:space="preserve">K. A Mukhlis Alhafidz </t>
  </si>
  <si>
    <t xml:space="preserve">Alimun tamam </t>
  </si>
  <si>
    <t>081335840981</t>
  </si>
  <si>
    <t>Pondok pesantren AL-MASYITHOH MANBAIL FUTUH</t>
  </si>
  <si>
    <t>Jalan masjid besar baiturrahman beji jenu tuban</t>
  </si>
  <si>
    <t>K NURUL FAHMI</t>
  </si>
  <si>
    <t>Nuruddin Tahta Wijaya</t>
  </si>
  <si>
    <t>089513741191</t>
  </si>
  <si>
    <t>Mboten nggadah</t>
  </si>
  <si>
    <t xml:space="preserve">PPTQ Darul Falah Al-Fatahiyah </t>
  </si>
  <si>
    <t xml:space="preserve">Dusun Kradenan RT 02 RW 01 Desa Kradenan Kecamatan Palang Kabupaten Tuban </t>
  </si>
  <si>
    <t>KH. Ahmad Tamim</t>
  </si>
  <si>
    <t>Moch. Noer Azis</t>
  </si>
  <si>
    <t>08990204401</t>
  </si>
  <si>
    <t>pptqdarulfalahalfatahiyah@gmail.com</t>
  </si>
  <si>
    <t>PP. Darul Ghuroba' Langitan</t>
  </si>
  <si>
    <t>Jl. Raya Widang - Tuban - Jawa Timur</t>
  </si>
  <si>
    <t>KH. Ubaidillah Faqih</t>
  </si>
  <si>
    <t>Rian</t>
  </si>
  <si>
    <t>085175071852</t>
  </si>
  <si>
    <t>pondokghurobak@gmail.com</t>
  </si>
  <si>
    <t xml:space="preserve">PP AL MUKHTARIYYAH AS SYAFI'IYYAH </t>
  </si>
  <si>
    <t xml:space="preserve">Jln Masjid Baiturrahman, Ds Beji, Kc Jenu, Kb Tuban </t>
  </si>
  <si>
    <t>AGUS FAIZUL WAJIH</t>
  </si>
  <si>
    <t>Ahmad Mutholib</t>
  </si>
  <si>
    <t>0817-0338-7842</t>
  </si>
  <si>
    <t>PONPES BAITURROHMAN ALBALAWI</t>
  </si>
  <si>
    <t>YAYASAN PONPES BAITURROHMAN ALBALAWI</t>
  </si>
  <si>
    <t>K. ACHMY MUCHTAROM S.Pd.i</t>
  </si>
  <si>
    <t>M. Rofi'ul Hamim S.Mat</t>
  </si>
  <si>
    <t>+62 857-3099-5518</t>
  </si>
  <si>
    <t>yppbaiturrohmanalbalawi@gmail.com</t>
  </si>
  <si>
    <t>Pondok Pesantren darul ulum</t>
  </si>
  <si>
    <t>Dsn. Medali Ds. Daliwangun Kec. Sugio kab. Lamongan</t>
  </si>
  <si>
    <t>KH. F. Ghufron ahcmadi</t>
  </si>
  <si>
    <t>Agus Mustofa</t>
  </si>
  <si>
    <t>PONDOK PESANTREN AL- FATTAH SIMAN</t>
  </si>
  <si>
    <t>Ponpes Al Fattah, Jalan Desa Siman No.149, RT.4/RW.2, Siman, Sekaran</t>
  </si>
  <si>
    <t>KH. ABDUL MUHITH FATTAH</t>
  </si>
  <si>
    <t>MUH HIZBULLAH NASHIHURROHMAN</t>
  </si>
  <si>
    <t>ppalfattahsiman@gmail.com</t>
  </si>
  <si>
    <t>Pondok Pesantren Roudloh</t>
  </si>
  <si>
    <t>Dusun Mruwut RT 01 RW 01 Desa Semambung Kecamatan Kanor Kabupaten Bojonegoro</t>
  </si>
  <si>
    <t>KH Ali Ihsan Baidlowi</t>
  </si>
  <si>
    <t>Nunung</t>
  </si>
  <si>
    <t>ponpesroudloh.semambung@gmail.com</t>
  </si>
  <si>
    <t>PP. BUSTANUL MUTA'ALLIMIN</t>
  </si>
  <si>
    <t>Jl. Raya babat - Jombang no. 99 jubak nguwok Modo Lamongan</t>
  </si>
  <si>
    <t>KH. M. MUSTAQIM</t>
  </si>
  <si>
    <t>M mujib</t>
  </si>
  <si>
    <t>ppbmbustanulmutaallimin@gmail.com</t>
  </si>
  <si>
    <t>Pondok pesantren abu dzarrin</t>
  </si>
  <si>
    <t>Sumbertlaseh dander bojonegoro</t>
  </si>
  <si>
    <t>Khm. Muna'amul choir Dy.</t>
  </si>
  <si>
    <t>Nurul huda</t>
  </si>
  <si>
    <t>alhabsyippad@gmail.com</t>
  </si>
  <si>
    <t>DARUL HIKMAH</t>
  </si>
  <si>
    <t>Jln Sunan Giri, Gumantuk, Maduran, Lamongan</t>
  </si>
  <si>
    <t>KH YUSUF AFANDY</t>
  </si>
  <si>
    <t>Putra Ato'Illah</t>
  </si>
  <si>
    <t>MIFTAHUL ISHLAH</t>
  </si>
  <si>
    <t>Jln. Kyai Girik Dusun Gebalan Desa Wukirharjo Kec Parengan Tuban</t>
  </si>
  <si>
    <t>MOH. SHOHIBUL HUSNI, M. Pd</t>
  </si>
  <si>
    <t>YOGA DWI SUSANTO</t>
  </si>
  <si>
    <t>miftahulishlah17@gmail.com</t>
  </si>
  <si>
    <t>Pondok Pesantren Darussholeh</t>
  </si>
  <si>
    <t>Jl. A. Yani, Gg. Nglaren, Ds. Rengel, Kec. Rengel</t>
  </si>
  <si>
    <t>K. M. Mujab Alawi</t>
  </si>
  <si>
    <t>Muhammad Aan Rifai</t>
  </si>
  <si>
    <t>AN-NUR</t>
  </si>
  <si>
    <t>Ds. Pakel Kec. Montong</t>
  </si>
  <si>
    <t>KH. Moh. Rif'an</t>
  </si>
  <si>
    <t>Ainul Yakin</t>
  </si>
  <si>
    <t>zafazack3@gmail.com</t>
  </si>
  <si>
    <t>Sidodadi pesantren</t>
  </si>
  <si>
    <t>Desa Clebung RT.03 RW.01 Kecamatan Bubulan Kabupaten Bojonegoro Provinsi Jawa Timur</t>
  </si>
  <si>
    <t>Al Bayan</t>
  </si>
  <si>
    <t>Shanum</t>
  </si>
  <si>
    <t>Masih Proses berlanjut terus</t>
  </si>
  <si>
    <t>PONDOK PESANTREN MAZRO'ATUL FATTAH AL-MALIKY</t>
  </si>
  <si>
    <t>Pondok Pesantren Mazroatul Fattah Al Maliki Jalan Ponpes Al Fattah No. 149,RT.4/RW.2, Siman, Sekaran</t>
  </si>
  <si>
    <t>KH. MOHAMMAD MAKMUN FATTAH</t>
  </si>
  <si>
    <t>ponpesmazroatulfattah@gmail.com</t>
  </si>
  <si>
    <t>Yayasan Hafidz Qur'an Indonesia</t>
  </si>
  <si>
    <t>Jln.Demang kusumoyudho dekat pasar/koramil Ngasem Bojonegoro</t>
  </si>
  <si>
    <t>Abuya Moh.Wahyudi</t>
  </si>
  <si>
    <t>Dika Herlia Purwanti</t>
  </si>
  <si>
    <t>0857-3552-4706</t>
  </si>
  <si>
    <t>officialyahqi@gmail.com</t>
  </si>
  <si>
    <t>Pondok Pesantren Sunan Drajat</t>
  </si>
  <si>
    <t>banjaranyar paciran lamongan</t>
  </si>
  <si>
    <t>Prof.DR.K.H Abdul Ghofur</t>
  </si>
  <si>
    <t>Anggi Kaswari</t>
  </si>
  <si>
    <t>Ponpes Al Hidayah Pagendingan</t>
  </si>
  <si>
    <t>Jln Tanah Lapang, RT/RW 05/02, Dsn. Pagendingan, Ds. Kanugrahan, Kec. Maduran, Kab. Lamongan.</t>
  </si>
  <si>
    <t>KH. Ali Ahmad Marzuqi</t>
  </si>
  <si>
    <t>Hamka</t>
  </si>
  <si>
    <t>Muhammad Nizarudin</t>
  </si>
  <si>
    <t>alhidayahpagendingan12@gmail.com</t>
  </si>
  <si>
    <t>Pp Nurus Siroj</t>
  </si>
  <si>
    <t>Jl.kh hasyim asy'ari rt 7 rw 4 Beton Tritunggal Babat lamongan jawa timur</t>
  </si>
  <si>
    <t>KH.MA'MUN AFANDI</t>
  </si>
  <si>
    <t>NAIFUDDIN AL MUBAROK</t>
  </si>
  <si>
    <t>nurussiroj71@gmail.com</t>
  </si>
  <si>
    <t>Pp al hikmah</t>
  </si>
  <si>
    <t>Pp Al-Hikmah2 Bahrul Ulum Tambak Beras Jombang, Gang 3 Tambak Rejo, Jombang</t>
  </si>
  <si>
    <t>Agus muhammad rofi'an</t>
  </si>
  <si>
    <t>Ahmad zaidan zidnafan</t>
  </si>
  <si>
    <t>alhikmahbu1981@gmail.com</t>
  </si>
  <si>
    <t>Pondok Pesantren Riyadlul Mubtadiin</t>
  </si>
  <si>
    <t>365 Lajo kidul singgahan tuban</t>
  </si>
  <si>
    <t>Kh. Muhtadi Musta'in</t>
  </si>
  <si>
    <t>Mohammad Naufal Albadry</t>
  </si>
  <si>
    <t>‪+62 851‑5980‑0284‬</t>
  </si>
  <si>
    <t>Pprmlajokidul@gmail.com</t>
  </si>
  <si>
    <t>Desa Prambontergayang Kecamatan Soko Kabupaten Tuban Jawa Timur</t>
  </si>
  <si>
    <t>K.Abdul Malik</t>
  </si>
  <si>
    <t>Izam Ma'ruf</t>
  </si>
  <si>
    <t>0823-3755-5410</t>
  </si>
  <si>
    <t>alishlahprambon@gmail.com</t>
  </si>
  <si>
    <t>Pondok Pesantren Miftahul Hikmah Tuban</t>
  </si>
  <si>
    <t>jl.raya pondok pesantren Miftahul hikmah Sukorejo kecamatan Parengan kabupaten tuban</t>
  </si>
  <si>
    <t>K.Miftahul Asror, S.Pd M.Pd</t>
  </si>
  <si>
    <t>Ahmad Bahrudin</t>
  </si>
  <si>
    <t>085943793483</t>
  </si>
  <si>
    <t>ponpesmiftahulhikmahtuban@gmail.com</t>
  </si>
  <si>
    <t>7 orang</t>
  </si>
  <si>
    <t xml:space="preserve">Pondok Pesantren Darul Istiqomah </t>
  </si>
  <si>
    <t>Jl. Diponegoro no. 100 Ds. Woro Kec. Kepohbaru Kab. Bojonegoro</t>
  </si>
  <si>
    <t>K. H. Abdul Hamid Saifuddin Zuhri Al-Musyaffa'</t>
  </si>
  <si>
    <t xml:space="preserve">Fatkhur Rozik </t>
  </si>
  <si>
    <t>M. Faiz i'zazaddin</t>
  </si>
  <si>
    <t>masadarulistiqomah92@gmail.com</t>
  </si>
  <si>
    <t>pondok pesantren terbiyatut tholabah</t>
  </si>
  <si>
    <t>kranji paciran lamongan</t>
  </si>
  <si>
    <t>kh. sahulul khuluq</t>
  </si>
  <si>
    <t>susilo hadi wijoyo</t>
  </si>
  <si>
    <t>085606395159</t>
  </si>
  <si>
    <t xml:space="preserve">Baitul Qur'an Lamongan </t>
  </si>
  <si>
    <t xml:space="preserve">Desa gembong kecamatan babat kabupaten Lamongan </t>
  </si>
  <si>
    <t xml:space="preserve">KH. Abah Faqih </t>
  </si>
  <si>
    <t xml:space="preserve">Ferdiansyah </t>
  </si>
  <si>
    <t>083131075025</t>
  </si>
  <si>
    <t>bqlamongan2018@gmail.com</t>
  </si>
  <si>
    <t xml:space="preserve">PP Roudlotul Qur'an </t>
  </si>
  <si>
    <t xml:space="preserve">Jln. KH. Ahmad Dahlan Gg. Mawar No. 34B, Tlogoanyar-Lamongan </t>
  </si>
  <si>
    <t>Drs. KH. Slamet Muhaimin</t>
  </si>
  <si>
    <t xml:space="preserve">Retno Mayzima Mu'minah </t>
  </si>
  <si>
    <t>085741662990</t>
  </si>
  <si>
    <t>pprq2020@gmail.com</t>
  </si>
  <si>
    <t>Ponpes  Al Manshur</t>
  </si>
  <si>
    <t xml:space="preserve">Jl. Masjid No. 01 Rt.11 Rw. 03 Ds. Bulu Kec.Balen Kab. Bojonegoro </t>
  </si>
  <si>
    <t>Dr. KH. Ahmad Manshur, M.A.</t>
  </si>
  <si>
    <t xml:space="preserve">Hardianto </t>
  </si>
  <si>
    <t>Dari ig</t>
  </si>
  <si>
    <t>PonpesAlmanshur @gmail.com</t>
  </si>
  <si>
    <t xml:space="preserve">PONDOK PESANTREN TARBIYATUT THULLAB </t>
  </si>
  <si>
    <t>SUMURCINDE - SOKO - TUBAN</t>
  </si>
  <si>
    <t>KH. SUYONO ANSHORI M.PD</t>
  </si>
  <si>
    <t xml:space="preserve">Yogi Erwin Ferdiansyah </t>
  </si>
  <si>
    <t>085951454105</t>
  </si>
  <si>
    <t>mediathullab97@gmail.com</t>
  </si>
  <si>
    <t>Pondok Pesantren Tahfidh Al Furqon</t>
  </si>
  <si>
    <t xml:space="preserve">Karang Sekaran Lamongan </t>
  </si>
  <si>
    <t>KH. M. Asnawi Abdurrohman</t>
  </si>
  <si>
    <t>M. Irsyadul Anam</t>
  </si>
  <si>
    <t>085733188993</t>
  </si>
  <si>
    <t>pptfpondokputri@gmail.com</t>
  </si>
  <si>
    <t>PP. TAHSHILUL MURODI</t>
  </si>
  <si>
    <t>Dondoman Bojoasri kalitengah lamongan</t>
  </si>
  <si>
    <t>AGUS H. MUHAMMAD</t>
  </si>
  <si>
    <t>Abdulloh Fatih</t>
  </si>
  <si>
    <t>085706116411</t>
  </si>
  <si>
    <t>pptahshilulmurodi1994@gmail.com</t>
  </si>
  <si>
    <t>PPTQ DARUT TAUHID</t>
  </si>
  <si>
    <t>KADUNGREJO BAURENO BOJONEGORO</t>
  </si>
  <si>
    <t>K MASDURI AL HAFIDZ</t>
  </si>
  <si>
    <t>M NIZAR CHAFIDUDDIN</t>
  </si>
  <si>
    <t>085790360431</t>
  </si>
  <si>
    <t>pptqdaruttauhid@gnail.com</t>
  </si>
  <si>
    <t>Pondok pesantren Al mubaarokah</t>
  </si>
  <si>
    <t>Kedungjambe - Singgahan - Tuban</t>
  </si>
  <si>
    <t xml:space="preserve">KH. Ali mujib </t>
  </si>
  <si>
    <t>Kusapa_chanel</t>
  </si>
  <si>
    <t>Media_al-mubaarokah</t>
  </si>
  <si>
    <t>Media_almubaarokah</t>
  </si>
  <si>
    <t>Media_al-mubarokah</t>
  </si>
  <si>
    <t>Ahmad zainul yakin</t>
  </si>
  <si>
    <t>0895415012221</t>
  </si>
  <si>
    <t>yayasanalmubaarokah@gmail.com</t>
  </si>
  <si>
    <t>PP. AL MUSAA'ADAH</t>
  </si>
  <si>
    <t xml:space="preserve">Klating Tikung Lamongan </t>
  </si>
  <si>
    <t>KH. Ahmad Muzakki</t>
  </si>
  <si>
    <t>Ponpes Al-Musaa'adah</t>
  </si>
  <si>
    <t>www.almusaaadah.blogspot.com</t>
  </si>
  <si>
    <t>Maftuhin</t>
  </si>
  <si>
    <t>Pimpinan Pondok</t>
  </si>
  <si>
    <t>085731893097</t>
  </si>
  <si>
    <t>almusaaadah@gmail.com</t>
  </si>
  <si>
    <t>PP. Langitan</t>
  </si>
  <si>
    <t>Widang Tuban Jatim</t>
  </si>
  <si>
    <t>KH. Ubaidillah Faqih, KH. Muhammad Ali, KH. Muhammad Faqih, KH, Abdullah Habib Faqih, KH. Abdurrahman Faqih, KH. Ma'shum Faqih</t>
  </si>
  <si>
    <t>Langitan Touch</t>
  </si>
  <si>
    <t>Menara Langitan</t>
  </si>
  <si>
    <t>menaralangitan</t>
  </si>
  <si>
    <t>langitan.net</t>
  </si>
  <si>
    <t>Arun Nugroho</t>
  </si>
  <si>
    <t>Instagram</t>
  </si>
  <si>
    <t>082257919848</t>
  </si>
  <si>
    <t>langitan@langitan.net</t>
  </si>
  <si>
    <t>Pondok Pesantren Assalafi Al Fithrah Lamongan</t>
  </si>
  <si>
    <t>Jl. Raya Mantup. Gg. Kebonrejo No. 99 Dusun. Pule Desa. Bakalanpule. Kecamatan Tikung. Kabupaten Lamongan</t>
  </si>
  <si>
    <t>KH. Semi Harto</t>
  </si>
  <si>
    <t>alfithrahlamongan</t>
  </si>
  <si>
    <t>Belum membuat</t>
  </si>
  <si>
    <t>Afdhol Yusron</t>
  </si>
  <si>
    <t>Ketua media</t>
  </si>
  <si>
    <t>085608388006</t>
  </si>
  <si>
    <t>Pondok Pesantren Al Mutamakkin</t>
  </si>
  <si>
    <t>Jl. Ngotok, Ds. Semen pinggir, Kec. Kapas, Kab. Bojonegoro</t>
  </si>
  <si>
    <t>K.M Ubaidillah</t>
  </si>
  <si>
    <t>@Media Center ponpes almutamakkin</t>
  </si>
  <si>
    <t>@Ponpes.almutamakkin</t>
  </si>
  <si>
    <t>Media center ponpes almutamakkin</t>
  </si>
  <si>
    <t>Ajeng Indri Fibrianti</t>
  </si>
  <si>
    <t>Bendahara</t>
  </si>
  <si>
    <t>085607067703</t>
  </si>
  <si>
    <t>Jiwapesantrenku@gmail.com</t>
  </si>
  <si>
    <t>Pondok Pesantren Lirboyo</t>
  </si>
  <si>
    <t>Pondok Pesantren Al-Falah Ploso</t>
  </si>
  <si>
    <t>Pondok Pesantren Al-Badru Al-Falah Ploso</t>
  </si>
  <si>
    <t xml:space="preserve">Dsn. Mayan Ds. Kranding Kec. Mojo Kab. Kediri </t>
  </si>
  <si>
    <t>Kab. Kediri</t>
  </si>
  <si>
    <t>Pondok Pesantren Fathul Ulum Kwagean</t>
  </si>
  <si>
    <t>Kwagean, Krenceng, Kepung, Kediri</t>
  </si>
  <si>
    <t>KH. Abdul Hannan Ma'shum</t>
  </si>
  <si>
    <t>Ali Wafa</t>
  </si>
  <si>
    <t>https://maps.app.goo.gl/7JkELyU7dBUNjtBo9</t>
  </si>
  <si>
    <t>Pondok Pesantren Salaf Modern Banin Banar Al-Mubtadi-ien</t>
  </si>
  <si>
    <t>Pondok Pesantren Lirboyo HM Al-Mahrusiyah</t>
  </si>
  <si>
    <t>Pondok Pesantren Hidayatut Thullab</t>
  </si>
  <si>
    <t>Jl. Bagrug Gg Masjid Petuk RT 01 RW 04 Puhrubuh Semen 64161 Kediri</t>
  </si>
  <si>
    <t>KH. Ahmad Yasin Asymuni</t>
  </si>
  <si>
    <t>Muhammad Fuadul Maulawi</t>
  </si>
  <si>
    <t>Hamzah Shonur Aina</t>
  </si>
  <si>
    <t>https://maps.app.goo.gl/mEehpyY1926b5NMYA</t>
  </si>
  <si>
    <t>pphidayatutthullabpetuk@gmail.com</t>
  </si>
  <si>
    <t>Pondok Pesantren Tabassam Al Falah</t>
  </si>
  <si>
    <t>Ploso mojo kediri</t>
  </si>
  <si>
    <t>KH Muhammad Ma'mun Mahfudz</t>
  </si>
  <si>
    <t>Ch Moona</t>
  </si>
  <si>
    <t>Alul Mubarok</t>
  </si>
  <si>
    <t>https://maps.app.goo.gl/The8PBZ2yqCQRicQ6</t>
  </si>
  <si>
    <t>Tabassamalfalah@gmail.com</t>
  </si>
  <si>
    <t>Pondok Pesantren Al Ishlah As Suyuthi</t>
  </si>
  <si>
    <t>Dlopo - Karangrejo - Ngasem - Kediri</t>
  </si>
  <si>
    <t>KH. Abdul Syukur</t>
  </si>
  <si>
    <t>M. Fajar Abdurrohman</t>
  </si>
  <si>
    <t>Alfi Nur Rosyad</t>
  </si>
  <si>
    <t>https://maps.app.goo.gl/GAGqDHyeqmtDJPbr8</t>
  </si>
  <si>
    <t>Pendapaalishlah@gmail.com</t>
  </si>
  <si>
    <t>Pondok Pesantren Darussalam Sumbersari</t>
  </si>
  <si>
    <t>Jl. KH. Imam Faqih Asy'ari Sumbersari kencong kepung kediri</t>
  </si>
  <si>
    <t>KH. Ahmad Zainuri Faqih</t>
  </si>
  <si>
    <t>Ahmad Athoillah</t>
  </si>
  <si>
    <t>Syafiul IKHSAN</t>
  </si>
  <si>
    <t>https://bit.ly/2W3Er5E</t>
  </si>
  <si>
    <t>darussalamsbs@gmail.com</t>
  </si>
  <si>
    <t>Pondok Pesantren Al-Ishlahiyyah Mayan</t>
  </si>
  <si>
    <t>RT.007 / RW.002 DUSUN MAYAN DESA KRANDING MOJO KEDIRI</t>
  </si>
  <si>
    <t>KH. M. Nadjib Zamzami</t>
  </si>
  <si>
    <t>Vanani Zen</t>
  </si>
  <si>
    <t>+62 823-3758-9405</t>
  </si>
  <si>
    <t>pondokmayan@gmail.com</t>
  </si>
  <si>
    <t>Pondok Pesantren Darul Qur'an</t>
  </si>
  <si>
    <t>Jl KH Imam Faqih Asy'ari sumbersari kencong kepung kediri</t>
  </si>
  <si>
    <t>Kh Abi Musa Asy'ari</t>
  </si>
  <si>
    <t>Miftahul AULA</t>
  </si>
  <si>
    <t>https://bit.ly/31VV2vU</t>
  </si>
  <si>
    <t>darulquranbersatu@gmail.com</t>
  </si>
  <si>
    <t>Pondok Pesantren Ma'hadusshibyan Darussalam</t>
  </si>
  <si>
    <t>Sumbersari, Kencong, Kepung, Kediri</t>
  </si>
  <si>
    <t>KH. Hadlirin Abdurrohman</t>
  </si>
  <si>
    <t>Achmad farid muzammil</t>
  </si>
  <si>
    <t>Heru IKHWANUDIN</t>
  </si>
  <si>
    <t>https://maps.app.goo.gl/C2ZCfo7BXf76siiK9</t>
  </si>
  <si>
    <t>Pp.mahadusshibyan@gmail.com</t>
  </si>
  <si>
    <t>Pondok Pesantren Junuudul Musthofa</t>
  </si>
  <si>
    <t>Mondo,Mojo Kediri</t>
  </si>
  <si>
    <t>Habib Ali bin Hasan Baharun</t>
  </si>
  <si>
    <t>Mas Arif</t>
  </si>
  <si>
    <t>Mbak Diski</t>
  </si>
  <si>
    <t>Pondok Pesantren Assalafiy Al Ikhlas</t>
  </si>
  <si>
    <t>Jl. Sriwijaya Desa Kaliboto Kec. Tarokan Kab. Kediri</t>
  </si>
  <si>
    <t>KH. Luqman Alifiy Dhofir</t>
  </si>
  <si>
    <t>M. Tanwirul Ghozi</t>
  </si>
  <si>
    <t>M. Syaiful Anas</t>
  </si>
  <si>
    <t>https://maps.app.goo.gl/CHPLUaj5EvTbXokS9</t>
  </si>
  <si>
    <t>Yppsialikhlas72@gmail.com</t>
  </si>
  <si>
    <t>Pondok Pesantren Hidayatul Mubtadi-Ien Tegal Arum</t>
  </si>
  <si>
    <t>Dk. Talun, Ds. Pojok Mojoroto, Kota Kediri</t>
  </si>
  <si>
    <t>Kota Kediri</t>
  </si>
  <si>
    <t>Agus Solahuddin Al Ayyubi</t>
  </si>
  <si>
    <t>M. Akhsanul Muhtadin</t>
  </si>
  <si>
    <t>Tri Arixo</t>
  </si>
  <si>
    <t>https://maps.app.goo.gl/WUidqnEcNvVkK5AT8</t>
  </si>
  <si>
    <t>talunsantri@gmail.com</t>
  </si>
  <si>
    <t>Pondok Pesantren HM Lirboyo</t>
  </si>
  <si>
    <t>Jl. KH. Abd Karim No.40, Lirboyo, Kec. Mojoroto, Kota Kediri, Jawa Timur 64117</t>
  </si>
  <si>
    <t>KH. Abdulloh Kafabihi</t>
  </si>
  <si>
    <t>Faqih Aly</t>
  </si>
  <si>
    <t>081296640086</t>
  </si>
  <si>
    <t>https://goo.gl/maps/JirakCVNf2y41BWAA</t>
  </si>
  <si>
    <t>pphmlirboyo1962@gmail.com</t>
  </si>
  <si>
    <t>Pondok Pesantren Tsuroyya Alfalah Putri</t>
  </si>
  <si>
    <t>Jl. Raya Mojo, Ploso, Mojo, Kediri, Jawa Timur 64162</t>
  </si>
  <si>
    <t>Kediri</t>
  </si>
  <si>
    <t>KH. Nurul Huda Djazuli</t>
  </si>
  <si>
    <t>muflihul kamal</t>
  </si>
  <si>
    <t>Zahwa</t>
  </si>
  <si>
    <t>PONPES Al Falah Putri Formal (TSUROYYA) https://maps.app.goo.gl/LpVArffxs6HwCn3N6</t>
  </si>
  <si>
    <t>alfalahtsuroyya@gmail.com</t>
  </si>
  <si>
    <t>Pondok Pesantren Rohmatul Ummah</t>
  </si>
  <si>
    <t>Dsn.Baran Ds.Purwodadi Kec.Ringinrejo Kab.Kediri</t>
  </si>
  <si>
    <t>Kabupaten Kediri</t>
  </si>
  <si>
    <t>Romo kyai Ali Zubaidi</t>
  </si>
  <si>
    <t>Salman Al-farizy</t>
  </si>
  <si>
    <t>M.Darul Mustaqin</t>
  </si>
  <si>
    <t>#ERROR!</t>
  </si>
  <si>
    <t>Ponpes Rohmatul Ummah 0856-4902-0859 https://maps.app.goo.gl/6tZgdb5PaCAcn3837</t>
  </si>
  <si>
    <t>pondokru2010@gmail.com</t>
  </si>
  <si>
    <t>Pondok Pesantren Al-Hikmah 2 Sugihwaras</t>
  </si>
  <si>
    <t>Pondok Pesantren Al-Hikmah 2 Dusun. Sugihwaras, Jalan Lawu, RT.1/RW.10, Ds Pandansari, Purwoasri, KAB. KEDIRI, PURWOASRI, JAWA TIMUR, ID, 64154</t>
  </si>
  <si>
    <t>KH. AH. Nashrul Islam Badrus Sholeh</t>
  </si>
  <si>
    <t>Khairul Anam</t>
  </si>
  <si>
    <t>Fafudin</t>
  </si>
  <si>
    <t xml:space="preserve">+62 857-0811-0632
</t>
  </si>
  <si>
    <t>Al Hikmah 2 https://maps.app.goo.gl/nFJkXWF6MCpAEUGi9</t>
  </si>
  <si>
    <t>alhikmah2sugihwaras@gmail.com</t>
  </si>
  <si>
    <t>YPP. Tarbiyatun Nasyi'in Al Minhaaj</t>
  </si>
  <si>
    <t>Jl Raya Wates-Kediri Belakang SPBU Bondo</t>
  </si>
  <si>
    <t>KH. Abdulloh Adlan</t>
  </si>
  <si>
    <t>M Zaenal Arifin</t>
  </si>
  <si>
    <t>6285859720154</t>
  </si>
  <si>
    <t>Pondok pesantren al-hikmah purwoasri</t>
  </si>
  <si>
    <t>Jln Raya No. 86 Purwoasri Kediri</t>
  </si>
  <si>
    <t>KH. Fathul Karim Badrus</t>
  </si>
  <si>
    <t>Azizul Baihaqi</t>
  </si>
  <si>
    <t>081252389346</t>
  </si>
  <si>
    <t xml:space="preserve">Ponpes Al Ma'ruf </t>
  </si>
  <si>
    <t>Jl. KH Wachid Hasyim GG. IV. No. 17, Bandar Lor, Kec. Mojoroto, kota Kediri, Jawa Timur 64114</t>
  </si>
  <si>
    <t>KH. IMAM YAHYA MALIK</t>
  </si>
  <si>
    <t>Ahmad Bahau rifan</t>
  </si>
  <si>
    <t>081222163602</t>
  </si>
  <si>
    <t xml:space="preserve">PP QUR'ANAN 'AROBIYYA </t>
  </si>
  <si>
    <t>Pondok Pesantren Qur'anan Arobiyya, Jalan Masjid Ar-Ridlo RT 03 RW 04, Ngasinan, Rejomulyo,, KOTA KEDIRI, KEDIRI KOTA, JAWA TIMUR, ID, 64129</t>
  </si>
  <si>
    <t>Abi Munjiyat</t>
  </si>
  <si>
    <t xml:space="preserve">Zeni Sibtin Nihayah </t>
  </si>
  <si>
    <t>081217821471</t>
  </si>
  <si>
    <t>PP.Tahfidhul Qur'an Al-Hikmah</t>
  </si>
  <si>
    <t>Jl. Raya No.54 Purwoasri Kediri</t>
  </si>
  <si>
    <t>KH. Abdul Nashir Badrus</t>
  </si>
  <si>
    <t>Muchamad Nasrulloh</t>
  </si>
  <si>
    <t>085784242484</t>
  </si>
  <si>
    <t xml:space="preserve">PONDOK PESANTREN AL ALAWI BANJAR MELATI BANDAR KIDUL KOTA KEDIRI JAWA TIMUR INDONÉSIA </t>
  </si>
  <si>
    <t xml:space="preserve">BANJAR MELATI BANDAR KIDUL KOTA KEDIRI JAWA TIMUR INDONÉSIA </t>
  </si>
  <si>
    <t xml:space="preserve">KH AHMAD SIHABUDDIN </t>
  </si>
  <si>
    <t>AKBAR</t>
  </si>
  <si>
    <t>085645636721</t>
  </si>
  <si>
    <t>Pondok As Salam Pesantren Fathul Ulum</t>
  </si>
  <si>
    <t>Kwagean, krenceng, kepung, kediri</t>
  </si>
  <si>
    <t>Agus M. Muslim Aziz</t>
  </si>
  <si>
    <t>Khotibul Umam</t>
  </si>
  <si>
    <t>083839238889</t>
  </si>
  <si>
    <t>Pondok Pesantren An Najwa Abu Ali</t>
  </si>
  <si>
    <t xml:space="preserve">Pandansari Purwoasri kediri </t>
  </si>
  <si>
    <t xml:space="preserve">Nur Rokhman El Mahrus </t>
  </si>
  <si>
    <t xml:space="preserve">Siti Alifah Nur Adilla </t>
  </si>
  <si>
    <t>082139044397</t>
  </si>
  <si>
    <t xml:space="preserve">Pondok Pesantren Manhajul Qur'an Ploso </t>
  </si>
  <si>
    <t xml:space="preserve">Jln. Lurah demang Ploso Mojo Kediri Jawa timur </t>
  </si>
  <si>
    <t>KH. Mustofa Hadi</t>
  </si>
  <si>
    <t xml:space="preserve">Muhammad Ali Makhrus </t>
  </si>
  <si>
    <t>085812243513</t>
  </si>
  <si>
    <t>Pondok pesantren As Salafy Al-Ikhlas (Asrama Putri Selatan)</t>
  </si>
  <si>
    <t>Jalan sriwijaya, desa kaliboto, kec tarokan</t>
  </si>
  <si>
    <t>KH. M. Bahauddin</t>
  </si>
  <si>
    <t>Ulya farida</t>
  </si>
  <si>
    <t>alikhlasputriselatan@gmail.com</t>
  </si>
  <si>
    <t>PP. Tuhfatul Athfal</t>
  </si>
  <si>
    <t>Dsn. Baran Rt/Rw 02/12. Ds Maesan, Kec. Mojo Kab. Kediri Kode Pos 64162</t>
  </si>
  <si>
    <t>KH. ATHO'ILLAH AHMAD</t>
  </si>
  <si>
    <t>Fadlul Fikri</t>
  </si>
  <si>
    <t>ppta.alfalah.official@gmail.com</t>
  </si>
  <si>
    <t>DARUL QUR'AN PUTRI</t>
  </si>
  <si>
    <t>Sumbersari Kencong Kepung Kediri</t>
  </si>
  <si>
    <t>KH. Abi Musa al-Asy'ari</t>
  </si>
  <si>
    <t>Hikmatul Fadlilah</t>
  </si>
  <si>
    <t>+62 857-5706-6354</t>
  </si>
  <si>
    <t>Pondok pesantren Miftahul Ulum</t>
  </si>
  <si>
    <t>Jl.kelapa no 11 jombangan tertek PO.box 136 pare Kediri</t>
  </si>
  <si>
    <t>KH MISBAHUL MUNIR</t>
  </si>
  <si>
    <t>Agung dzulkarnain</t>
  </si>
  <si>
    <t>+62 819-3847-3506</t>
  </si>
  <si>
    <t>Pondok Pesantren Mahir Artiyadl Ringinagung</t>
  </si>
  <si>
    <t>Jl. Pondok Pesantren mahir Arriyadl Ringinagung Keling Kepung Kediri Jatim</t>
  </si>
  <si>
    <t>KH. Khufzaifah Mu'awwam</t>
  </si>
  <si>
    <t>Muhammad Fathul Mubarok</t>
  </si>
  <si>
    <t>Pondok ishlahiyyatul asroriyyab</t>
  </si>
  <si>
    <t>Ringinagung keling kepung</t>
  </si>
  <si>
    <t>Kh. Zaenal aly</t>
  </si>
  <si>
    <t>Nadhif fawaid elmas</t>
  </si>
  <si>
    <t>Pondok Pesantren Lirboyo 1 Cabang Pagung Kediri</t>
  </si>
  <si>
    <t>Dsn Mathoan RT 03 RW 04 Desa Pagung Kec. Semen Kab Kediri</t>
  </si>
  <si>
    <t>KH Salim Thobroni</t>
  </si>
  <si>
    <t>Muhammad Zidan Miftahun Naja</t>
  </si>
  <si>
    <t>'085749220559</t>
  </si>
  <si>
    <t>pplirboyocabangpagung@gmail.com</t>
  </si>
  <si>
    <t>PP AL BADRUL FALAH</t>
  </si>
  <si>
    <t>Ploso Mojo Kediri</t>
  </si>
  <si>
    <t>Ibu Nyai Hj Lailatul Badriyah</t>
  </si>
  <si>
    <t>M. Hisyam Nawawi</t>
  </si>
  <si>
    <t>Albadrulfalah@gmail.com</t>
  </si>
  <si>
    <t>Pondok Pesantren Assalafiy Al-Ikhlas Kaliboto (asrama asrii)</t>
  </si>
  <si>
    <t>Jl. Brawijaya, kaliboto, tarokan Kediri</t>
  </si>
  <si>
    <t>KH. M.Ikhsan Thoyfur Al-Hafidh</t>
  </si>
  <si>
    <t>Izza Masrurin Nihayah</t>
  </si>
  <si>
    <t>+62 856-4808-9184</t>
  </si>
  <si>
    <t>Asriialikhlas@gmail.com</t>
  </si>
  <si>
    <t>Al Falah Darunnajah</t>
  </si>
  <si>
    <t>jl. Raya Ploso Mojo Desa Ploso Kec. Mojo Kab. Kediri</t>
  </si>
  <si>
    <t>KH.MUHAMMAD IFFATULATHO'IF</t>
  </si>
  <si>
    <t>Achmad Nashihul Waza</t>
  </si>
  <si>
    <t>adnaalfalah@gmail.com</t>
  </si>
  <si>
    <t>PP. TAHFIDHUL QUR'AN AL-HIKMAH</t>
  </si>
  <si>
    <t>Purwoasri - Kediri - Provinsi Jawa Timur</t>
  </si>
  <si>
    <t>Muchammad Nasrulloh</t>
  </si>
  <si>
    <t>pptq.alhikmah@gmail.com</t>
  </si>
  <si>
    <t xml:space="preserve">Pondok Pesantren Darul Qur'an Putri </t>
  </si>
  <si>
    <t xml:space="preserve">Sumbersari Kencong Kepung Kediri </t>
  </si>
  <si>
    <t>Nurul Juhan al-hanin</t>
  </si>
  <si>
    <t>085757066354</t>
  </si>
  <si>
    <t>darulquranputri@gmail.com</t>
  </si>
  <si>
    <t>Pondok Pesantren As Shidiq</t>
  </si>
  <si>
    <t>Pondok Pesantren As Shidiq Manyaran Banyakan Kediri</t>
  </si>
  <si>
    <t>Agus Khoiru Nashikin</t>
  </si>
  <si>
    <t>PONPES AS SHIDIQ CHANNEL</t>
  </si>
  <si>
    <t>Ponpes As Shidiq</t>
  </si>
  <si>
    <t>ponpes.asshidiq</t>
  </si>
  <si>
    <t>Muhammad Athoillah Iskandar / Sultan Iskandar</t>
  </si>
  <si>
    <t>089526648847</t>
  </si>
  <si>
    <t>081393679445</t>
  </si>
  <si>
    <t>ponpesasshidiq9@gmail.com</t>
  </si>
  <si>
    <t>Ponpes Mazroatul Lughoh</t>
  </si>
  <si>
    <t>Jln. Kemuning no 76 tulungrejo pare kediri</t>
  </si>
  <si>
    <t>KH. Moch Qomar, M. PdI</t>
  </si>
  <si>
    <t>Mazro'atul Lughoh TV</t>
  </si>
  <si>
    <t>Ponpes Mazro'atul Lughoh</t>
  </si>
  <si>
    <t>ppmazroatullughoh</t>
  </si>
  <si>
    <t>https://mazroatullughoh.id/</t>
  </si>
  <si>
    <t>Mazro'atul Lughoh santri_kampunginggris</t>
  </si>
  <si>
    <t>Sementara ini 2 orang</t>
  </si>
  <si>
    <t>NUR AINI PUTRI WULANDARI</t>
  </si>
  <si>
    <t>Koordinator media</t>
  </si>
  <si>
    <t>085727026007</t>
  </si>
  <si>
    <t>ponpesmazroatullughoh@gmail.com</t>
  </si>
  <si>
    <t>Ponpes Darussalam 2 Putri</t>
  </si>
  <si>
    <t>K.H Ahmad Zainuri Faqih</t>
  </si>
  <si>
    <t>Darussalam 2 lilbanat</t>
  </si>
  <si>
    <t>@darussalam2.lilbanat_</t>
  </si>
  <si>
    <t>darussalam2putri_</t>
  </si>
  <si>
    <t>Faiqotunnuha</t>
  </si>
  <si>
    <t>Ketua Multimedia</t>
  </si>
  <si>
    <t>085859985785</t>
  </si>
  <si>
    <t>darussalam2.lilbanat@gmail.com</t>
  </si>
  <si>
    <t>Pondok Pesantren Al Amien Kediri</t>
  </si>
  <si>
    <t>Jl Ngasinan Raya No. 18 RT 01 RW 05 Rejomulyo Kota Kediri</t>
  </si>
  <si>
    <t>KH. M. Anwar Iskandar</t>
  </si>
  <si>
    <t>PonPes Al Amien Kediri</t>
  </si>
  <si>
    <t>PonPes Al Amien</t>
  </si>
  <si>
    <t>santri_ngasinan</t>
  </si>
  <si>
    <t>Arina Sabila Q</t>
  </si>
  <si>
    <t>Koordinator Media dan Dakwah Putri</t>
  </si>
  <si>
    <t>0895600677789</t>
  </si>
  <si>
    <t>ngasinansantri@gmail.com</t>
  </si>
  <si>
    <t xml:space="preserve">Rahmatul Ummah </t>
  </si>
  <si>
    <t xml:space="preserve">Jl. Semangka, Kaliombo, Kota Kediri </t>
  </si>
  <si>
    <t>Zaenal Hamam</t>
  </si>
  <si>
    <t>Kang zenco</t>
  </si>
  <si>
    <t xml:space="preserve">Khafidun Ariqul Akma </t>
  </si>
  <si>
    <t xml:space="preserve">Dokumentasi </t>
  </si>
  <si>
    <t>081615502684</t>
  </si>
  <si>
    <t>khafidd02@gmail.com</t>
  </si>
  <si>
    <t>08</t>
  </si>
  <si>
    <t>Pondok Pesantren Al-Lathifiyah 2 Bahrul Ulum Tambakberas</t>
  </si>
  <si>
    <t>Ponpes Roudhotu Tahfidzil Qur'an</t>
  </si>
  <si>
    <t>Jl.raya perak NO.365 BARAT PASAR PERAK JOMBANG JAWA TIMUR 61461</t>
  </si>
  <si>
    <t>Jombang</t>
  </si>
  <si>
    <t>KH.Ahmad Masduqi Abdurrahman Alhafidz</t>
  </si>
  <si>
    <t>Imamul Ghozi</t>
  </si>
  <si>
    <t>Rizki Auliya'</t>
  </si>
  <si>
    <t>https://maps.app.goo.gl/5oZVL1WqqkKssLRG8</t>
  </si>
  <si>
    <t>Ponpesroudhotutahfidzilquran@gmail.com</t>
  </si>
  <si>
    <t>Dsn. Kalibening Ds. Tanggalrejo Kec. Mojoagung Kab. Jombang Jawa Timur</t>
  </si>
  <si>
    <t>K.H Salmanuddin Yazid</t>
  </si>
  <si>
    <t>Ardi pupung</t>
  </si>
  <si>
    <t>Eza Setia Cahyo Utomo</t>
  </si>
  <si>
    <t xml:space="preserve">081231319537, tele 081331127680 </t>
  </si>
  <si>
    <t>https://maps.app.goo.gl/jGWdS3wr5yfz3so17</t>
  </si>
  <si>
    <t>Galeribbs@gmail.com</t>
  </si>
  <si>
    <t>Pondok Pesantren Madrasatul Qur An Tebuireng Jombang</t>
  </si>
  <si>
    <t>Pondok Pesantren Madrasatul Qur'an Tebuireng, Cukir, Diwek, Jombang, Jawa Timur, Indonesia 61471</t>
  </si>
  <si>
    <t>KH. Abdul Hadi Yusuf</t>
  </si>
  <si>
    <t>Faisol Bahri</t>
  </si>
  <si>
    <t>Ahmad Huzaif Burhan</t>
  </si>
  <si>
    <t>https://maps.app.goo.gl/NN16</t>
  </si>
  <si>
    <t>galeri.mq.1971@gmail.com</t>
  </si>
  <si>
    <t>Pondok Pesantren Al Mardliyah</t>
  </si>
  <si>
    <t>Jalan KH. Abdul Wahab Chasbullah Gg. 2 No. 120 A Dsn. Tambakberas Ds. Tambakrejo Kec. Jombang Kab. Jombang Jawa Tmur</t>
  </si>
  <si>
    <t>KH. Moh. Yahya Husnan</t>
  </si>
  <si>
    <t>Atsna Rifqi Habibur Rahman</t>
  </si>
  <si>
    <t>Igo Ardiansyah</t>
  </si>
  <si>
    <t>https://www.google.com/maps/place/PP+Al+Mardliyyah/@-7.5220965,112.2335891,19.59z/data=!4m8!1m2!2m1!1spondok+pesantren+al+mardliyah+bahrul+ulum!3m4!1s0x2e783f632853f14b:0x54e19aac47ff2fe6!8m2!3d-7.5219329!4d112.2337292</t>
  </si>
  <si>
    <t>almardliyahppbu@gmail.com</t>
  </si>
  <si>
    <t>Pesantren Attahdzib</t>
  </si>
  <si>
    <t>Jl. Ngoro-Kandangan Km.03 Ds. Rejoagung Kec. Ngoro Kab. Jombang</t>
  </si>
  <si>
    <t>Almukarrom Romo KH. Ahmad Masruh Ihsan Mahin</t>
  </si>
  <si>
    <t>Ust. Bisri Ali Mustofa</t>
  </si>
  <si>
    <t>Mochammad Ilhamuttamam</t>
  </si>
  <si>
    <t xml:space="preserve">+62 812-3164-0106
</t>
  </si>
  <si>
    <t>https://g.page/pesantrenattahdzib?share</t>
  </si>
  <si>
    <t>pesantren.attahdzib@gmail.com</t>
  </si>
  <si>
    <t>PONPES HIDAYATUL IZZA</t>
  </si>
  <si>
    <t>DS. MANDURO KECAMATAN KABUH KABUPATEN JOMBANG</t>
  </si>
  <si>
    <t>Kabupaten Jombang</t>
  </si>
  <si>
    <t>SITI ALIMAH</t>
  </si>
  <si>
    <t>BAMBANG CAHYONO</t>
  </si>
  <si>
    <t>085700540559</t>
  </si>
  <si>
    <t>PP. Al-Ghozali Bahrul Ulum Tambakberas Jombang</t>
  </si>
  <si>
    <t>Tambak Rejo, Kec. Jombang, Kabupaten Jombang, Jawa Timur 61413</t>
  </si>
  <si>
    <t>KH. AR Jauharuddin Alfatich, S.Hum, M.Pd</t>
  </si>
  <si>
    <t>Nazril Pasha Kayzila</t>
  </si>
  <si>
    <t>+62 856-5532-838</t>
  </si>
  <si>
    <t>alghozalionline@gmail.com</t>
  </si>
  <si>
    <t>Ponpes al-amanah 2 bahrul ulum</t>
  </si>
  <si>
    <t>Ngledok tembelang jombang jatim</t>
  </si>
  <si>
    <t>Kh.abdul cholik hasan</t>
  </si>
  <si>
    <t>Muhammad Arfandi Yusuf</t>
  </si>
  <si>
    <t>sosmedpustaka@gmail.com</t>
  </si>
  <si>
    <t>Pondon Pesantren Al Munawaroh</t>
  </si>
  <si>
    <t>Dusun Ngemplak Desa Ngudirejo Kecamatan Diwek Kabupaten Jombang</t>
  </si>
  <si>
    <t>Dr. KH. M. Farid Zaini, Lc. M.HI</t>
  </si>
  <si>
    <t>M. Mujabun</t>
  </si>
  <si>
    <t>085701433092</t>
  </si>
  <si>
    <t>Isa sirojul munir</t>
  </si>
  <si>
    <t>Pp Babussalam kalibening mojoagung jombang</t>
  </si>
  <si>
    <t>Gus salmanudin</t>
  </si>
  <si>
    <t>081231319537</t>
  </si>
  <si>
    <t xml:space="preserve">PP HAMALATUL QUR'AN </t>
  </si>
  <si>
    <t>Jogoroto Jombang</t>
  </si>
  <si>
    <t>KH. AINUL YAQIN</t>
  </si>
  <si>
    <t>Jafits Setiyawan</t>
  </si>
  <si>
    <t>081334340292</t>
  </si>
  <si>
    <t>Nurul Ilmi Wal Fikri</t>
  </si>
  <si>
    <t>Gus Nasir</t>
  </si>
  <si>
    <t>Fathur</t>
  </si>
  <si>
    <t>Nurul Qur an</t>
  </si>
  <si>
    <t>Bendungrejo Jogoroto Jombang</t>
  </si>
  <si>
    <t>Drs. K. H. Jumali Ruslan</t>
  </si>
  <si>
    <t>Yoga</t>
  </si>
  <si>
    <t>085733785239</t>
  </si>
  <si>
    <t>Pondok Pesantren Baiturrohiim</t>
  </si>
  <si>
    <t>Dusun.Bandung Krajan. RT001 RW002, desa Bandung, Kecamatan Diwek</t>
  </si>
  <si>
    <t>Gus Nurul Asrofi</t>
  </si>
  <si>
    <t>M.Taufiq Arridho</t>
  </si>
  <si>
    <t>085727934571</t>
  </si>
  <si>
    <t xml:space="preserve">Ribath Hidayatul Qur’an </t>
  </si>
  <si>
    <t>Rejoso, Peterongan, Jombang</t>
  </si>
  <si>
    <t>Dr. KH. M. Afifudin Dimyathi Lc, MA.</t>
  </si>
  <si>
    <t>Muhammad Riefqi</t>
  </si>
  <si>
    <t>081556499908</t>
  </si>
  <si>
    <t>Pp Alhikmah</t>
  </si>
  <si>
    <t>Pp Al Hikmah Bahrul Ulum Tambak Beras Jombang</t>
  </si>
  <si>
    <t>Agus Muhammad Rofi'an</t>
  </si>
  <si>
    <t>085791275637</t>
  </si>
  <si>
    <t>Al washoya</t>
  </si>
  <si>
    <t>Kertorejo ngoro jombang</t>
  </si>
  <si>
    <t>Kh Muhammad Mubin</t>
  </si>
  <si>
    <t>Muhammad Fergik Maulana</t>
  </si>
  <si>
    <t>085785414945</t>
  </si>
  <si>
    <t>Awlwashoyamultimedia@gmail.com</t>
  </si>
  <si>
    <t>PP Bahrul Ulum Tambakberas Jombang</t>
  </si>
  <si>
    <t>F6JP+938, Jl. Kyai Haji Wahab Hasbullah Pesantren, Tambak Rejo, Kec. Jombang, Kabupaten Jombang, Jawa Timur 61419</t>
  </si>
  <si>
    <t>KH. Fadhlulloh Malik</t>
  </si>
  <si>
    <t>Abid Luthfi Fakhrul E.</t>
  </si>
  <si>
    <t>085704410047</t>
  </si>
  <si>
    <t>selawe.production25@gmail.com</t>
  </si>
  <si>
    <t xml:space="preserve">Pondok Pesantren Sabilillah </t>
  </si>
  <si>
    <t>Lidah Wetan gg.5 No.17A Lakarsantri Surabaya</t>
  </si>
  <si>
    <t>Kyai Muhammad Basuni</t>
  </si>
  <si>
    <t>M Rizal Fanani</t>
  </si>
  <si>
    <t>081252355050</t>
  </si>
  <si>
    <t>channel.sabilillah@gmail.com</t>
  </si>
  <si>
    <t>Ponpes As-Sa’idiyyah 2 Bahrul Ulum Tambakberas Jombang</t>
  </si>
  <si>
    <t xml:space="preserve">Tambakberas Jombang Jawa Timur Indonesia </t>
  </si>
  <si>
    <t>Drs. KH. Ahmad Hasan M.Pd.I dan Dra. Hj. Umdatul Choirot</t>
  </si>
  <si>
    <t>Mashlahatul Hidayah</t>
  </si>
  <si>
    <t>Aa kafabihi dzulqornain</t>
  </si>
  <si>
    <t>0881036085022</t>
  </si>
  <si>
    <t>info@assaidiyyah.com</t>
  </si>
  <si>
    <t>Pp Almunawwar</t>
  </si>
  <si>
    <t>Dsn pedes desa sukorejo kecamatan perak kabupaten jombang</t>
  </si>
  <si>
    <t>KH.  Mas'ud Muttaqien</t>
  </si>
  <si>
    <t>M ainul misbah</t>
  </si>
  <si>
    <t>087751052814</t>
  </si>
  <si>
    <t>Almunawwar2021@gmail.com</t>
  </si>
  <si>
    <t>Darul Falah 3</t>
  </si>
  <si>
    <t>Depan kampus UNHASY, Cukir, Kec. Diwek, Kab. Jombang, Jawa timur</t>
  </si>
  <si>
    <t>Kh. Maghfur Aly</t>
  </si>
  <si>
    <t>Firman Agus Faisal</t>
  </si>
  <si>
    <t>roudlotulqurandafa@gmail.comroudlotulqurandafa@gmail.comroudlotulqurandafa@gmail.comroudlotulqurandafa@gmail.com</t>
  </si>
  <si>
    <t>Pon. PES. Al-Usmaniyah</t>
  </si>
  <si>
    <t>Mojounggul Bareng Jombang</t>
  </si>
  <si>
    <t>K. Agus Sholihuddin</t>
  </si>
  <si>
    <t>Mohammad Nursalim</t>
  </si>
  <si>
    <t>ponpes.alusmaniyah@gmail.com</t>
  </si>
  <si>
    <t>Al-Madienah</t>
  </si>
  <si>
    <t>Pondok Pesantren Al-Madienah, Jl. KH. Bisri Syansuri, Plosogeneng, Denanyar, Kec. Jombang, Kabupaten Jombang, Jawa Timur 61412</t>
  </si>
  <si>
    <t>KH. M. Najib Muhammad Al-Imam</t>
  </si>
  <si>
    <t>Sulthon Ali Musti</t>
  </si>
  <si>
    <t>ppalmadienah@gmail.com</t>
  </si>
  <si>
    <t>Al-Ikhlas Bahrul Ulum</t>
  </si>
  <si>
    <t>Gg.03 Tambakrejo Jombang</t>
  </si>
  <si>
    <t>KH. Hasyim Yusuf</t>
  </si>
  <si>
    <t>Hagana Idham Priasmana</t>
  </si>
  <si>
    <t>Darul hikmah</t>
  </si>
  <si>
    <t>Jlopo tebel bareng jombang</t>
  </si>
  <si>
    <t>K.h Sholehuddin shofwan</t>
  </si>
  <si>
    <t>Malik abdul hamid</t>
  </si>
  <si>
    <t>088226024742 tele 088226024742</t>
  </si>
  <si>
    <t>pondok pesantren al asror</t>
  </si>
  <si>
    <t>Masjid Al Abror Pondok Pesantren Al Asror, RT.1/RW.2, Dusun Cangkring, Perak (kantor Pp al asror), KAB. JOMBANG, PERAK, JAWA TIMUR, ID, 61461</t>
  </si>
  <si>
    <t>KH. Saiful Hidayat</t>
  </si>
  <si>
    <t>nabil fatich wirawan</t>
  </si>
  <si>
    <t>pp.alasror2019@gmail.com</t>
  </si>
  <si>
    <t>Mahad Aly Darul Ulum</t>
  </si>
  <si>
    <t>Kec. Peterongan, Kab. Jombang</t>
  </si>
  <si>
    <t>KH. Afifuddin Dimyathi</t>
  </si>
  <si>
    <t>Abdul Hamid Silmi Kaffa</t>
  </si>
  <si>
    <t>Sofri Nazri Nazrudin</t>
  </si>
  <si>
    <t>0831-3621-0054</t>
  </si>
  <si>
    <t>mediamadu3@gmail.com</t>
  </si>
  <si>
    <t>PONDOK PESANTREN AL HUDA BOGEM</t>
  </si>
  <si>
    <t>BOGEM GROGOL DIWEK JOMBANG</t>
  </si>
  <si>
    <t>KH MUSTAMIR HANNAN SHOBARY</t>
  </si>
  <si>
    <t>BAGUS FAREIL MONIAGAH</t>
  </si>
  <si>
    <t>+62 896-4399-9135</t>
  </si>
  <si>
    <t>ponpesalhudabogem@gmail.com</t>
  </si>
  <si>
    <t>PP. Faidlul Qur’an</t>
  </si>
  <si>
    <t>Moh.Ismail</t>
  </si>
  <si>
    <t>Nirmala Eka</t>
  </si>
  <si>
    <t>faidlulquran@gmail.com</t>
  </si>
  <si>
    <t>PONDOK PESANTREN MAN'BAULHUDA</t>
  </si>
  <si>
    <t>Desa genukwatu dsn genukwatu kec ngoro kab jombang</t>
  </si>
  <si>
    <t>KH HAMDAN</t>
  </si>
  <si>
    <t>Fatih</t>
  </si>
  <si>
    <t>Ponpes.manbaulhuda</t>
  </si>
  <si>
    <t>Sabilul Huda</t>
  </si>
  <si>
    <t>Sebelah barat sungai &amp; GSG Hasbullah Said Gg. Pondok Desa Tambakrejo Kec. Jombang Kab. Jombang</t>
  </si>
  <si>
    <t>Kh. M. Imron Rosyadi Malik</t>
  </si>
  <si>
    <t>Ady</t>
  </si>
  <si>
    <t>sabdasubulana@gmail.com</t>
  </si>
  <si>
    <t>Assrama SUNAN AMPEL</t>
  </si>
  <si>
    <t>Asrama Sunan Ampel Putra PP. Mamba'ul Ma'arif Denanyar - Jombang</t>
  </si>
  <si>
    <t>Agus H. Ahmad atho illah Haromain</t>
  </si>
  <si>
    <t>Akmal</t>
  </si>
  <si>
    <t>faddoilulakmal440@gmail.com</t>
  </si>
  <si>
    <t>Al-Muhajirin 3 BU</t>
  </si>
  <si>
    <t>PP. Al-Muhajirin 3 Bahrul Ulum tambakberas Jombang</t>
  </si>
  <si>
    <t>KH. Abdul Lathif Malik</t>
  </si>
  <si>
    <t>EGA</t>
  </si>
  <si>
    <t>bu.almuhajirin3@gmail.com</t>
  </si>
  <si>
    <t>Pp darul Qur'an al-mahfudz</t>
  </si>
  <si>
    <t xml:space="preserve">Bendungrejo Jl.masjid Al-marzuki Jogoroto Jombang </t>
  </si>
  <si>
    <t xml:space="preserve">KH Syamsudin </t>
  </si>
  <si>
    <t xml:space="preserve">Wildan </t>
  </si>
  <si>
    <t>081804064552</t>
  </si>
  <si>
    <t>almadinah.tbi@gmail.com</t>
  </si>
  <si>
    <t>pondok pesantren al madinah</t>
  </si>
  <si>
    <t>Jalan Wahid Hasyim - jatipelem RT 04 RW 04 Dsn Diwek Ds Diwek Kec Diwek Kab Jombang</t>
  </si>
  <si>
    <t>ibu nyai hj.umaimah masyhuri</t>
  </si>
  <si>
    <t>abu bakar khadromi</t>
  </si>
  <si>
    <t>085708855258</t>
  </si>
  <si>
    <t>nusantaranu45@gmail.com</t>
  </si>
  <si>
    <t>PONDOK PESANTREN DARUL ULUM JOMBANG</t>
  </si>
  <si>
    <t>Jl. KH. Rifai Romly, Wonokerto Selatan, Peterongan, Kec. Peterongan, Kabupaten Jombang, Jawa Timur 61481</t>
  </si>
  <si>
    <t>K.H Zaimuddin wijaya as'ad &amp; Hj. Umi hasunah</t>
  </si>
  <si>
    <t xml:space="preserve">Siti Khalila Nur septania </t>
  </si>
  <si>
    <t>081575529523</t>
  </si>
  <si>
    <t>sekretariat@ponpesdarululum.id</t>
  </si>
  <si>
    <t>Putra Walisongo</t>
  </si>
  <si>
    <t>Tebuireng Gg. V, Cukir, Kec. Diwek, Kabupaten Jombang, Jawa Timur 61471</t>
  </si>
  <si>
    <t>K.H Amir Jamilluddin</t>
  </si>
  <si>
    <t>Mustofa</t>
  </si>
  <si>
    <t>085785001615</t>
  </si>
  <si>
    <t>Pondok Pesantren Al Munawaroh</t>
  </si>
  <si>
    <t>Jl. Ngemplak, RT.03/RW.05, Gedangan, Ngudirejo, Kec. Diwek, Kabupaten Jombang, Jawa Timur 61471</t>
  </si>
  <si>
    <t>Haidar Kayyis Taqiyuddin</t>
  </si>
  <si>
    <t>085117013025</t>
  </si>
  <si>
    <t>yayasanislamalmunawaroh@gmail.com</t>
  </si>
  <si>
    <t>Pondok pesantren Darul Ulum</t>
  </si>
  <si>
    <t xml:space="preserve">Dsn. Rejoso Ds. Rejoso Kec. Peterongan Kab. Jombang </t>
  </si>
  <si>
    <t>Pengasuh pondok : Kh. Cholil Dahlan, Pengasuh Asrama: Kh. Rohmatul Akbar Rifa'i S.T</t>
  </si>
  <si>
    <t>Ponpes Darul Ulum Jombang
Rismaker Tv</t>
  </si>
  <si>
    <t>@darululum.official @arrisalah.du</t>
  </si>
  <si>
    <t>Media asrama: 35</t>
  </si>
  <si>
    <t>Alfano Firdaus Irsyadi Chandra</t>
  </si>
  <si>
    <t>Koordinator Photographer</t>
  </si>
  <si>
    <t>082331131529</t>
  </si>
  <si>
    <t>M.Miftahul Huda</t>
  </si>
  <si>
    <t xml:space="preserve">jl kh mimbar no 105 , sambongdukuh Jombang </t>
  </si>
  <si>
    <t xml:space="preserve">kyai iqbal Khozin </t>
  </si>
  <si>
    <t xml:space="preserve">pp darul Muttaqin </t>
  </si>
  <si>
    <t xml:space="preserve">pp.darul Muttaqin </t>
  </si>
  <si>
    <t>pp_darukmuttaqinofficial</t>
  </si>
  <si>
    <t>.</t>
  </si>
  <si>
    <t>m.miftahul huda</t>
  </si>
  <si>
    <t>ketua</t>
  </si>
  <si>
    <t>087755157973</t>
  </si>
  <si>
    <t>miftahulhuda250307@gmail.com</t>
  </si>
  <si>
    <t>Al-washoya</t>
  </si>
  <si>
    <t>Ds. Kertorejo, kec. Ngoro, kab. Jombang</t>
  </si>
  <si>
    <t>KH. Muhammad Mubin</t>
  </si>
  <si>
    <t>Al Washoya Multimedia</t>
  </si>
  <si>
    <t>Pengajar</t>
  </si>
  <si>
    <t>085730674402</t>
  </si>
  <si>
    <t>Alwashoyamultimedia@gmail.com</t>
  </si>
  <si>
    <t>pptq al-itqon jombang</t>
  </si>
  <si>
    <t>Pondok Pesantren Tahfidzul Qur'an Al-itqon Jombang</t>
  </si>
  <si>
    <t>Romo yai zainal arifin S. Hi</t>
  </si>
  <si>
    <t>pptqalitqon_jpmbang</t>
  </si>
  <si>
    <t>pptq AL Itqon Jombang</t>
  </si>
  <si>
    <t>Pptqalitqonjombang</t>
  </si>
  <si>
    <t>pptqalitqon_jombang</t>
  </si>
  <si>
    <t>2 Anggota</t>
  </si>
  <si>
    <t>M. Miqdad Amin</t>
  </si>
  <si>
    <t>+62 858-0843-7249</t>
  </si>
  <si>
    <t>alitqonpptq@gmail.com</t>
  </si>
  <si>
    <t xml:space="preserve">Aiman Muhammady </t>
  </si>
  <si>
    <t>JI. KH.Abd. Wahab Hasbullah Gg. III Tambakberas  Jombang</t>
  </si>
  <si>
    <t xml:space="preserve">HJ. Sunniah Wibawati </t>
  </si>
  <si>
    <t>Annajiyah3tv</t>
  </si>
  <si>
    <t xml:space="preserve">Annajiyah3_bu </t>
  </si>
  <si>
    <t>Annajiyah tiga</t>
  </si>
  <si>
    <t xml:space="preserve">Video grafis </t>
  </si>
  <si>
    <t>082257164371</t>
  </si>
  <si>
    <t>Annajiyah3.bu@gmail.com</t>
  </si>
  <si>
    <t>09</t>
  </si>
  <si>
    <t>Pondok Pesantren Salafiyyah Fatchul Ulum Pacet</t>
  </si>
  <si>
    <t>Jl. Moch. Sholeh No. 270 Pacet Mojokerto 61374</t>
  </si>
  <si>
    <t>Mojokerto</t>
  </si>
  <si>
    <t>KH. Muslich Abbas, SH</t>
  </si>
  <si>
    <t>Mohammad Holili</t>
  </si>
  <si>
    <t>Annisa Eva Mulyawati</t>
  </si>
  <si>
    <t>https://www.google.com/maps/place/Pon+Pes+Fatchul+Ulum+Pacet/@-7.6657554,112.5419334,18z/data=!4m5!3m4!1s0x0:0x42cc7e1bc7847dc5!8m2!3d-7.665271!4d112.5405687</t>
  </si>
  <si>
    <t>ppfatchululumpacet@gmail.com</t>
  </si>
  <si>
    <t>Pondok Pesantren Darut Taqwa</t>
  </si>
  <si>
    <t>Jl. Pondok No 55, Ngembeh - Dlanggu - Mojokerto</t>
  </si>
  <si>
    <t>KH. Manshur Bahruddin</t>
  </si>
  <si>
    <t>Muhammad Jakfar</t>
  </si>
  <si>
    <t>https://maps.app.goo.gl/XVZBzvzGgmVa59qV8</t>
  </si>
  <si>
    <t>ngembehpondok@gmail.com</t>
  </si>
  <si>
    <t>Pondok Pesantren Roudlotun Nasyiin</t>
  </si>
  <si>
    <t>Jln. Pendidikan 40 Ds. Beratkulon Kec. Kemlagi Kab. Mojokerto 61363</t>
  </si>
  <si>
    <t>KH. Zainul Arifin Arief</t>
  </si>
  <si>
    <t>Moch. Taufik Akbar</t>
  </si>
  <si>
    <t>ACHMAD HABIB ALI ALLAFI</t>
  </si>
  <si>
    <t>https://goo.gl/maps/e19Scf3QBciy9WY68</t>
  </si>
  <si>
    <t>ponpes.ronas96@gmail.com</t>
  </si>
  <si>
    <t>Dsn. Guwo Ds. Jabontegal Kec. Pungging Kab. Mojokerto</t>
  </si>
  <si>
    <t>Dr. Kh. Ahmad Siddiq, SE., MM.</t>
  </si>
  <si>
    <t>Yusril fahmi</t>
  </si>
  <si>
    <t>Yusril Amri</t>
  </si>
  <si>
    <t>https://www.google.com/maps/place/YPP+NURIS/@-7.507792,112.581832,13z/data=!4m5!3m4!1s0x0:0xee0fc0572520ceac!8m2!3d-7.5077925!4d112.5818319?hl=id</t>
  </si>
  <si>
    <t>pontre.nuris@gmail.com</t>
  </si>
  <si>
    <t>Pondok Pesantren Sabilul Muttaqin Kota Mojokerto</t>
  </si>
  <si>
    <t>Jl. KH. Wahid Hasyim No.38 Kota Mojokerto</t>
  </si>
  <si>
    <t>KH. Muthohharun Afif</t>
  </si>
  <si>
    <t>Fazal Muzakki</t>
  </si>
  <si>
    <t>https://www.google.com/maps/uv?hl=jv&amp;pb=!1s0x2e781271aa0f41c9:0xb7e63626d2eb5ec!3m1!7e115!4s/maps/place/pondok%2Bpesantren%2Bsabilul%2Bmuttaqin%2Bkota%2Bmojokerto%2Bjawa%2Btimur/@-7.4715537,112.4295102,3a,75y,19.67h,90t/data%3D*213m4*211e1*213m2*211syFB_3X5GBU1XNjzH7nl6WA*212e0*214m2*213m1*211s0x2e781271aa0f41c9:0xb7e63626d2eb5ec?sa%3DX!5spondok+pesantren+sabilul+muttaqin+kota+mojokerto+jawa+timur+-+Google+Nggoleki&amp;imagekey=!1e2!2syFB_3X5GBU1XNjzH7nl6WA&amp;sa=X&amp;ved=2ahUKEwimvNu0iaToAhWZWisKHUkpBwMQpx8wE3oECBkQCw</t>
  </si>
  <si>
    <t>sabilulmuttaqin.kotamojokerto@gmail.com</t>
  </si>
  <si>
    <t>YPPPI Nurul Hidayah Al-Falah</t>
  </si>
  <si>
    <t>Dsn. Bedagas RT : 01 RW : 02
 Ds. Tunggal Pager Kec. Punging Mojokerto</t>
  </si>
  <si>
    <t>KH. Mahalli Siroj</t>
  </si>
  <si>
    <t>Muhammad Andi</t>
  </si>
  <si>
    <t>Mohamad Alvi Mu'affan</t>
  </si>
  <si>
    <t>https://maps.app.goo.gl/kGmrK1r53VNbBAyz6</t>
  </si>
  <si>
    <t>ypppinuhifa@gmail.com</t>
  </si>
  <si>
    <t>Pondok Pesantren Darul Falah</t>
  </si>
  <si>
    <t>Dsn. Jerukmacan Ds. Sawo Kec. Jetis Kab. Mojokerto</t>
  </si>
  <si>
    <t>KH. Mochamad Ahmadun Rifa'i</t>
  </si>
  <si>
    <t>Ahmad Husni Mubarok</t>
  </si>
  <si>
    <t>Nabilla Roichatul Madinah</t>
  </si>
  <si>
    <t>https://maps.app.goo.gl/22mtjAeJ1Xc6cuqx5</t>
  </si>
  <si>
    <t>dafajerman11@gmail.com</t>
  </si>
  <si>
    <t>Pondok Pesantren Al-Multazam Mojokerto</t>
  </si>
  <si>
    <t>Jl. Kepuhanyar No.24, Mojoanyar Kab. Mojokerto 61364, Jawa Timur</t>
  </si>
  <si>
    <t>KH. Makinuddin Qomari</t>
  </si>
  <si>
    <t>Riyadlul Muarifin</t>
  </si>
  <si>
    <t>https://maps.app.goo.gl/iz8z51r7neD4MZsp7</t>
  </si>
  <si>
    <t>altaz2018@gmail.com</t>
  </si>
  <si>
    <t>Pondok Pesantren Mamba'ul Hikmah</t>
  </si>
  <si>
    <t>Sumbersari, Sumberkarang, Dlanggu, Mojokerto</t>
  </si>
  <si>
    <t>KH Quahoyyi Abdullah</t>
  </si>
  <si>
    <t>Abdillah</t>
  </si>
  <si>
    <t>Umar</t>
  </si>
  <si>
    <t>https://maps.app.goo.gl/CJsDrBbyPhmdkxXt8</t>
  </si>
  <si>
    <t>santrimambaulhikmah@gmail.com</t>
  </si>
  <si>
    <t>Ponpes Sabilul Muttaqin Pungging</t>
  </si>
  <si>
    <t>Jl. Raya Trawas - Mojosari Dsn. Madyopuro Ds. Kalipuro Kec. Pungging Kab. Mojokerto</t>
  </si>
  <si>
    <t>Dr. KH. Abd. Rokhim, SH.MH</t>
  </si>
  <si>
    <t>Moch. Ghufron</t>
  </si>
  <si>
    <t>Yusuf Bunyamin</t>
  </si>
  <si>
    <t>https://maps.app.goo.gl/3shkq4BfYFE7H9W56</t>
  </si>
  <si>
    <t>sabilulmuttaqin98@gmail.com</t>
  </si>
  <si>
    <t>Pondok Pesantren Majma'al Bahrain (Al Maaba)</t>
  </si>
  <si>
    <t>Pondok Pesantren Majma'al Bahroin
 Jalan Raya Desa Mojogeneng RT.14 / RW.03, Mojogeneng, Jatirejo, Mojogeneng, Jatirejo, Mojokerto, Jawa Timur 61373</t>
  </si>
  <si>
    <t xml:space="preserve">Agus Muhammad Amin Makmun </t>
  </si>
  <si>
    <t>Abid Mahmudi</t>
  </si>
  <si>
    <t>085967015466</t>
  </si>
  <si>
    <t>https://maps.google.com/?cid=16971337202220830132</t>
  </si>
  <si>
    <t>pondokpesantrenalmaaba@gmail.com</t>
  </si>
  <si>
    <t>Pondok Pesantren Al-Multazam 2</t>
  </si>
  <si>
    <t>Jl.Pertanian No.01 Sambiroto Sooko Mojokerto</t>
  </si>
  <si>
    <t>KH. M Asywiruddin</t>
  </si>
  <si>
    <t>Muhammad Khoirul Arifin</t>
  </si>
  <si>
    <t>Naufal Hilmy Abiyyu</t>
  </si>
  <si>
    <t>https://maps.google.com/?cid=18165262604339111950</t>
  </si>
  <si>
    <t>Pondok Pesantren I`Anatut Tholibin</t>
  </si>
  <si>
    <t>JL. MASJID RANDURANCANG DESA RANDUHARJO KECAMATAN PUNGGING KABUPATEN MOJOKERTO</t>
  </si>
  <si>
    <t>Kyai Achmad Muzzamil</t>
  </si>
  <si>
    <t>Mochammad Syahrul Fitroni</t>
  </si>
  <si>
    <t>Abdul Gaffar Ismail</t>
  </si>
  <si>
    <t>https://maps.google.com/?cid=18051274902928392049</t>
  </si>
  <si>
    <t>ianatuttholibinku2@gmail.com</t>
  </si>
  <si>
    <t>Pondok Pesantren tahfidz al izzah</t>
  </si>
  <si>
    <t>Dsn.Sendang Ds.Penanggungan Kec.Trawas Kab.Mojokerto</t>
  </si>
  <si>
    <t>Ummik Hj.li'izzah Diana Manzil</t>
  </si>
  <si>
    <t>M.hidayatul mustafid</t>
  </si>
  <si>
    <t>Alizzahofficial2.com</t>
  </si>
  <si>
    <t>Alizzahsholihah@gmail.com</t>
  </si>
  <si>
    <t>Pondok Pesantren Thoriqul Ulum Sajen Pacet</t>
  </si>
  <si>
    <t>Jl. Hansip no. 01 dsn. Treceh, ds. Sajen, kab. Mojokerto</t>
  </si>
  <si>
    <t>Kab. Mojokerto</t>
  </si>
  <si>
    <t>Dr.K.H.Munawwir M.Pd.I</t>
  </si>
  <si>
    <t>M.Abdul Salam</t>
  </si>
  <si>
    <t>https://maps.app.goo.gl/9jnjSyFnUPuFwwrZ9</t>
  </si>
  <si>
    <t>ppthoriqululumsajen@gmail.com</t>
  </si>
  <si>
    <t>Pondok Pesantren Riyadlul Jannah</t>
  </si>
  <si>
    <t>Jl. Hayam Wuruk No. 22, Ledok, Pacet, Mojokerto</t>
  </si>
  <si>
    <t>KH. Abdullah Mahfidz</t>
  </si>
  <si>
    <t>Muhammad Basyam</t>
  </si>
  <si>
    <t>081235062050</t>
  </si>
  <si>
    <t>pprijanpacet@gmail.com</t>
  </si>
  <si>
    <t>Pondok pesantren tsamrotul huda</t>
  </si>
  <si>
    <t>Dusun simpang desa sidoharjo kec gedeg mojokerto</t>
  </si>
  <si>
    <t>Gus nurul Ibad, S. Pd. I</t>
  </si>
  <si>
    <t>Tri Arifin Murianto, S. Pd</t>
  </si>
  <si>
    <t>Pondok Pesantren Safinatun Najah</t>
  </si>
  <si>
    <t>Dsn. Bulu Ds. Gedangan Kec. Kutorejo Kab. Mojokerto</t>
  </si>
  <si>
    <t>KH. M. Sholeh</t>
  </si>
  <si>
    <t>Muhammad Shobih</t>
  </si>
  <si>
    <t>PONDOK PESANTREN AL FATAH</t>
  </si>
  <si>
    <t>RT/RW 01/01, Dsn. Temuireng, Ds. Temuireng, Kec. Dawarblandong, Kab Mojokerto</t>
  </si>
  <si>
    <t>Kabupaten Mojokerto</t>
  </si>
  <si>
    <t>KH. Mundzir Masruri, SE.M.Pd.I</t>
  </si>
  <si>
    <t>Qosim Romli</t>
  </si>
  <si>
    <t>0823-3874-8264</t>
  </si>
  <si>
    <t xml:space="preserve">Pondok Pesantren Nurul Islam pungging cabang 2 </t>
  </si>
  <si>
    <t>Tunggalpager Pungging Mojokerto</t>
  </si>
  <si>
    <t>Dr. KH. Ahmad Siddiq, S. E., M. M</t>
  </si>
  <si>
    <t>Nuris project</t>
  </si>
  <si>
    <t>081615564039</t>
  </si>
  <si>
    <t>Pondok Pesantren Tahfidzul Qur'an Al Jihadul Chakim</t>
  </si>
  <si>
    <t>Dsn. Penunggulan, Ds. Kebontunggul, Kec. Gondang, Kabupaten Mojokerto, Jawa Timur</t>
  </si>
  <si>
    <t>Romo KH. Khusein Ilyas, KH. Imam Chambali</t>
  </si>
  <si>
    <t>Bella Halimatus Zahroh</t>
  </si>
  <si>
    <t>082141125055</t>
  </si>
  <si>
    <t>Pondok Pesantren Bidayatul Hidayah</t>
  </si>
  <si>
    <t>Jl. KH. Yahdi, Desa Mojogeneng, kecamatan Jatirejo Kabupaten Mojokerto</t>
  </si>
  <si>
    <t>Kyai Nur Hasan</t>
  </si>
  <si>
    <t xml:space="preserve">Fahad Mubarak A. A. </t>
  </si>
  <si>
    <t>+62 852-5209-4842</t>
  </si>
  <si>
    <t>SMA Berbasis Pesantren Amanatul Ummah</t>
  </si>
  <si>
    <t>Jalan Raya KH Abdul Chalim No 1 kembangbelor, Pacet Mojokerto</t>
  </si>
  <si>
    <t>Prof. Dr. KH. Asep Saifuddin Chalim, M. Ag</t>
  </si>
  <si>
    <t>085608834385</t>
  </si>
  <si>
    <t>Pondok Pesantren Mahad An Nur</t>
  </si>
  <si>
    <t>Dsn. Jurangjero, Ds. Singowangi, Kutorejo, Mojokerto, Jawa Timur</t>
  </si>
  <si>
    <t>KH. Mokhamad Sholeh, M.Pd.I</t>
  </si>
  <si>
    <t>Muh. Efendi Labay</t>
  </si>
  <si>
    <t>081336766703</t>
  </si>
  <si>
    <t xml:space="preserve">Pondok Pesantren Al - Hidayah </t>
  </si>
  <si>
    <t xml:space="preserve">Jalan mojosari - pacet </t>
  </si>
  <si>
    <t>KH. Mashadi Prawironegoro</t>
  </si>
  <si>
    <t>Moh. Ridho'i</t>
  </si>
  <si>
    <t>087850148378</t>
  </si>
  <si>
    <t xml:space="preserve">MBI Amanatul Ummah </t>
  </si>
  <si>
    <t>Jl. Tirtowening No. 2 Kembangbelor, Pacet Mojokerto</t>
  </si>
  <si>
    <t>Prof. Dr. KH Asep Saifuddin Chalim. MA</t>
  </si>
  <si>
    <t xml:space="preserve">M Asyghaf Irfa'ur Rozak Al Rosyid </t>
  </si>
  <si>
    <t>0895606196788</t>
  </si>
  <si>
    <t>Pondok pesantren tahfizhul quran</t>
  </si>
  <si>
    <t>Jln. Kh. Yunus klinterejo sooko mojokerto</t>
  </si>
  <si>
    <t>H.  M. Afif zubaidy</t>
  </si>
  <si>
    <t>Syamilulasror</t>
  </si>
  <si>
    <t>081330537014</t>
  </si>
  <si>
    <t>Pondok Pesantren Mambaul Ulum</t>
  </si>
  <si>
    <t>Jalan Raya Pacet Awang - awang Mojosari Mojokerto</t>
  </si>
  <si>
    <t xml:space="preserve">KH. Mansur bin Abdul Hamid </t>
  </si>
  <si>
    <t>Muhammad Irsyad Syarifuddin</t>
  </si>
  <si>
    <t>085707785837</t>
  </si>
  <si>
    <t>Pondok Pesantren Tahfidzul Qur'an An Nawawiy</t>
  </si>
  <si>
    <t xml:space="preserve">Jalan KH. Masrur Yusuf, Mengelo Utara, Sooko Mojokerto </t>
  </si>
  <si>
    <t>KH. MASRUR YUSUF</t>
  </si>
  <si>
    <t>Rifat Najihan</t>
  </si>
  <si>
    <t>0895419875353</t>
  </si>
  <si>
    <t>Pondok Pesantren Al Qur'an Nurul Huda</t>
  </si>
  <si>
    <t>Jl. Pondok No. 55 Dusun Ngembeh, Desa Ngembeh, Kec. Dlanggu</t>
  </si>
  <si>
    <t>H. Agus Muhammad</t>
  </si>
  <si>
    <t>Arifatul Ulfiah</t>
  </si>
  <si>
    <t>085730398032</t>
  </si>
  <si>
    <t>ponpesalqurannurulhuda@gmail.com</t>
  </si>
  <si>
    <t>Pondok Pesantren Al-Hidayah</t>
  </si>
  <si>
    <t>Dsn. Rejeni, Ds. Wonodadi, Kec. Kutorejo, Kab. Mojokerto</t>
  </si>
  <si>
    <t>Dra. Hj. Jauharoh Said</t>
  </si>
  <si>
    <t>Faiq Nabilah Aprilia</t>
  </si>
  <si>
    <t>081235955122</t>
  </si>
  <si>
    <t>Ponpesalhidayah15@gmail.com</t>
  </si>
  <si>
    <t>PONDOK PESANTREN HIDAYATUL HIKMAH</t>
  </si>
  <si>
    <t>Desa Sawahan Gg. 01 Rt. 01 Rw. 01 Kecamatan Mojosari Kabupaten Mojokerto</t>
  </si>
  <si>
    <t>Agus M. Abul Ma'ali</t>
  </si>
  <si>
    <t>Rohmad Hidayat</t>
  </si>
  <si>
    <t>085624845283</t>
  </si>
  <si>
    <t>pondokpesantrenhidayatukhikmah@gmail.com</t>
  </si>
  <si>
    <t xml:space="preserve">PONDOK PESANTREN ROUDLOTUL HIDAYAH </t>
  </si>
  <si>
    <t xml:space="preserve">Pakis Wetan. Pakis. Trowulan. Mojokerto </t>
  </si>
  <si>
    <t>KH. MUHSIN SAMI'AN</t>
  </si>
  <si>
    <t xml:space="preserve">Ahmad Khoirul Sodikin </t>
  </si>
  <si>
    <t>085783631171</t>
  </si>
  <si>
    <t>Dsn. Sumbersari Ds. Sumberkarang Kec. Dlanggu Kab. Mojokerto</t>
  </si>
  <si>
    <t>Ibu Nyai Hj. Nur Hamidah, S.Pd</t>
  </si>
  <si>
    <t>Yendra Hidayatullah</t>
  </si>
  <si>
    <t>mambaulhikmahmedia.com</t>
  </si>
  <si>
    <t>Pondok pesantren An Nahdliyyah</t>
  </si>
  <si>
    <t>Mengelo selatan, RT.2/RW.11, Sooko, Kec. Sooko, Kabupaten Mojokerto, Jawa Timur 61361, Indonesia</t>
  </si>
  <si>
    <t>Drs.Kh.Shonhaji Syafi'i, M.Pd.I</t>
  </si>
  <si>
    <t>ahlunnahdliyyah@gmail.com</t>
  </si>
  <si>
    <t>Ponpes Salafiyah Al Ghoits</t>
  </si>
  <si>
    <t>Dsn ketegan Ds. Gondang kec. Gondang kab. Mojokerto</t>
  </si>
  <si>
    <t>KH. Moch. Rofiq Wiwikri Affandi</t>
  </si>
  <si>
    <t>Dani Abdul Kharim</t>
  </si>
  <si>
    <t>yayasanponpesalghoits@gmail.com</t>
  </si>
  <si>
    <t>pondok pesantren miftahul hikmah alharuny</t>
  </si>
  <si>
    <t>santren jambuwok trowulan mojokerto</t>
  </si>
  <si>
    <t>kh achmad bashori</t>
  </si>
  <si>
    <t>A.hafinudin</t>
  </si>
  <si>
    <t>0821-3151-8678</t>
  </si>
  <si>
    <t>miftahulhikmahputra@gmail.com</t>
  </si>
  <si>
    <t>PONPES INDUK MAMBAUL ULUM</t>
  </si>
  <si>
    <t>Jl. Awang Awang No.70, Candirejo, Awang Awang, Kec. Mojosari, Kabupaten Mojokerto, Jawa Timur 61382</t>
  </si>
  <si>
    <t>bunyai nur sofiyah</t>
  </si>
  <si>
    <t>Zizah</t>
  </si>
  <si>
    <t>Pondok Pesantren Roudlotul Hidayah</t>
  </si>
  <si>
    <t>Jl. Pesantren, Pakis, Trowulan Mojokerto</t>
  </si>
  <si>
    <t>KH. Muhsin Sami'an</t>
  </si>
  <si>
    <t>Ahmad Khoirul Sodikin</t>
  </si>
  <si>
    <t>Roudlotul Hikmah</t>
  </si>
  <si>
    <t>Dsn. Karangsari, Ds. Blimbingsari, Kec. Sooko</t>
  </si>
  <si>
    <t>Agus Sirojul Munir</t>
  </si>
  <si>
    <t>roudlotulhikmah2023@gmail.com</t>
  </si>
  <si>
    <t>PP.Mambaul Hikmah</t>
  </si>
  <si>
    <t>Dsn sumber sari ds Sumber karang kec Dlanggu kab Mojokerto</t>
  </si>
  <si>
    <t>Agus M.Muwafiqul Huda</t>
  </si>
  <si>
    <t>Hasan</t>
  </si>
  <si>
    <t>Mambaul hikmah</t>
  </si>
  <si>
    <t>Darul Qur’an dan Baitul Qur’an</t>
  </si>
  <si>
    <t>Jl. Kh Yahdi Mathlab Rt13</t>
  </si>
  <si>
    <t>KH. Muhammad Fathoni Dimyathi, Lc.</t>
  </si>
  <si>
    <t>NAYLA NUZILA</t>
  </si>
  <si>
    <t>0815-5666-9480</t>
  </si>
  <si>
    <t>Sahabatperjuangan13@gmail.com</t>
  </si>
  <si>
    <t>13 Anggota</t>
  </si>
  <si>
    <t>ROUDLOTUSSALIKIN</t>
  </si>
  <si>
    <t>Dsn. Pagerwojo, Ds. Jerukseger, Kec. Gedeg, Kab. Mojokerto</t>
  </si>
  <si>
    <t>Romo Kyai Muhammad Mas'ud</t>
  </si>
  <si>
    <t>Yazid Nur Hidayat</t>
  </si>
  <si>
    <t>089529833742</t>
  </si>
  <si>
    <t>ponpesroudlotussalikin@gmail.com</t>
  </si>
  <si>
    <t>pp hidayatul quran taman sholaya</t>
  </si>
  <si>
    <t>jl raya gedeg-ploso ngareskidul gedeg mojokerto</t>
  </si>
  <si>
    <t>kyai muhammad abid shalich</t>
  </si>
  <si>
    <t>mas muiz</t>
  </si>
  <si>
    <t>pphqputragedeg@gmail.com</t>
  </si>
  <si>
    <t>3 orang</t>
  </si>
  <si>
    <t>PONDOK PESANTREN HIDAYATUL QURAN</t>
  </si>
  <si>
    <t>Dsn. Ngareswetan RT/RW 016/006, Ngareskidul, Kec. Gedeg, Kabupaten Mojokerto</t>
  </si>
  <si>
    <t>KYAI GUS ABID SHOLEH</t>
  </si>
  <si>
    <t>MU'IZ ZAKARIA</t>
  </si>
  <si>
    <t>0831-7149-6580</t>
  </si>
  <si>
    <t>2 orang</t>
  </si>
  <si>
    <t xml:space="preserve">DARUL HIKMAH </t>
  </si>
  <si>
    <t>Pondok Pesantren Darul Hikmah, Jalan Niaga Gang I No. 42, RT.1/RW.1, Desa Sawahan, Mojosari (Kantor darul hikmah), KAB. MOJOKERTO, MOJOSARI, JAWA TIMUR, ID, 61382</t>
  </si>
  <si>
    <t xml:space="preserve">KH ALI MAS'ADI </t>
  </si>
  <si>
    <t>Zamzamy</t>
  </si>
  <si>
    <t>+62 823-2216-9142</t>
  </si>
  <si>
    <t>Pondok pesantren Riyadlul Qur'an</t>
  </si>
  <si>
    <t>GG santren, Kedung maling, Sooko, mojokerto</t>
  </si>
  <si>
    <t xml:space="preserve">Gus Muhammad Nasir munawwir </t>
  </si>
  <si>
    <t>Akhmad Khadafi</t>
  </si>
  <si>
    <t>085732824617</t>
  </si>
  <si>
    <t>Riyadlulq@gmail.com</t>
  </si>
  <si>
    <t>PONDOK PESANTREN DARUL MA'ARIF</t>
  </si>
  <si>
    <t>Tinggar Buntut Bangsal Mojokerto</t>
  </si>
  <si>
    <t>Drs KH Ishlahuddin MHI</t>
  </si>
  <si>
    <t>Muhammad Aldiansyah</t>
  </si>
  <si>
    <t>+62 819-5749-8454</t>
  </si>
  <si>
    <t>Asy-syaafi'iyah</t>
  </si>
  <si>
    <t xml:space="preserve">Dsn. Kesemen Ds. Kesemen Jl. Diniyah no. 295 RT 003 RW 003 Kec. Ngoro </t>
  </si>
  <si>
    <t>KH. Ahmadun Bashori Sholihuddin</t>
  </si>
  <si>
    <t>Mohammad Faza Fauzan Adhima</t>
  </si>
  <si>
    <t>082245804752</t>
  </si>
  <si>
    <t>ponpes.asysyafiiyah1@gmail.com</t>
  </si>
  <si>
    <t>Rudlotussalikin</t>
  </si>
  <si>
    <t>Dsn. Pagerowojo RT01/RW15, Ds. Jerukseger Kec. Gedeg Kab. Mojokerto Jawa Timur 61351</t>
  </si>
  <si>
    <t>Kyai Muhammad Mas'ud</t>
  </si>
  <si>
    <t>Roudlotussalikin Official</t>
  </si>
  <si>
    <t>pp.roudlotussalikin</t>
  </si>
  <si>
    <t>Editor + Fotografer</t>
  </si>
  <si>
    <t>085136888605</t>
  </si>
  <si>
    <t>PONDOK PESANTREN ROUDLOTUL ATHFAL</t>
  </si>
  <si>
    <t>Ponpes Roudlotul Athfal  Bagikan Simpan H9CC+5X8, Berat tengah, Berat Besuk, Beratkulon, Kec. Kemlagi, Kabupaten Mojokerto, Jawa Timur 61353</t>
  </si>
  <si>
    <t>Agus H.Mahrus Ali</t>
  </si>
  <si>
    <t>Roudlotul Athfal</t>
  </si>
  <si>
    <t>roudlotulathfal_</t>
  </si>
  <si>
    <t>ROUDLOTULATHFAL_</t>
  </si>
  <si>
    <t>pptqroudlotulatfhal</t>
  </si>
  <si>
    <t>Zaskia izza khairania</t>
  </si>
  <si>
    <t>Admin desain dan publikasi</t>
  </si>
  <si>
    <t>+62 882-0094-43701</t>
  </si>
  <si>
    <t>ppraberatkulon@gmail.com</t>
  </si>
  <si>
    <t xml:space="preserve">Pondok Pesantren Sabilul Muttaqin </t>
  </si>
  <si>
    <t xml:space="preserve">Dusun Madyopuro Desa Kalipuro Kecamatan Pungging Kabupaten Mojokerto </t>
  </si>
  <si>
    <t>Dr.Kh. Abdur Rokhim Sh.Mh.</t>
  </si>
  <si>
    <t>Lensa YPPSM</t>
  </si>
  <si>
    <t>lensayppsm</t>
  </si>
  <si>
    <t>Muhammad Aris Setiyono</t>
  </si>
  <si>
    <t>Fotografer</t>
  </si>
  <si>
    <t>0895802921277</t>
  </si>
  <si>
    <t>PP Majma’al Bahroin ( al-ma’aba</t>
  </si>
  <si>
    <t>Ds. mojogeneng kec. Jatirejo kab. Mojokerto</t>
  </si>
  <si>
    <t>Agus M. Amin Al ma’mun</t>
  </si>
  <si>
    <t>Pesantren almaaba mojokerto</t>
  </si>
  <si>
    <t>Pesantren_almaaba</t>
  </si>
  <si>
    <t>https://almaaba.pondokpesantren.id/admin.php</t>
  </si>
  <si>
    <t>Peantren almaaba</t>
  </si>
  <si>
    <t>Tiga (3)</t>
  </si>
  <si>
    <t>Habibi Abdi Rohman ( habibi )</t>
  </si>
  <si>
    <t>Editor dan fotograpy</t>
  </si>
  <si>
    <t xml:space="preserve">Pondok pesantren teknologi informasi Al-Hidayah </t>
  </si>
  <si>
    <t xml:space="preserve">Dsn.rejeni, ds. Wonodadi, kec. Kutorejo, kan. Mojokerto </t>
  </si>
  <si>
    <t xml:space="preserve">Ibunyai Dra. hj. Jauharoh Said </t>
  </si>
  <si>
    <t xml:space="preserve">Yppti Al-Hidayah </t>
  </si>
  <si>
    <t>ponpesalhidayah.id</t>
  </si>
  <si>
    <t>alhidayah.id</t>
  </si>
  <si>
    <t>Balqy Maslachatul Kharimah</t>
  </si>
  <si>
    <t>0881036595950</t>
  </si>
  <si>
    <t xml:space="preserve">Riyadlul Qur'an </t>
  </si>
  <si>
    <t xml:space="preserve">Jl Raya Brangkal no. 991 Kedungmaling Sooko Mojokerto </t>
  </si>
  <si>
    <t>Siti Shofiyah</t>
  </si>
  <si>
    <t>Ibrahim Pasha</t>
  </si>
  <si>
    <t>Media</t>
  </si>
  <si>
    <t>+62 812-1419-2170</t>
  </si>
  <si>
    <t>Pondok pesantren Roudlotul Athfal</t>
  </si>
  <si>
    <t>Ds.Beratkuolon Kec.kemlagi Kab.mojokerto-jawatimur</t>
  </si>
  <si>
    <t>KH.MAHRUS ALI</t>
  </si>
  <si>
    <t>PONPES.ROUDLOTUL ATHFAL</t>
  </si>
  <si>
    <t>pptqroudlotulathfal</t>
  </si>
  <si>
    <t>3 anggota</t>
  </si>
  <si>
    <t>Zaskia izza</t>
  </si>
  <si>
    <t>0882009443701</t>
  </si>
  <si>
    <t>Tidak punya</t>
  </si>
  <si>
    <t xml:space="preserve">Pondok Pesantren Riyadlul Qur'an </t>
  </si>
  <si>
    <t>Gg. Santren, Kedung Maling 3, Kedungmaling, Kec. Sooko, Kabupaten Mojokerto, Jawa Timur 61361</t>
  </si>
  <si>
    <t>Hj Siti Sofiyah Hamim</t>
  </si>
  <si>
    <t xml:space="preserve">media.rq official </t>
  </si>
  <si>
    <t>media.rq</t>
  </si>
  <si>
    <t>riyadlulquran.ponpes.id</t>
  </si>
  <si>
    <t xml:space="preserve">Akhmad Khadafi </t>
  </si>
  <si>
    <t xml:space="preserve">Fotografer </t>
  </si>
  <si>
    <t>08133132707</t>
  </si>
  <si>
    <t>media.rq.mojokerto@gmail.com</t>
  </si>
  <si>
    <t>10</t>
  </si>
  <si>
    <t>Pondok Pesantren Mambaul Khoiriyatil Islamiyah</t>
  </si>
  <si>
    <t>JL KH ABDUL HALIM KEDUNGSUKO BANGSALSARI</t>
  </si>
  <si>
    <t>Jember</t>
  </si>
  <si>
    <t>KH. ABDUR ROHIM HALIM</t>
  </si>
  <si>
    <t>Ahmad Mashduqi</t>
  </si>
  <si>
    <t>082331055075</t>
  </si>
  <si>
    <t>mhi.channel09@gmail.com</t>
  </si>
  <si>
    <t>Rumah Tahfidz Al-Mulk</t>
  </si>
  <si>
    <t>Jl. Pahlawan no.6 Dusun krajan RT 01 RW 02 Deklekor</t>
  </si>
  <si>
    <t>Abi Ujek</t>
  </si>
  <si>
    <t>Ahmad Syaiful Anwar</t>
  </si>
  <si>
    <t>https://www.google.com/maps/place/82004'55.22S+1132049'54.52E/@-8.1130583,113.8362812,17z</t>
  </si>
  <si>
    <t>mahesa.jennar28@gmail.com</t>
  </si>
  <si>
    <t>Pondok Pesantren Ulul Albab</t>
  </si>
  <si>
    <t>Desa Sukorejo</t>
  </si>
  <si>
    <t>Lumajang</t>
  </si>
  <si>
    <t>KH. Abdul Aziz Marwi Hasba</t>
  </si>
  <si>
    <t>M Hasyim Azhari</t>
  </si>
  <si>
    <t>https://goo.gl/maps/kgkHkoeuHf2FHjXSA</t>
  </si>
  <si>
    <t>pesantrenululalbab@gmail.com</t>
  </si>
  <si>
    <t>Miftahul Ulum</t>
  </si>
  <si>
    <t>Kecamatan Sukowono</t>
  </si>
  <si>
    <t>KH. Muhammad Husni Zuhri</t>
  </si>
  <si>
    <t>Naufal Syakhis Najibartsa</t>
  </si>
  <si>
    <t>0881026478894</t>
  </si>
  <si>
    <t>https://goo.gl/maps/zxfYxnEoMnFgVGkH7</t>
  </si>
  <si>
    <t>ymubakid@gmail.com</t>
  </si>
  <si>
    <t>Darut Tholibin Al-Qodiri 02</t>
  </si>
  <si>
    <t xml:space="preserve">Jl. Umbulsari No.03 Krebet, Gumuk Mas, Jember 68165 Jawa Timur </t>
  </si>
  <si>
    <t>KH. Moch. Habibullah Khomsun Sy.</t>
  </si>
  <si>
    <t>Aziz Asyari</t>
  </si>
  <si>
    <t>Siti Rohmah</t>
  </si>
  <si>
    <t>0852-3308-5224</t>
  </si>
  <si>
    <t>https://www.google.co.id/maps/place/Pondok+Pesantren+Darut+Tholibin+AL+QODIRI+2/@-8.2952233,113.3969818,17z/data=!4m8!1m2!2m1!1salqodiri+02!3m4!1s0x2dd687ef45a4cd09:0x696a7eff4cdc9e4c!8m2!3d-8.294943!4d113.3989976?hl=id</t>
  </si>
  <si>
    <t>alqodiri02gumukmas@gmail.com</t>
  </si>
  <si>
    <t>Pp. Darus Sholah</t>
  </si>
  <si>
    <t>Kode Pos 68194</t>
  </si>
  <si>
    <t>KH. Yusuf Muhammad</t>
  </si>
  <si>
    <t>M Agustia Maradika Wildan</t>
  </si>
  <si>
    <t>Yusuf Ramadhan</t>
  </si>
  <si>
    <t xml:space="preserve">+62 821-4731-0800
</t>
  </si>
  <si>
    <t>Pondok Pesantren Darus Sholah Jember Jl. Moh. Yamin No.25, Tegal Besar Kulon, Tegal Besar, Kec. Kaliwates, Kabupaten Jember, Jawa Timur 68132 0821-4731-0800 https://maps.app.goo.gl/Ab52t66KQPpcSveK6</t>
  </si>
  <si>
    <t>Darussholahchannel@gmail.com</t>
  </si>
  <si>
    <t>Pondok pesantren al bidayah</t>
  </si>
  <si>
    <t>Jl. Panggung Lombok, Rt 03 Rw 03, Desa Candipuro, Kecamatan Candipuro, Kabupaten Lumajang, Kodepos 67373</t>
  </si>
  <si>
    <t>Dr. KH. Abdul Haris, M.Ag</t>
  </si>
  <si>
    <t>Mubarok</t>
  </si>
  <si>
    <t>bisa di sesuaikan dengan lalamat</t>
  </si>
  <si>
    <t>metodealbidayah@g,ail.com</t>
  </si>
  <si>
    <t>Assunniyyah</t>
  </si>
  <si>
    <t>Jl. Raya Lumajang-Jember, Dus. Krajan 1, Des. Banyuputih Kidul, Kec. Jatiroto, Kab. Lumajang</t>
  </si>
  <si>
    <t>KH. Ahmad Sadid Jauhari, KH. Rosiful Aqli Jauhari, &amp; KH. Ahmad Ghonim Jauhari</t>
  </si>
  <si>
    <t>Multimedia Assunniyyah</t>
  </si>
  <si>
    <t>Ahmad Rofi'udin</t>
  </si>
  <si>
    <t>P9FC+3W Kencong, Kabupaten Jember, Jawa Timur</t>
  </si>
  <si>
    <t>radiodakwahassunniyyah@gmail.com</t>
  </si>
  <si>
    <t>Yayasan pondok pesantren Nurul Faroh</t>
  </si>
  <si>
    <t>Jl. Umbulsari No.03 Krebet-Gumukmas-Jember</t>
  </si>
  <si>
    <t>KH.Achmad Shiyam</t>
  </si>
  <si>
    <t>Mawaddah</t>
  </si>
  <si>
    <t>Syibliahmad07@gmail.com</t>
  </si>
  <si>
    <t>PP. Darul Musthofa Assunniyyah</t>
  </si>
  <si>
    <t>Jl. Moh. Yamin No.25, Tegal Besar Kulon, Tegal Besar, Kec. Kaliwates, Kabupaten Jember, Jawa Timur 68132</t>
  </si>
  <si>
    <t>KH. Ali Ridwan</t>
  </si>
  <si>
    <t>Fadhil Al Anshor</t>
  </si>
  <si>
    <t>https://goo.gl/maps/WcjMH6FmVbGG5nyT8</t>
  </si>
  <si>
    <t>darulmusthofaassunniyyah@gmail.com</t>
  </si>
  <si>
    <t>Pondok Pesantren Jalaluddin Ar-Rumi</t>
  </si>
  <si>
    <t>Jl. moh yamin no 3b, tegal besar - kaliwates - jember</t>
  </si>
  <si>
    <t>Dr. KH. A. Malthuf Siraj, M.Ag</t>
  </si>
  <si>
    <t>Akbar</t>
  </si>
  <si>
    <t>Umi Kultsum</t>
  </si>
  <si>
    <t>ppjalaluddinrumi111@gmail.com</t>
  </si>
  <si>
    <t>Pondok Pesantren Nurul Amin Wringinsari</t>
  </si>
  <si>
    <t>Jl. Sukartiyo No. 43 Wringinsari Padomasan Jombang</t>
  </si>
  <si>
    <t>Kyai Ahmad Jailani Dahlan</t>
  </si>
  <si>
    <t>Moh. Alfin Rozikin</t>
  </si>
  <si>
    <t>081252453262</t>
  </si>
  <si>
    <t>ponpesnurulamin2005@gmail.com</t>
  </si>
  <si>
    <t>Pondok Pesantren Fatihul Ulum Al-Mahfudz</t>
  </si>
  <si>
    <t>Jl. Argopuro No7 Manggisan Tanggul</t>
  </si>
  <si>
    <t>KH. Sakip Mahfudz Abd Hannan</t>
  </si>
  <si>
    <t>fauzi</t>
  </si>
  <si>
    <t>081357806072</t>
  </si>
  <si>
    <t>mgs.studio7@gmail.com</t>
  </si>
  <si>
    <t xml:space="preserve">Pondok Pesantren Miftahul Ulum Kaliglagah </t>
  </si>
  <si>
    <t>Jln. Waringin No 75 Desa Kaliglagah Kec. Sumberbaru Kab. Jember</t>
  </si>
  <si>
    <t>KH. TAUFIK HASYIM M.Pd.I</t>
  </si>
  <si>
    <t>Imam Syafi'i</t>
  </si>
  <si>
    <t>085335266626</t>
  </si>
  <si>
    <t>Subulus Salam</t>
  </si>
  <si>
    <t>Jl. H. Nur Salim 01 Rowotengu Sidomulyo Semboro Jember</t>
  </si>
  <si>
    <t>Kyai Abdul Muhid, S.Pd.I.</t>
  </si>
  <si>
    <t>Syaechotul Afqah</t>
  </si>
  <si>
    <t>082228122638</t>
  </si>
  <si>
    <t xml:space="preserve">Pondok Pesantren Nurul Jadid Al Islami </t>
  </si>
  <si>
    <t xml:space="preserve">Jl KH Salim no 99 Sumber Wringin Sukowono Jember </t>
  </si>
  <si>
    <t>KH Muhaimin Fauzi Salim</t>
  </si>
  <si>
    <t xml:space="preserve">Moch Irfandy </t>
  </si>
  <si>
    <t>083170888981</t>
  </si>
  <si>
    <t>NURUL IHSAN AN-NUR</t>
  </si>
  <si>
    <t>Jl. Drs. MOh Hatta NO 20 RT/RW 022/003 Dsn. Kbonsari Ds. Tempeh Tengah</t>
  </si>
  <si>
    <t>JAMALUDDIN KUBRO</t>
  </si>
  <si>
    <t>M. AGUS TARMADI</t>
  </si>
  <si>
    <t>085880654526</t>
  </si>
  <si>
    <t>Darul Musthofa Assunniyyah</t>
  </si>
  <si>
    <t>Rowosugo, yosowilangun kidul, yosowilangun, lumajang</t>
  </si>
  <si>
    <t>KH. Ali Syibro Mallisi</t>
  </si>
  <si>
    <t>Ahmad Nur Fuady</t>
  </si>
  <si>
    <t>083829850871</t>
  </si>
  <si>
    <t>PP.Nurul Islam Jember</t>
  </si>
  <si>
    <t>PP. Nurul Islam Jember</t>
  </si>
  <si>
    <t>Gus Robith Qosidi. Lc</t>
  </si>
  <si>
    <t>Fathul arifin</t>
  </si>
  <si>
    <t>085732875311</t>
  </si>
  <si>
    <t xml:space="preserve">Ponpes Hidayatul Muta'allimin </t>
  </si>
  <si>
    <t>Dsn.Jatian - Ds.Pondok Dalem - Kec.Semboro</t>
  </si>
  <si>
    <t>Ky.Zainal Arifin Efendi</t>
  </si>
  <si>
    <t xml:space="preserve">Syaiful Ikromi </t>
  </si>
  <si>
    <t>082244790054</t>
  </si>
  <si>
    <t>hidayatulmutaalimin8@gmail.com</t>
  </si>
  <si>
    <t>PP MIFTAHUL FALAH</t>
  </si>
  <si>
    <t>Tegalciut, Klakah, Lumajang</t>
  </si>
  <si>
    <t>K. Abbas Zainal Muttaqin</t>
  </si>
  <si>
    <t>Moh Faiqul Umam</t>
  </si>
  <si>
    <t>085655557303</t>
  </si>
  <si>
    <t xml:space="preserve">Nahdlatul Arifin </t>
  </si>
  <si>
    <t>Rt/rw 06/04 Kemuningsari Lor Panti Jember</t>
  </si>
  <si>
    <t>K. Mahfud Ahsan</t>
  </si>
  <si>
    <t>Abdul Basit</t>
  </si>
  <si>
    <t>081217734846</t>
  </si>
  <si>
    <t xml:space="preserve">PP. Riyadlus Sholihien </t>
  </si>
  <si>
    <t>Jl. Melati V No.10, Ledok, Jember Kidul, Kec. Kaliwates, Kab. Jember, Provinsi Jawa Timur 68131</t>
  </si>
  <si>
    <t>KH. M. MUSHODDIQ FIKRI FAROUQ, S.SOS</t>
  </si>
  <si>
    <t xml:space="preserve">Enviro Barend Hartono </t>
  </si>
  <si>
    <t>083832276077</t>
  </si>
  <si>
    <t>Ypp asy-syarifiy</t>
  </si>
  <si>
    <t>Pandanwangi tempeh Lumajang</t>
  </si>
  <si>
    <t>Kh fawahim adzrai syarif</t>
  </si>
  <si>
    <t>Riski nugroho</t>
  </si>
  <si>
    <t>085786111175</t>
  </si>
  <si>
    <t xml:space="preserve">Pondok pesantren Raudlatul Qur'an </t>
  </si>
  <si>
    <t>Gg.asabri l, citrodiwangsan ,tompokersan,kec Lumajang, kabupaten Lumajang , Jawa timur 67352</t>
  </si>
  <si>
    <t>Kiyai. Abdul Hamid</t>
  </si>
  <si>
    <t xml:space="preserve">Choirul Anam </t>
  </si>
  <si>
    <t>081252508517</t>
  </si>
  <si>
    <t>Pondok Pesantren Durrotut Tholibin</t>
  </si>
  <si>
    <t>PP. DURROTUT THOLIBIN, Jl. Buya Hamka No.52 Jombang-Jember-Jawa Timur Kode pos 68168</t>
  </si>
  <si>
    <t>Agus M. Muktafin bin Ghozali Nur</t>
  </si>
  <si>
    <t>Daffa Raihan</t>
  </si>
  <si>
    <t>083122296193</t>
  </si>
  <si>
    <t>Pondok Pesantren Darul Hikmah</t>
  </si>
  <si>
    <t>Jalan Agung Masidin No 01 Desa Tamansari</t>
  </si>
  <si>
    <t>K. Hasan Abdul Basid</t>
  </si>
  <si>
    <t>Misbahul Munir, S.Pd., M.Pd.</t>
  </si>
  <si>
    <t>085258544046</t>
  </si>
  <si>
    <t>Pondok Pesantren Raudlatul Jannah</t>
  </si>
  <si>
    <t>Tegalrejo, Mayang, Jember</t>
  </si>
  <si>
    <t>K. A. Suudi Munir S. Ag, M. Pd</t>
  </si>
  <si>
    <t>Muhammad Faqih Latin</t>
  </si>
  <si>
    <t>081232644391</t>
  </si>
  <si>
    <t>Darul falah</t>
  </si>
  <si>
    <t xml:space="preserve">Jl. KH Noer Khotib Desa Denok </t>
  </si>
  <si>
    <t>HM.AINUR RIDLO</t>
  </si>
  <si>
    <t>Nur hamdi</t>
  </si>
  <si>
    <t>087713884796</t>
  </si>
  <si>
    <t>Pondok Pesantren Tanwirul Ulum</t>
  </si>
  <si>
    <t>Jl. KH. Munawwar No. 1 RT.2/RW.9, Gunungsari, Umbulsari, Jember</t>
  </si>
  <si>
    <t>KH. Munawwar Saiful Rijal</t>
  </si>
  <si>
    <t>Thohir Mukhdor</t>
  </si>
  <si>
    <t>088293037107</t>
  </si>
  <si>
    <t>PP MIFTAHUL ULUM SALAK</t>
  </si>
  <si>
    <t>Dsn Darungan RT.23 RW.12 Desa salak Kec. Randuagung</t>
  </si>
  <si>
    <t>Rifky Hidayatullah, S.Pd</t>
  </si>
  <si>
    <t>Fawaiq</t>
  </si>
  <si>
    <t>081330360044</t>
  </si>
  <si>
    <t>Assalafiyyah Attauhidiyyah</t>
  </si>
  <si>
    <t>Jl Pb. Sudirman no 17 Desa Karangsono</t>
  </si>
  <si>
    <t>Kyai Ahmad Fauzi</t>
  </si>
  <si>
    <t>Rizaluden</t>
  </si>
  <si>
    <t>085746819545</t>
  </si>
  <si>
    <t>Rizaluden29@gmail.com</t>
  </si>
  <si>
    <t xml:space="preserve">Al Amien </t>
  </si>
  <si>
    <t xml:space="preserve">Sabrang Ambulu Jember </t>
  </si>
  <si>
    <t>Kyai Moh. Yusuf Masduqie</t>
  </si>
  <si>
    <t>Fuadi</t>
  </si>
  <si>
    <t>Muhammad Nur Alfan L</t>
  </si>
  <si>
    <t>081233153500</t>
  </si>
  <si>
    <t>082139965665</t>
  </si>
  <si>
    <t xml:space="preserve">ponpes.alamienambulu@gmail.com </t>
  </si>
  <si>
    <t xml:space="preserve">PONDOK PESANTREN DARUL HIDAYAH </t>
  </si>
  <si>
    <t xml:space="preserve">Jl.Ciliwung No 82 Gambirono Bangsalsari Jember </t>
  </si>
  <si>
    <t>KH.BADRUS SHODIQ</t>
  </si>
  <si>
    <t xml:space="preserve">FATHUR ROHMAN </t>
  </si>
  <si>
    <t>08224434321</t>
  </si>
  <si>
    <t>ppdarulhidayah92@gmail.com</t>
  </si>
  <si>
    <t>Pondok Pesantren Al-Qodiri 1 Jember</t>
  </si>
  <si>
    <t>Jl. Manggar 139A Gebang Porang Kecamatan Patrang</t>
  </si>
  <si>
    <t>KH. Achmad Muzakki Syah</t>
  </si>
  <si>
    <t>Ahmad Taufiq Hidayatullah</t>
  </si>
  <si>
    <t>082331571700</t>
  </si>
  <si>
    <t>Pondokpesantrenalqodiri@gmail.com</t>
  </si>
  <si>
    <t xml:space="preserve">Baitul Hikmah </t>
  </si>
  <si>
    <t xml:space="preserve">Krajan Tempurejo </t>
  </si>
  <si>
    <t>Kh. Baihaqi Busri</t>
  </si>
  <si>
    <t xml:space="preserve">Fathan Hudaya Dielista </t>
  </si>
  <si>
    <t>082330747441</t>
  </si>
  <si>
    <t>PP. DHA Karanglo</t>
  </si>
  <si>
    <t>Jl. KH. Hasan Basri No. 01, Tanggul Wetan - Tanggul - Jember</t>
  </si>
  <si>
    <t xml:space="preserve">KHR. Umar Saifuddin, SH. M.Pd., MM. </t>
  </si>
  <si>
    <t>Zainal Alim Maulana</t>
  </si>
  <si>
    <t>082139493002</t>
  </si>
  <si>
    <t>ypidha@gmail.com</t>
  </si>
  <si>
    <t>Miftahul Midad</t>
  </si>
  <si>
    <t>V6HM+FX3, Sekarputih, Sumberejo, Kec. Sukodono, Kabupaten Lumajang, Jawa Timur 67316</t>
  </si>
  <si>
    <t>Kyai As'adul Umam Anas</t>
  </si>
  <si>
    <t>BAHRUR ROZI</t>
  </si>
  <si>
    <t>Amar Qusairi</t>
  </si>
  <si>
    <t>081230189079</t>
  </si>
  <si>
    <t>085852872349</t>
  </si>
  <si>
    <t>Ppmiftahulmidad@gmail.com</t>
  </si>
  <si>
    <t>Ainul Hikmah</t>
  </si>
  <si>
    <t>Timur Lapangan Sumberjati Tempeh Lumajang</t>
  </si>
  <si>
    <t>KH. Bahrul Ulum</t>
  </si>
  <si>
    <t>Ahmad Usdaddin</t>
  </si>
  <si>
    <t>085649373222</t>
  </si>
  <si>
    <t>Ypiainulhikmah@gmail.com</t>
  </si>
  <si>
    <t xml:space="preserve">PONDOK PESANTREN RAUDLATUL MUTA'ALLIMIN </t>
  </si>
  <si>
    <t>Jl. PTPN XII Afd Karanganom Besaran Dsn. Paci Desa Gelang kecamatan Sumberbaru</t>
  </si>
  <si>
    <t>KH. IMAM SHONHAJI H.A</t>
  </si>
  <si>
    <t>Babul Ulum</t>
  </si>
  <si>
    <t>082228774181</t>
  </si>
  <si>
    <t>romin.media0120@gmail.com</t>
  </si>
  <si>
    <t xml:space="preserve">Ponpes BUSTANUL ULUM BULUGADING </t>
  </si>
  <si>
    <t>Jln.Bulugading desa LANGKAP BANGSALSARI JEMBER</t>
  </si>
  <si>
    <t>Rkh.Moh.syamsul arifin</t>
  </si>
  <si>
    <t>A.Saiful ishaq</t>
  </si>
  <si>
    <t>085399542808</t>
  </si>
  <si>
    <t>ppbu.bulugading@gmail.com</t>
  </si>
  <si>
    <t>AL-MALIKI</t>
  </si>
  <si>
    <t>Duren Dawuhan Lor Sukodono</t>
  </si>
  <si>
    <t>KH. Taufiq Malik, S.Pd.I</t>
  </si>
  <si>
    <t>Ahmad Fauzi</t>
  </si>
  <si>
    <t>085259045171</t>
  </si>
  <si>
    <t>almalikiduren@gmail.com</t>
  </si>
  <si>
    <t>Pondok Pesantren Madinatul Ulum Cangkring</t>
  </si>
  <si>
    <t xml:space="preserve">Jl. KH. Achmad Said No. 20-24 Cangkring Jenggawah Jember </t>
  </si>
  <si>
    <t>RKH. Luthfi Ahmad</t>
  </si>
  <si>
    <t>Muhammad Umar Fadil</t>
  </si>
  <si>
    <t>082334488929</t>
  </si>
  <si>
    <t>ppmucangkring@gmail.com</t>
  </si>
  <si>
    <t>Pondok Pesantren Nurut Tauhid</t>
  </si>
  <si>
    <t>Jl. Raya Wonorejo Jember Desa Wonorejo Kedungajajng Lumajang</t>
  </si>
  <si>
    <t>Ky Dzulkifli</t>
  </si>
  <si>
    <t xml:space="preserve">Avis </t>
  </si>
  <si>
    <t>081937739138</t>
  </si>
  <si>
    <t>pesantrennuruttauhid@gmail.com</t>
  </si>
  <si>
    <t>Pondok Pesantren ROHMANIYAH Lumajang</t>
  </si>
  <si>
    <t>Jl. Citarum Rt/Rw 04/07 Jogoyudan Lumajang</t>
  </si>
  <si>
    <t>KH. Ali Hamid S. P</t>
  </si>
  <si>
    <t>M. Kholilulloh S. Pd</t>
  </si>
  <si>
    <t>085755778825</t>
  </si>
  <si>
    <t>pp.rohmaniyah1212@gmail.com</t>
  </si>
  <si>
    <t>PP. Raden Rahmat Sunan Ampel Jember</t>
  </si>
  <si>
    <t>Jl. Koptu Berlian No.8, Jambuan, Antirogo, Kec. Sumbersari, Kabupaten Jember, Jawa Timur</t>
  </si>
  <si>
    <t>Kyai Ahmad Nafi'</t>
  </si>
  <si>
    <t>+6285746818279</t>
  </si>
  <si>
    <t>pprrsunanampel@gmail.com</t>
  </si>
  <si>
    <t>Pondok Pesantren Kyai Syarifuddin</t>
  </si>
  <si>
    <t>Jl. PPs Kyai Syarifuddin Dsn. Wetan Sepuran Wonorejo, Kedungjajang, Lumajang</t>
  </si>
  <si>
    <t xml:space="preserve">KH Sulahak Syarif </t>
  </si>
  <si>
    <t xml:space="preserve">M Royhanul Ulum Aziz </t>
  </si>
  <si>
    <t>+62 857-3014-4798</t>
  </si>
  <si>
    <t>ponpeskyaisyarifuddin1@gmail.com</t>
  </si>
  <si>
    <t>Jl. KH. Jauhari Zawawi 1 - 3 Kec. Kencong Kab. Jember</t>
  </si>
  <si>
    <t>KH. Ahmad Sadid Jauhari</t>
  </si>
  <si>
    <t>081230190502</t>
  </si>
  <si>
    <t xml:space="preserve">AL FALAH PUTRI </t>
  </si>
  <si>
    <t>Jl. H. Sholih No. 01 Kepel Ampel Kec. Wuluhan</t>
  </si>
  <si>
    <t>Kyai. Maqsidul Asna</t>
  </si>
  <si>
    <t>Subhan Masruri</t>
  </si>
  <si>
    <t>082139969102</t>
  </si>
  <si>
    <t>infoalfatri@gmail.com</t>
  </si>
  <si>
    <t xml:space="preserve">Pondok Pesantren Wahyu Hidayatul Islam </t>
  </si>
  <si>
    <t xml:space="preserve">Jl. Raya Kloposawit, Kec. Candipuro, Kab. Lumajang </t>
  </si>
  <si>
    <t xml:space="preserve">Ky. Guntur Saikhu Mufti Ivan Hidayat </t>
  </si>
  <si>
    <t xml:space="preserve">Afif Muzakky </t>
  </si>
  <si>
    <t>085746400674</t>
  </si>
  <si>
    <t>pondokwhi1964@gmail.com</t>
  </si>
  <si>
    <t>Pondok pesantren Nurul Ulum</t>
  </si>
  <si>
    <t xml:space="preserve">Jl. Rs. Prawira No. 1A. Wirowongso Ajung Jember </t>
  </si>
  <si>
    <t>RKH. ABDULLAH KHOLIQ</t>
  </si>
  <si>
    <t xml:space="preserve">ACH Zahroni Maulana </t>
  </si>
  <si>
    <t>083847544035</t>
  </si>
  <si>
    <t>nurululumofficial87@gmail.com</t>
  </si>
  <si>
    <t>Pondok Pesantren AL-ISHLAH Jenggawah</t>
  </si>
  <si>
    <t>Jl.mataram Rt/Rw : 18/02 Krajan Jenggawah Jember</t>
  </si>
  <si>
    <t>Kyai. Ahmad Mu'ien Siroj</t>
  </si>
  <si>
    <t>M Alfan Alfian</t>
  </si>
  <si>
    <t>085607150323</t>
  </si>
  <si>
    <t>pp.alishlahjenggawah91@gmail.com</t>
  </si>
  <si>
    <t>Pondok Pesantren Salafiyah Sirojul Hasan</t>
  </si>
  <si>
    <t>Dusun Glagasan Desa Petung Kecamatan Bangsalsari</t>
  </si>
  <si>
    <t>K. Fathurroziqin Amin</t>
  </si>
  <si>
    <t>Sulaiman</t>
  </si>
  <si>
    <t>+62 856-4572-3174</t>
  </si>
  <si>
    <t>sirojulhasan99@gmail.com</t>
  </si>
  <si>
    <t xml:space="preserve">PP Miftahul Ulum Manggisan </t>
  </si>
  <si>
    <t>Jl. Argopuro RT. 01/ RW.04 Dusun Manggis Agung Desa Manggisan Kec. Tanggul Kab. Jember</t>
  </si>
  <si>
    <t>KH. Majdi Ba'its</t>
  </si>
  <si>
    <t>Abdur Rohman  &amp; Anang ma'ruf</t>
  </si>
  <si>
    <t>085259636805</t>
  </si>
  <si>
    <t>www.elanshor@gmail.com</t>
  </si>
  <si>
    <t>PP. Darus Sholah Jember</t>
  </si>
  <si>
    <t>Jl. Moh. Yamin No 25, Tegal Besar, Kaliwates, Jember</t>
  </si>
  <si>
    <t>Ibu Nyai. Rosyidah Yusuf. S.Hi</t>
  </si>
  <si>
    <t>Ach. Muzammil</t>
  </si>
  <si>
    <t>086784397188</t>
  </si>
  <si>
    <t>darussholahchannel@gmail.com</t>
  </si>
  <si>
    <t>Ponpes Raudlatul Jannah</t>
  </si>
  <si>
    <t>Kebun gunung tegal rejo mayang jember</t>
  </si>
  <si>
    <t>Kyai Suudi</t>
  </si>
  <si>
    <t>Muhammad faqih latin</t>
  </si>
  <si>
    <t>Ypiraudlatuljannah@gmail.com</t>
  </si>
  <si>
    <t xml:space="preserve">Pondok Pesantren Salafiyah Syafi'iyah Asyhariyah Curahlele </t>
  </si>
  <si>
    <t xml:space="preserve">Jln. Cendrawasih No. 23 Curahlele Balung Jember </t>
  </si>
  <si>
    <t>KH. MUZAKKI ABDUL AZIZ</t>
  </si>
  <si>
    <t>M Ali Wafa</t>
  </si>
  <si>
    <t>+62 812-5906-5703</t>
  </si>
  <si>
    <t>pp.ss.asyhariyah.curahlele@gmail.com</t>
  </si>
  <si>
    <t>Pondok Pesantren Sunan Giri</t>
  </si>
  <si>
    <t>Curahlele - Balung - Jember</t>
  </si>
  <si>
    <t>Drs. KH. ANWAR ABDUL AZIZ</t>
  </si>
  <si>
    <t>Roudlotut Tholibi</t>
  </si>
  <si>
    <t>0881026786518</t>
  </si>
  <si>
    <t>ponpessunangiri321@gmail.com</t>
  </si>
  <si>
    <t>Pondok pesantren Addimyati</t>
  </si>
  <si>
    <t>Pondok lalang Wonojati jenggawah jember</t>
  </si>
  <si>
    <t>KH. Djuaini dimyati</t>
  </si>
  <si>
    <t>Fathur Rohman</t>
  </si>
  <si>
    <t>085731381961</t>
  </si>
  <si>
    <t>Salafiyah Assyarif</t>
  </si>
  <si>
    <t>Ajung Wetan - Ajung - Jember</t>
  </si>
  <si>
    <t>Kiai Abdul Majid Abdullah</t>
  </si>
  <si>
    <t>Muhammad Wasil</t>
  </si>
  <si>
    <t>0895385286651</t>
  </si>
  <si>
    <t>ppassyarif08@gmail.com</t>
  </si>
  <si>
    <t>Kyai Syarifuddin,asrama mq</t>
  </si>
  <si>
    <t>Syarifuddin,Wonorejo, Kedungjajang,lumajang</t>
  </si>
  <si>
    <t>Muhammad Ilyas</t>
  </si>
  <si>
    <t>Amelia nur fadila</t>
  </si>
  <si>
    <t>+62 838-0436-4686</t>
  </si>
  <si>
    <t>Tidak tau</t>
  </si>
  <si>
    <t>Pondok Pesantren Nurul Huda Mangunsari</t>
  </si>
  <si>
    <t>Jl. Pesantren 178 Mangunsari Tekung</t>
  </si>
  <si>
    <t>Gus Muhammad Rosyid Ridho</t>
  </si>
  <si>
    <t>Faiz Jawami' Amzad</t>
  </si>
  <si>
    <t>085233743155</t>
  </si>
  <si>
    <t>nurulhudanet2018@gmail.com</t>
  </si>
  <si>
    <t>PP ALMUBAROK ASH-SHIDDIQI</t>
  </si>
  <si>
    <t>Jl.bawean igir-igir balung-jember</t>
  </si>
  <si>
    <t>KH.Abdul Hamid Farouq</t>
  </si>
  <si>
    <t>Muhammad Guntur Surahman</t>
  </si>
  <si>
    <t>081259673224</t>
  </si>
  <si>
    <t>almubarokasshiddqi@gmail.com</t>
  </si>
  <si>
    <t xml:space="preserve">ASSUNNIYYAH </t>
  </si>
  <si>
    <t>dusun kapitan, desa menampu, kec. gumukmas, kab. jember</t>
  </si>
  <si>
    <t>kh. Muhammad ridwan mujahid</t>
  </si>
  <si>
    <t xml:space="preserve">Iqbal Khoirul Muzaky </t>
  </si>
  <si>
    <t>085732940832</t>
  </si>
  <si>
    <t xml:space="preserve">Pondok Pesantren Walisongo </t>
  </si>
  <si>
    <t>Wonokerto-tekung-Lumajang</t>
  </si>
  <si>
    <t>KH. Abdul Qadir Amiri</t>
  </si>
  <si>
    <t xml:space="preserve">Fahrizal </t>
  </si>
  <si>
    <t>087849499507</t>
  </si>
  <si>
    <t>Walisongomultimedia@gmail.com</t>
  </si>
  <si>
    <t xml:space="preserve">An-nafi'ah </t>
  </si>
  <si>
    <t xml:space="preserve">Jln Ahmad Yani kunir lor kunir lumajang </t>
  </si>
  <si>
    <t xml:space="preserve">Kyai Abdul Hamid </t>
  </si>
  <si>
    <t>Ahmad fauzan</t>
  </si>
  <si>
    <t>087834426659</t>
  </si>
  <si>
    <t>Pondokpesantren an-nafi'ah.com</t>
  </si>
  <si>
    <t>PUSTAKA BSA</t>
  </si>
  <si>
    <t>Jl. Sumatera Wetan Kali Balung Lor, Balung, Kota Jember, Jawa Timur 62181</t>
  </si>
  <si>
    <t>HABIB MUHAMMAD AMIN BSA</t>
  </si>
  <si>
    <t>KADAFI</t>
  </si>
  <si>
    <t>085102686706</t>
  </si>
  <si>
    <t>Al-Hafidziyah</t>
  </si>
  <si>
    <t>Jl. Empat Lima Dsn. Krajan Kidul, Yosorati, Sumberbaru</t>
  </si>
  <si>
    <t>Minanur Rohman</t>
  </si>
  <si>
    <t>Ahmad Zaki Mubarok</t>
  </si>
  <si>
    <t>082310824570</t>
  </si>
  <si>
    <t>muridurrohman@gmail.com</t>
  </si>
  <si>
    <t>Pondok Pesantren Baitul Hikmah</t>
  </si>
  <si>
    <t>Tempurejo Jember</t>
  </si>
  <si>
    <t>Kh.Baihaqi Busri</t>
  </si>
  <si>
    <t>Tirta</t>
  </si>
  <si>
    <t>Fathan Hudaya Dielista</t>
  </si>
  <si>
    <t>085161119104</t>
  </si>
  <si>
    <t>Al Muarif Al Mubarok</t>
  </si>
  <si>
    <t>Jln. Tegal Batu, Krajan, Patrang, Kec. Patrang, Kabupaten Jember, Jawa Timur 68111</t>
  </si>
  <si>
    <t>KH. Muhammad Hasan Basri</t>
  </si>
  <si>
    <t>Achmad Naufal Chamdani</t>
  </si>
  <si>
    <t>almuarifalmubarok46@gmail.com</t>
  </si>
  <si>
    <t>LATIFIYAH</t>
  </si>
  <si>
    <t>Jl. KH Abdul Latief 40 Krajan 2 Glagahwero Kalisat Jember</t>
  </si>
  <si>
    <t>KH. Imron Mursidi</t>
  </si>
  <si>
    <t>Zainul Hasan</t>
  </si>
  <si>
    <t>Pontrenlatifiyah@gmail.com</t>
  </si>
  <si>
    <t>RIYADLUL QORI'IN</t>
  </si>
  <si>
    <t>Jl. Otto Iskandar Dinata RT3/RW1 Klanceng, Ajung, Jember</t>
  </si>
  <si>
    <t>KH. Drs. Moh. Fachrur Rozi, M.H.I</t>
  </si>
  <si>
    <t>Hasan Fachry</t>
  </si>
  <si>
    <t>riyadlulqoriin@gmail.com</t>
  </si>
  <si>
    <t>PONDOK PESANTREN NURUL QARNAIN</t>
  </si>
  <si>
    <t>Jl. Imam Sukarto No. 60 Baletbaru Sukowono Jember Kode Pos: 68194</t>
  </si>
  <si>
    <t>KH. YAZID KARIMULLAH</t>
  </si>
  <si>
    <t>Ravico</t>
  </si>
  <si>
    <t>081335461281</t>
  </si>
  <si>
    <t>ponpes.nurulqarnain@gmail.com</t>
  </si>
  <si>
    <t>Pondok pesantren islamic center nurul islam tanggul</t>
  </si>
  <si>
    <t>Suko barat, Kramat sukoharjo, tanggul, jember</t>
  </si>
  <si>
    <t>KH. M. Nasiruddin</t>
  </si>
  <si>
    <t>Syahrullah dzulfikar</t>
  </si>
  <si>
    <t>+62 822-2975-8939</t>
  </si>
  <si>
    <t>ppicnuristanggul@gmail.com</t>
  </si>
  <si>
    <t>Al kholafiyah</t>
  </si>
  <si>
    <t>Tekung-Lumajang</t>
  </si>
  <si>
    <t>Ky. Zamroji Romli</t>
  </si>
  <si>
    <t>Dedik irawan</t>
  </si>
  <si>
    <t>Indra</t>
  </si>
  <si>
    <t>082146994571</t>
  </si>
  <si>
    <t>087888442308</t>
  </si>
  <si>
    <t>Ponpeskholafiyah@gmail.com</t>
  </si>
  <si>
    <t>Ponpes Almuta'allimin</t>
  </si>
  <si>
    <t>Jln Mangun Sarkoro Sumberan Karanganyar Ambulu</t>
  </si>
  <si>
    <t>Kyai Masduki</t>
  </si>
  <si>
    <t>Mochammad Nizar Asrofi</t>
  </si>
  <si>
    <t>ponpesalmutaallimin@gmail.com</t>
  </si>
  <si>
    <t>Nabil Usman</t>
  </si>
  <si>
    <t>Jl. Raya Padomasan No. 1 A Jombang Jember</t>
  </si>
  <si>
    <t>KH. Nur Hasan Hanafi</t>
  </si>
  <si>
    <t>M. Wahid Fajarudin</t>
  </si>
  <si>
    <t>ppnurulanwarpds@gmail.com</t>
  </si>
  <si>
    <t>PP Ahlul Irfan Al-kholily</t>
  </si>
  <si>
    <t>KH Abdul Hamid Ahmad</t>
  </si>
  <si>
    <t>Nuril Azizi</t>
  </si>
  <si>
    <t>PP. Nurul Istiqomah</t>
  </si>
  <si>
    <t>Dsn. Jatiarum rt. 003 rw. 001 Desa Jatirejo, Kec. Kunir, Kab. Lumajang.</t>
  </si>
  <si>
    <t>H. Ridwan Ali Maki</t>
  </si>
  <si>
    <t>Nasiha</t>
  </si>
  <si>
    <t>Lailatul Mukaromah</t>
  </si>
  <si>
    <t>085257754456</t>
  </si>
  <si>
    <t>nistiqomahis79@gmail.com</t>
  </si>
  <si>
    <t>Pondok Pesantren Miftahul Arifin Sudimoro</t>
  </si>
  <si>
    <t>Jl. Masjid Jami' Sudimoro, RT/RW 005/005, Desa Kalibendo, Kecamatan Pasirian, Kabupaten Lumajang</t>
  </si>
  <si>
    <t>Ky. Mohamad Muslih, M.Pd</t>
  </si>
  <si>
    <t>Mochamad Khairil Anam</t>
  </si>
  <si>
    <t>yysmiftahularifin@gmail.com</t>
  </si>
  <si>
    <t>An Najaa Islamic Boarding School</t>
  </si>
  <si>
    <t>Jl KH Hambali Dusun Banjarsari desa Gunungsari kec Umbulsari</t>
  </si>
  <si>
    <t>Ach Nur Fuad Al Fajri</t>
  </si>
  <si>
    <t>Imro atus Solehah</t>
  </si>
  <si>
    <t>+62 813-3296-4219</t>
  </si>
  <si>
    <t>annajaaofficial@gmail.com</t>
  </si>
  <si>
    <t>PPTQ AL-ITQON 2 JEMBER</t>
  </si>
  <si>
    <t>Dusun Gumawang, Curahmalang, Rambipuji</t>
  </si>
  <si>
    <t>AHMAD ZAINI DAHLAN</t>
  </si>
  <si>
    <t>NAILIL MUYASSAROH</t>
  </si>
  <si>
    <t>pptqalitqon2jember@gmail.com</t>
  </si>
  <si>
    <t>PP.AL-ISHLAH JENGGAWAH</t>
  </si>
  <si>
    <t>Jenggawah</t>
  </si>
  <si>
    <t>KYAI. MU'IN SIROJ</t>
  </si>
  <si>
    <t>Muhammad nur faizal romadhoni</t>
  </si>
  <si>
    <t>Pondok pesantren putri annuriyyah</t>
  </si>
  <si>
    <t>Jl dharmawangsa no 142 kaliwining rambipuji</t>
  </si>
  <si>
    <t>Kh moh nuru sholeh</t>
  </si>
  <si>
    <t>Annuriyyah</t>
  </si>
  <si>
    <t>Annuriyyah official</t>
  </si>
  <si>
    <t>Pondok Pesantren Raudlatul Ulum</t>
  </si>
  <si>
    <t>Ponpes Raudlatul ulum desa sumberwringin</t>
  </si>
  <si>
    <t>KH. Kholid Muhammad</t>
  </si>
  <si>
    <t>yayasanmahadraudlatululum.com</t>
  </si>
  <si>
    <t>Pondok Pesantren Bustanul Ulum Krai</t>
  </si>
  <si>
    <t>Jln.doktren no 26 Krai-yosowilangun-Lumajang</t>
  </si>
  <si>
    <t>KH. Dimas Abdul Adzim Affan</t>
  </si>
  <si>
    <t>Bintang surya</t>
  </si>
  <si>
    <t>ppbustanul26krai@gmail.com</t>
  </si>
  <si>
    <t>Mahfilud Duror 2</t>
  </si>
  <si>
    <t>Pondok pesantren mahfilud Duror 2</t>
  </si>
  <si>
    <t>Kh ali wafa Abdullah</t>
  </si>
  <si>
    <t>Muhammad mukhlis</t>
  </si>
  <si>
    <t>Mahfiludduror02@gmail.com</t>
  </si>
  <si>
    <t>Pondok Pesantren Miftahul Ulum Sidomukti Mayang Jember</t>
  </si>
  <si>
    <t>Jl. Pahlawan Mayang Dusun Ledok RT/RW. 002/004 Desa Sidomukti Kecamatan Mayang</t>
  </si>
  <si>
    <t>Drs. KH. Abdul Warist Thaha</t>
  </si>
  <si>
    <t>Syukron Ma'mun</t>
  </si>
  <si>
    <t>miftahululumofficial47@gmail.com</t>
  </si>
  <si>
    <t>Pondok Pesantren Nurul Chotib Al qodiri IV</t>
  </si>
  <si>
    <t>jln. pondok jeruk wringinagung RT001/021 wringinagung jombang jember jawatimur</t>
  </si>
  <si>
    <t>Gus Muhammad Fawait, SE., M.Sc</t>
  </si>
  <si>
    <t>Try amanda helmi</t>
  </si>
  <si>
    <t>nurulchotibmerdeka@gmail.com</t>
  </si>
  <si>
    <t>Assyahidiyah</t>
  </si>
  <si>
    <t>Jl KH Shiddiq nomor 21, Talangsari</t>
  </si>
  <si>
    <t>KH. Syahiduddin</t>
  </si>
  <si>
    <t>Irham Maulana</t>
  </si>
  <si>
    <t>assyahidyah@gmail.com</t>
  </si>
  <si>
    <t>Jatiwangi, Jatirejo, Kec. Kunir, Kabupaten Lumajang, Jawa Timur 67383</t>
  </si>
  <si>
    <t>Gus Wildan Abdul Hamid</t>
  </si>
  <si>
    <t>Rio</t>
  </si>
  <si>
    <t>Pp nuris</t>
  </si>
  <si>
    <t>Antirogo jember</t>
  </si>
  <si>
    <t>Kyai Muhyiddin Abdusshomad</t>
  </si>
  <si>
    <t>Aku</t>
  </si>
  <si>
    <t>DARUN NAJAH</t>
  </si>
  <si>
    <t>jl.KH.Musthofa no.5 desa Petahunan Kecamatan Sumbersuko Kabupaten Lumajang</t>
  </si>
  <si>
    <t>KH KHOZIN BARIZI</t>
  </si>
  <si>
    <t>Rizki</t>
  </si>
  <si>
    <t>Revanita Nur Hasanah</t>
  </si>
  <si>
    <t>087726470580</t>
  </si>
  <si>
    <t>Petahunan.sumbersuko.lumajang</t>
  </si>
  <si>
    <t>PP PUTRA-PUTRI AL ISHLAH</t>
  </si>
  <si>
    <t>Pulosari-Lumajang</t>
  </si>
  <si>
    <t>Gus Haikal Asshomadhani Mahrus</t>
  </si>
  <si>
    <t>Gus Mu'tashim Billah Al Hamid</t>
  </si>
  <si>
    <t>alishlahpulosari@gmail.com</t>
  </si>
  <si>
    <t>Ponpes Raudlatul Ulum Sumber Wringin Sukowono</t>
  </si>
  <si>
    <t>Desa Sumber Wringin Sukowono Jember</t>
  </si>
  <si>
    <t>Moch Maltuf</t>
  </si>
  <si>
    <t>raudlatululum@gmail.com</t>
  </si>
  <si>
    <t>Almawarits Annabawiyyah</t>
  </si>
  <si>
    <t>Kebunan tanggul wetan, kec. Tanggul kab. Jember</t>
  </si>
  <si>
    <t>Habib Nizar Al-Aydrus</t>
  </si>
  <si>
    <t>Ahmad Nuri Saputra</t>
  </si>
  <si>
    <t>082354940026</t>
  </si>
  <si>
    <t>ahmarhabib4@gmail.com</t>
  </si>
  <si>
    <t>Pondok Pesantren Nurul Ali</t>
  </si>
  <si>
    <t>Jl. Beringin No.12, Sumber Bulus I, Sumber Bulus, Kec. Ledokombo, Kabupaten Jember, Jawa Timur 68196</t>
  </si>
  <si>
    <t>K. Khuzaimi Ali, S.Pd.</t>
  </si>
  <si>
    <t>Muhammad Hilman Anshari</t>
  </si>
  <si>
    <t>+62 852-5713-7594</t>
  </si>
  <si>
    <t>nurulalipondokpesantren@gmail.com</t>
  </si>
  <si>
    <t>PP. NURUL HUDA</t>
  </si>
  <si>
    <t>Dsn songon, Pondokjoyo, Semboro, jember</t>
  </si>
  <si>
    <t>KH. Abdur Ro'uf</t>
  </si>
  <si>
    <t>Muhammad Alfin</t>
  </si>
  <si>
    <t>+62 819-1767-3124</t>
  </si>
  <si>
    <t>huda37824@gmail.com</t>
  </si>
  <si>
    <t>PP DARUL FALAH AROUDLOH</t>
  </si>
  <si>
    <t>Karajan kulon paleran umbulsari</t>
  </si>
  <si>
    <t>Kh iksan salim</t>
  </si>
  <si>
    <t>Akhmad najieh</t>
  </si>
  <si>
    <t>082337916872</t>
  </si>
  <si>
    <t>darroudloh@gmail.com</t>
  </si>
  <si>
    <t xml:space="preserve">PP An Nur Azzahra </t>
  </si>
  <si>
    <t>Dusun Kebonsari Kecamatan Tempeh Kabupaten Lumajang</t>
  </si>
  <si>
    <t xml:space="preserve">K.H Imron Fauzi </t>
  </si>
  <si>
    <t xml:space="preserve">Zidan Alyandi </t>
  </si>
  <si>
    <t>082233463072</t>
  </si>
  <si>
    <t>annurazzahra26@gmail.com</t>
  </si>
  <si>
    <t>MINHAJUTTHULLAB TANGGUL JEMBER</t>
  </si>
  <si>
    <t>Jalan Kyai Sumur Kembar Dusun Krajan RT 002 RW 009 Desa Tanggul Kulon Kecamatan Tanggul Kabupaten Jember</t>
  </si>
  <si>
    <t>KH. Fahrurroji Syafi'i, S.Pd.I, MA.P.</t>
  </si>
  <si>
    <t>Lutfiana</t>
  </si>
  <si>
    <t>082232197374</t>
  </si>
  <si>
    <t>minhajutthullab985@gmail.com</t>
  </si>
  <si>
    <t>Ponpes. Darul Arifin</t>
  </si>
  <si>
    <t>Dusun curahkalong tengah kec. Bangsalsari kab. jember</t>
  </si>
  <si>
    <t>Kh. Abdullah Syamsul Arifin</t>
  </si>
  <si>
    <t>Muhammad Fadholi</t>
  </si>
  <si>
    <t>08883776823</t>
  </si>
  <si>
    <t>ppdarularifin1@gmail.com</t>
  </si>
  <si>
    <t>Ponpes Darun Najah Al 'Irfany</t>
  </si>
  <si>
    <t>Jl. Dr. Soebandi Gg. Kurma No. 01 Lingk. Patrang Tengah Kecamatan Patrang</t>
  </si>
  <si>
    <t xml:space="preserve">Kyai. Qudsy Arafat M. </t>
  </si>
  <si>
    <t>Mohammad Hisam Rosidi</t>
  </si>
  <si>
    <t>083854092443</t>
  </si>
  <si>
    <t>ppdanai01@gmail.com</t>
  </si>
  <si>
    <t>Annadliriyyah</t>
  </si>
  <si>
    <t>Bades pasirian lumajang jawa Timur</t>
  </si>
  <si>
    <t>Gus robith abdillah</t>
  </si>
  <si>
    <t>Farhan</t>
  </si>
  <si>
    <t>+62 857-0478-9131</t>
  </si>
  <si>
    <t>PP AL FAIZIN AL ISLAMY</t>
  </si>
  <si>
    <t>Desa supiturang, Kecamatan Pronojiwo, Kab Lumajang</t>
  </si>
  <si>
    <t>Kh. Fauzul Adhim</t>
  </si>
  <si>
    <t xml:space="preserve"> Eko purwanto</t>
  </si>
  <si>
    <t>085704005546</t>
  </si>
  <si>
    <t xml:space="preserve">Ponpes. Annuriyyah </t>
  </si>
  <si>
    <t xml:space="preserve">Ponpes Annuriyyah kaliwining rambipuji jember </t>
  </si>
  <si>
    <t xml:space="preserve">Kh. Nuru sholeh </t>
  </si>
  <si>
    <t>Anggun tahta robbany</t>
  </si>
  <si>
    <t>085101419222</t>
  </si>
  <si>
    <t>annuriyyahmedia24@gmail.com</t>
  </si>
  <si>
    <t xml:space="preserve">PonPes Al Inaroh </t>
  </si>
  <si>
    <t>Jl Raya Ambulu No 1 Krajan Selatan Kertonegoro Jenggawah</t>
  </si>
  <si>
    <t>KH M. Syarif Thoyyib Mubarok</t>
  </si>
  <si>
    <t xml:space="preserve">Rofiqi </t>
  </si>
  <si>
    <t>085854353022</t>
  </si>
  <si>
    <t>mahadalinaroh@gmail.com</t>
  </si>
  <si>
    <t xml:space="preserve">PP BUSTANUL ULUM MLOKOREJO </t>
  </si>
  <si>
    <t>PP Bustanul Ulum,Jalan kh Abdullah Yaqin,Mlokorejo,Puger ,jember</t>
  </si>
  <si>
    <t>KH SYAMSUL ARIFIN ABDULLAH</t>
  </si>
  <si>
    <t xml:space="preserve">AHMAD FIKRI </t>
  </si>
  <si>
    <t>081818825440</t>
  </si>
  <si>
    <t>Pondok Pesantren Bustanul Ulum (PPBU) Mlokorejo</t>
  </si>
  <si>
    <t>LPI. PP. Bustanul Ulum 03</t>
  </si>
  <si>
    <t>Jl. Moch. Seruji No. 16, Kasiyan Timur, Puger, Jember</t>
  </si>
  <si>
    <t>KH. Abdul Hamid Abdullah, Lc</t>
  </si>
  <si>
    <t>Ach. Nabilul Hikam</t>
  </si>
  <si>
    <t>Abdullah</t>
  </si>
  <si>
    <t>085257077074</t>
  </si>
  <si>
    <t>082141420636</t>
  </si>
  <si>
    <t>Pondok Pesantren Asy-syafiiyah Sukorejo Bangsalsari Jember</t>
  </si>
  <si>
    <t>Jl. Balung No. 114 Sukorejo Bangsalsari Jember</t>
  </si>
  <si>
    <t>KH. Syakir Shanhaji BA</t>
  </si>
  <si>
    <t>Badrus Shodiq</t>
  </si>
  <si>
    <t>081335478059</t>
  </si>
  <si>
    <t>Pondok Pesantren Nurul Istiqomah</t>
  </si>
  <si>
    <t>Wonorejo Kedungjajang Lumajang</t>
  </si>
  <si>
    <t>Ky. M. Yahya Asy-Syarifie</t>
  </si>
  <si>
    <t>Rifqi Fawaid</t>
  </si>
  <si>
    <t>Ahmad masrurol imamur robbani</t>
  </si>
  <si>
    <t>085231656230</t>
  </si>
  <si>
    <t>0882009448536</t>
  </si>
  <si>
    <t>santrinurist@gmail.com</t>
  </si>
  <si>
    <t>Pondok Pesantren An-Nur El-Aly</t>
  </si>
  <si>
    <t>Jl. Pesantren No. 03/ Belakang Masjid Besar Daarussalaam Tempeh, Lumajang, 67371</t>
  </si>
  <si>
    <t xml:space="preserve">Kyai Lutfi Hakim Aly </t>
  </si>
  <si>
    <t xml:space="preserve">Muhammad Jauharul Fuadi </t>
  </si>
  <si>
    <t>087776721470</t>
  </si>
  <si>
    <t>annurelaly@gmail.com</t>
  </si>
  <si>
    <t>Bustanul Ulum Assurur</t>
  </si>
  <si>
    <t>Jln.Cendrawasih No.65 Cumedak Sumberjambe Jember</t>
  </si>
  <si>
    <t>K. ABDUL BASYIR ABDULLAH</t>
  </si>
  <si>
    <t>Adi Mahsusi</t>
  </si>
  <si>
    <t>083847048043</t>
  </si>
  <si>
    <t xml:space="preserve">PP RAUDLATUL ULUM </t>
  </si>
  <si>
    <t>Jln KH Husna RT1 rw1 sumbernya Rowo kangkung lumajang</t>
  </si>
  <si>
    <t>Ky. Imam mahalli</t>
  </si>
  <si>
    <t>M. Mahrus Lutfi afanfi</t>
  </si>
  <si>
    <t>081946186133</t>
  </si>
  <si>
    <t>rumediamultimedia001@gmail.com</t>
  </si>
  <si>
    <t>PP. Yahtadi Islamic Education Center</t>
  </si>
  <si>
    <t>Jl. Sukarno - Hatta No.201, Area Sawah/Kebun, Klakah, Kec. Klakah, Kabupaten Lumajang, Jawa Timur 67356</t>
  </si>
  <si>
    <t>KH. M. Muslich</t>
  </si>
  <si>
    <t>M. Muchlis Maulana</t>
  </si>
  <si>
    <t>081235282451</t>
  </si>
  <si>
    <t xml:space="preserve">AL- Khoiriyah </t>
  </si>
  <si>
    <t xml:space="preserve">Tempuran Crh kalong Bangsalsari </t>
  </si>
  <si>
    <t>kyai hj.khotib maksum</t>
  </si>
  <si>
    <t>fahmi</t>
  </si>
  <si>
    <t>082142839812</t>
  </si>
  <si>
    <t>ponpesalkhoiriyah24@gmail.com</t>
  </si>
  <si>
    <t>PONDOK PESANTREN NGASHOR</t>
  </si>
  <si>
    <t>Jln. Mayangan No 03 Jatiagung Gumukmas Jember</t>
  </si>
  <si>
    <t>KH. NUR MUSTHOFA HASYIM</t>
  </si>
  <si>
    <t>MUHAMMAD REZA AL FARIZY</t>
  </si>
  <si>
    <t>087765198047</t>
  </si>
  <si>
    <t>ngashorpp@gmail.com</t>
  </si>
  <si>
    <t>yayasan Mambaul Aziz</t>
  </si>
  <si>
    <t>dusun ajung tengah desa ajung kec kalisat</t>
  </si>
  <si>
    <t>kh.farhan ubaidillah</t>
  </si>
  <si>
    <t>hafi</t>
  </si>
  <si>
    <t>081333762495</t>
  </si>
  <si>
    <t>fahir081333@gmail.com</t>
  </si>
  <si>
    <t>PONDOK PESANTREN SABILAL MUHTADIN</t>
  </si>
  <si>
    <t>Jl. Penanggungan No. 99 Karangpring Sukorambi Jember</t>
  </si>
  <si>
    <t>Kh. Husni Mubarok</t>
  </si>
  <si>
    <t>Iksasm Media</t>
  </si>
  <si>
    <t>Iksasm.Media</t>
  </si>
  <si>
    <t>Iksasm_Media</t>
  </si>
  <si>
    <t>sabilalmuhtadinjaya@gmail.com</t>
  </si>
  <si>
    <t>Ahmad Sayhu</t>
  </si>
  <si>
    <t>Videografer</t>
  </si>
  <si>
    <t>085791462641</t>
  </si>
  <si>
    <t>PonPes Nahdlatul Arifin Kedungkaji Ambulu</t>
  </si>
  <si>
    <t>Jalan Payangan, Kedungkaji, Sumberejo, Ambulu, Jember</t>
  </si>
  <si>
    <t>Agus Muh. Sulthon Baha’udin</t>
  </si>
  <si>
    <t>PPNA OFFICIAL</t>
  </si>
  <si>
    <t>Pondok Pesantren Nahdlatul Arifin - PPNA jember</t>
  </si>
  <si>
    <t>ppna_official</t>
  </si>
  <si>
    <t>nahdlatularifin.ponpes.id</t>
  </si>
  <si>
    <t>6 Orang</t>
  </si>
  <si>
    <t>Nofal Musyafa Yulianto</t>
  </si>
  <si>
    <t>081358665435</t>
  </si>
  <si>
    <t>083161807150</t>
  </si>
  <si>
    <t>ppnahdlatularifinkedungkaji@gmail.com</t>
  </si>
  <si>
    <t xml:space="preserve">PONDOK PESANTREN NURUL YAQIN </t>
  </si>
  <si>
    <t>Dusun Jabon Desa Sawaran Lor Klakah Lumajang</t>
  </si>
  <si>
    <t xml:space="preserve">Kyai Zainuddin </t>
  </si>
  <si>
    <t>Ny Multimedia</t>
  </si>
  <si>
    <t>Pondok Pesantren Nurul Yaqin</t>
  </si>
  <si>
    <t>PP Nurul Yaqin Sawaran Lor</t>
  </si>
  <si>
    <t>KHOTIB</t>
  </si>
  <si>
    <t>Fotografer Dan Editor</t>
  </si>
  <si>
    <t>081233613874</t>
  </si>
  <si>
    <t>multimedianurulyaqin@gmail.com</t>
  </si>
  <si>
    <t xml:space="preserve">Arrisalah </t>
  </si>
  <si>
    <t xml:space="preserve">Curahkates Klompangan Ajung Jember </t>
  </si>
  <si>
    <t xml:space="preserve">KH Mas'ud Zidni </t>
  </si>
  <si>
    <t xml:space="preserve">Arrisalah Curahkates </t>
  </si>
  <si>
    <t>pp.arrisalahcurahkates</t>
  </si>
  <si>
    <t>Arrisalah_crhkts</t>
  </si>
  <si>
    <t>Afton</t>
  </si>
  <si>
    <t>082143925909</t>
  </si>
  <si>
    <t>arrisalah232@gmail.com</t>
  </si>
  <si>
    <t>Dusun Gudang Desa Tamansari Kecamatan Mumbulsari Kabupaten Jember</t>
  </si>
  <si>
    <t>Pondok pesantren Darul Hikmah Tamansari</t>
  </si>
  <si>
    <t>Muhammad Zainoval Andi</t>
  </si>
  <si>
    <t>Ketua Media</t>
  </si>
  <si>
    <t>085230902742</t>
  </si>
  <si>
    <t>darulhikmah93@gmail.com</t>
  </si>
  <si>
    <t>PP Darul Mubtadi-ien Assyuja’iyyah</t>
  </si>
  <si>
    <t>JL PB soedirman RT/RW 01/01 Desa Serut kec Panti kab Jember</t>
  </si>
  <si>
    <t>KH M Bais Cholili</t>
  </si>
  <si>
    <t>Pp.dma</t>
  </si>
  <si>
    <t>Arif Rahman Hakim</t>
  </si>
  <si>
    <t>08976324389</t>
  </si>
  <si>
    <t>albaiesy2@gmail.com</t>
  </si>
  <si>
    <t>Pondok pesantren Tahfidzul Qur'an Ebqory Jember</t>
  </si>
  <si>
    <t>Kedung piring, Tegal Besar, Jember</t>
  </si>
  <si>
    <t xml:space="preserve">Amin Fadillah </t>
  </si>
  <si>
    <t xml:space="preserve">
Pptq Ebqory Jember </t>
  </si>
  <si>
    <t xml:space="preserve">Pptq Ebqory Jember </t>
  </si>
  <si>
    <t>pptq_ebqoryjember</t>
  </si>
  <si>
    <t>Pptqebqoryjember.com</t>
  </si>
  <si>
    <t xml:space="preserve">Izza Sayyidatush Sholihah </t>
  </si>
  <si>
    <t>082334516119</t>
  </si>
  <si>
    <t>pptqebqoryjember@gmail.com</t>
  </si>
  <si>
    <t xml:space="preserve">Mamba'ul Ulum </t>
  </si>
  <si>
    <t xml:space="preserve">MAMBA'UL ULUM ALFADHILI </t>
  </si>
  <si>
    <t>KH.syaifurrohman</t>
  </si>
  <si>
    <t>Yayasan pp.mamba'ul ulum Al fadhili gugut</t>
  </si>
  <si>
    <t xml:space="preserve">Ponpes Mamba'ul Ulum Alfadhili </t>
  </si>
  <si>
    <t xml:space="preserve">Pp Mamba'ulUlum fadhili </t>
  </si>
  <si>
    <t xml:space="preserve">Quratul A'yun </t>
  </si>
  <si>
    <t>Editor</t>
  </si>
  <si>
    <t>081225956282</t>
  </si>
  <si>
    <t>idrissss412@gmail.com</t>
  </si>
  <si>
    <t>Pps Kyai Syarifuddin</t>
  </si>
  <si>
    <t>Wonorejo-Kedungjajang-Lumajang</t>
  </si>
  <si>
    <t xml:space="preserve">Pondok Pesantren Kyai Syarifuddin </t>
  </si>
  <si>
    <t xml:space="preserve">pps_kyaisyarifuddin </t>
  </si>
  <si>
    <t>sysrifuddin.net</t>
  </si>
  <si>
    <t>Media Syarif</t>
  </si>
  <si>
    <t>M. Royhanul Ulum Aziz S.Pd</t>
  </si>
  <si>
    <t>Direktur</t>
  </si>
  <si>
    <t>085730144798</t>
  </si>
  <si>
    <t>ppsksy1912@gmail.com</t>
  </si>
  <si>
    <t>Miftahul ulum</t>
  </si>
  <si>
    <t>Ranupakis Klakah lumajang</t>
  </si>
  <si>
    <t>Kh.mukhlis syarif</t>
  </si>
  <si>
    <t>Santri ranupakis</t>
  </si>
  <si>
    <t xml:space="preserve">Santri ranupakis </t>
  </si>
  <si>
    <t xml:space="preserve">Muhammad Khoiron </t>
  </si>
  <si>
    <t>082333062305</t>
  </si>
  <si>
    <t xml:space="preserve">Manhadlul Ubbad </t>
  </si>
  <si>
    <t xml:space="preserve">Jl.Kalisat No.26 Sukorejo Sukowono Jember </t>
  </si>
  <si>
    <t>KH. Muhammad Nasir</t>
  </si>
  <si>
    <t>Mediasantrehklolek</t>
  </si>
  <si>
    <t xml:space="preserve">Mediasantreh_klolek </t>
  </si>
  <si>
    <t>Pp Manhadlul Ubbad</t>
  </si>
  <si>
    <t>5 Orang</t>
  </si>
  <si>
    <t>Imdadur Rohman</t>
  </si>
  <si>
    <t xml:space="preserve">Koordinator </t>
  </si>
  <si>
    <t>082230378834</t>
  </si>
  <si>
    <t>imdadur941@gmail.com</t>
  </si>
  <si>
    <t>11</t>
  </si>
  <si>
    <t>Pondok Pesantren Al Huda</t>
  </si>
  <si>
    <t>Jln Letjend Suprapto IC No. 13 Bonggah-Ploso-Nganjuk</t>
  </si>
  <si>
    <t>Kabupaten Nganjuk</t>
  </si>
  <si>
    <t>KH. Ahmad Badrus Sholeh</t>
  </si>
  <si>
    <t>M Zainadin Zidan</t>
  </si>
  <si>
    <t>0859-3283-3247</t>
  </si>
  <si>
    <t>pondokbonggah22@gmail.com</t>
  </si>
  <si>
    <t>Pondok Pesantren Rahmatan Lil Alamin</t>
  </si>
  <si>
    <t>Gebangsiwil bukur patianrowo nganjuk</t>
  </si>
  <si>
    <t>Gus Ridwan Baidhowi</t>
  </si>
  <si>
    <t>Raka Musthofa</t>
  </si>
  <si>
    <t>085791709121</t>
  </si>
  <si>
    <t>Lihat lokasi real-time saya di Maps: https://maps.app.goo.gl/UMQWyu4tYigG4Da58</t>
  </si>
  <si>
    <t>ypissunanampel@gmail.com</t>
  </si>
  <si>
    <t>Pondok Pesantren Al Halim Miftahul 'Ula</t>
  </si>
  <si>
    <t>Jl. KH. Abdul Fattah Ds. Nglawak Kec. Kertosono Kab. Nganjuk</t>
  </si>
  <si>
    <t>KH. Abduh Wahhab Fahri</t>
  </si>
  <si>
    <t>Ulfa Nurlaila Rizka</t>
  </si>
  <si>
    <t>Ipnu</t>
  </si>
  <si>
    <t>alhalimnglawak@gmail.com</t>
  </si>
  <si>
    <t>Yayasan Pondok Pesantren Miftahul 'Ula</t>
  </si>
  <si>
    <t>KH. Abdul Qodir Al Fattah</t>
  </si>
  <si>
    <t>Faiz Nasrullah</t>
  </si>
  <si>
    <t>M Fahrial Yudhiana</t>
  </si>
  <si>
    <t>62 857-3639-3550</t>
  </si>
  <si>
    <t>0812-4616-8144</t>
  </si>
  <si>
    <t>miftahulula17@gmail.com</t>
  </si>
  <si>
    <t>Yayasan Pondok Pesantren Al- Mardliyah Pondok Pesantren Mojosari Nganjuk (YPPA PP. Mojosari)</t>
  </si>
  <si>
    <t>Dsn. Mojosari Ds. Ngepeh Kec. Loceret Kab. Ngajuk</t>
  </si>
  <si>
    <t>IBU NYAI Hj. Maulidiyyatul Umayyah / Dr. Ir. H. Muhammad Musyaffak Fauzi SH. CN. Msi</t>
  </si>
  <si>
    <t>M. Jihan Najimur Rifqi</t>
  </si>
  <si>
    <t>wildan labib</t>
  </si>
  <si>
    <t>0822-3362-2023</t>
  </si>
  <si>
    <t>https://goo.gl/maps/CqK9ev5xoyjzLnjn7</t>
  </si>
  <si>
    <t>assyafiahmojosari@gmail.com</t>
  </si>
  <si>
    <t>PP. Tarbiyatul Qur'an Al-Faqihiyyah</t>
  </si>
  <si>
    <t>JL. Wilis XI No.13 RT.02 RW.02 Desa Sonopatik Kecamatan Berbek Kabupaten Nganjuk</t>
  </si>
  <si>
    <t>Gus Shoviyul Himami Mu'arif / Ibu Nyai. Miftahul Djannah</t>
  </si>
  <si>
    <t xml:space="preserve">Layyina Zulfa Mustafidah </t>
  </si>
  <si>
    <t>DEWI SRI</t>
  </si>
  <si>
    <t>082132463790</t>
  </si>
  <si>
    <t>085731544825</t>
  </si>
  <si>
    <t xml:space="preserve">Pondok Pesantren Baitul Qur'an </t>
  </si>
  <si>
    <t>Jl. Raya Sedudo RT04/RW02 Dk.Sempu Ds.Sawahan Kec.Sawahan Kab. Nganjuk Prov. Jawa Timur</t>
  </si>
  <si>
    <t>Umi Nyai Nihayatul Laili Yuhana, SQ.MPd.I.</t>
  </si>
  <si>
    <t xml:space="preserve">Armilla Fatimatuz Zahro </t>
  </si>
  <si>
    <t>085748928006</t>
  </si>
  <si>
    <t>Pondok Pesantren Al-Khoiriyah Jati</t>
  </si>
  <si>
    <t>Jl. Wachid Hasyim dsn. Jati 05/02ds. Katerban kec. Baron kab. Nganjuk Jawa Timur</t>
  </si>
  <si>
    <t>KH. Abdul Wachid Badrus Sholeh</t>
  </si>
  <si>
    <t>Aqil Mujtaba</t>
  </si>
  <si>
    <t>081334051999 - 082399852009</t>
  </si>
  <si>
    <t>pesantrenalkhoiriyah@gmail.com</t>
  </si>
  <si>
    <t xml:space="preserve">Pondok pesantren Tahfidzul Qur'an AT-TANWIR AL-ARFIYYAH </t>
  </si>
  <si>
    <t>Mojoduwur ngetos nganjuk</t>
  </si>
  <si>
    <t>M Misbachul munir</t>
  </si>
  <si>
    <t xml:space="preserve">Ahmad afifudin </t>
  </si>
  <si>
    <t>081515851536</t>
  </si>
  <si>
    <t>Pondok Pesantren Tahfidzul Qur'an Al-Firdaus Al-Falah Nganjuk</t>
  </si>
  <si>
    <t>Ponpes Al falah Sambirobyong no.3 RT 2/RW 3 Baron jekek (Mapps Paijo ojiap)</t>
  </si>
  <si>
    <t>K.H Yustafad Dimyathi S.H, M. Sy</t>
  </si>
  <si>
    <t>Sri jayani</t>
  </si>
  <si>
    <t xml:space="preserve">Diyah Asmaul </t>
  </si>
  <si>
    <t>pptqalfirdausalfalah@gmail.com</t>
  </si>
  <si>
    <t>Manba'ul Qur'an bendo</t>
  </si>
  <si>
    <t>Bendo mojokendil ngronggot nganjuk</t>
  </si>
  <si>
    <t>K Miftahuddin Yusuf Alhafidz</t>
  </si>
  <si>
    <t xml:space="preserve">Rofiqil Asrori </t>
  </si>
  <si>
    <t>085649881775</t>
  </si>
  <si>
    <t>mq.nganjuk.official@gmail.com</t>
  </si>
  <si>
    <t>Hidayatul Mubtadi'in</t>
  </si>
  <si>
    <t>Jabon drenges Kertosono</t>
  </si>
  <si>
    <t>KH. Abdul Ghofur</t>
  </si>
  <si>
    <t>Ahmad Afud Syaifudin</t>
  </si>
  <si>
    <t>085713592273</t>
  </si>
  <si>
    <t>pphmjabon3@gmail.com</t>
  </si>
  <si>
    <t>PONDOK PESANTREN MAMBA'UL HIKMAH</t>
  </si>
  <si>
    <t>KEDUNGRINGIN DRENGES KERTOSONO</t>
  </si>
  <si>
    <t>Drs. Kh. Moch. Rochani, M.Pd.I</t>
  </si>
  <si>
    <t>SABRINA MARTA PUTRI</t>
  </si>
  <si>
    <t>ponpesmambaulhikmah2dkh@gmail.com</t>
  </si>
  <si>
    <t>Pondok Modern Al Islam</t>
  </si>
  <si>
    <t>Dsn.kapas kec. Sukomoro kab. Nganjuk Jln raya Sukomoro-Pace, km1</t>
  </si>
  <si>
    <t>Gus Afif salim fuadi S.Pd</t>
  </si>
  <si>
    <t>Bagus Yahya Yuan Pradana</t>
  </si>
  <si>
    <t>sekretarispondok@gmail.com</t>
  </si>
  <si>
    <t>Pondok Pesantren Mojosari</t>
  </si>
  <si>
    <t>Dsn.Mojosari Ds.Ngepeh Kec.Loceret Kab.Nganjuk</t>
  </si>
  <si>
    <t>K.Nasih Basthomi</t>
  </si>
  <si>
    <t>Faqih Al Marzuqi</t>
  </si>
  <si>
    <t>Erik Sihabudin</t>
  </si>
  <si>
    <t>0881-3436-365</t>
  </si>
  <si>
    <t>085753235555</t>
  </si>
  <si>
    <t>pondokmojosari@gmail.com</t>
  </si>
  <si>
    <t>PP. GEDONGSARI</t>
  </si>
  <si>
    <t>Tegaron - Prambon - Nganjuk</t>
  </si>
  <si>
    <t>KH. Ali murtadlo &amp; KH. Ahmad Muntaha</t>
  </si>
  <si>
    <t>Ahmad Mukhibulloh</t>
  </si>
  <si>
    <t>mgedongsari@gmail.com</t>
  </si>
  <si>
    <t>Pondok Pesantren Miftahul 'Ula Ribath Al-fattah</t>
  </si>
  <si>
    <t>Ds. Nglawak Kertosono Nganjuk</t>
  </si>
  <si>
    <t>Ibu Nyai Hj. Binti Farihah</t>
  </si>
  <si>
    <t>Aris</t>
  </si>
  <si>
    <t>Pondokalfattah775@gmail.com</t>
  </si>
  <si>
    <t>Pondok Pesantren Annur Al-Ghozali Nganjuk</t>
  </si>
  <si>
    <t>Jl. Imam Ghozali ahmad, Dsn. Tegalrejo, Ds. Tanjungtani, Kec. Prambon, Kab. Nganjuk jawa timur</t>
  </si>
  <si>
    <t>K. Zainal Arifin Ghozali</t>
  </si>
  <si>
    <t>Aditya mundir</t>
  </si>
  <si>
    <t>+62 851-5844-1989</t>
  </si>
  <si>
    <t>Pon.Pes.annur.alghozali@gmail.com</t>
  </si>
  <si>
    <t>Ponpes Modern Darul Ihsan</t>
  </si>
  <si>
    <t>Jl. Imam Bonjol No. 54 Kel. Payaman Kec. Nganjuk</t>
  </si>
  <si>
    <t>KH. Moh. Imam Mashadi</t>
  </si>
  <si>
    <t>Abdul Shomad</t>
  </si>
  <si>
    <t>darulihsanpondokmodern@gmail.com</t>
  </si>
  <si>
    <t>PONDOK PESANTREN MIFTAHUL ULA</t>
  </si>
  <si>
    <t>Ds. Nglawak Kec. Kertosono</t>
  </si>
  <si>
    <t>NUR FAJAR ARIF</t>
  </si>
  <si>
    <t>Aris Afandi</t>
  </si>
  <si>
    <t>0821-4164-7706</t>
  </si>
  <si>
    <t>Pondok Pesantren Nurul Mubtadi-in</t>
  </si>
  <si>
    <t>Ds. Banaranwetan Kec. Bagor</t>
  </si>
  <si>
    <t>KH. Syahrul Munir Ichsan</t>
  </si>
  <si>
    <t>M Nur Baridhuwan</t>
  </si>
  <si>
    <t>ppnurulmubtadiin@gmail.com</t>
  </si>
  <si>
    <t>Nurul Hidayah</t>
  </si>
  <si>
    <t>Kedungringin,drenges,kertosono</t>
  </si>
  <si>
    <t>Kh Moh. Rochani Mpd.i</t>
  </si>
  <si>
    <t>Tsamrotul Murobathoh</t>
  </si>
  <si>
    <t>Jl Mayjen Sutoyo V, Ds. Templek, Kel. Jatirejo, Kec. Nganjuk</t>
  </si>
  <si>
    <t>Kyai M. Kholiq Sarwani</t>
  </si>
  <si>
    <t>Moch. Nur Ali Mujib</t>
  </si>
  <si>
    <t>bahrulhikamalmunawar11@gmail.com</t>
  </si>
  <si>
    <t xml:space="preserve">Fathul Mubtadi'in </t>
  </si>
  <si>
    <t xml:space="preserve">Jl. KM 1 Grompol Tanjungtani Prambon Nganjuk </t>
  </si>
  <si>
    <t xml:space="preserve">KH. Moh. Ali Zainal Abidin </t>
  </si>
  <si>
    <t>M. Alfin Wafa Al Ikhsan</t>
  </si>
  <si>
    <t>085749503833</t>
  </si>
  <si>
    <t>fathulmubtadiinponpes@gmail.com</t>
  </si>
  <si>
    <t xml:space="preserve">PonpesFathulMubtadi'in </t>
  </si>
  <si>
    <t>Media.fm.2024</t>
  </si>
  <si>
    <t>Dsn. Mojosari, Ds. Ngepeh, Kec. Loceret, Kab. Nganjuk</t>
  </si>
  <si>
    <t>Kyai Muhammad Nasih</t>
  </si>
  <si>
    <t>PP Mojosari Nganjuk</t>
  </si>
  <si>
    <t>ppmojosari</t>
  </si>
  <si>
    <t xml:space="preserve">P.P. Hidayatul Mubtadiin </t>
  </si>
  <si>
    <t xml:space="preserve">Jabon  Drenges Kertosono </t>
  </si>
  <si>
    <t>Bpk.K.H Abdul Ghofur</t>
  </si>
  <si>
    <t>Pondokjabon</t>
  </si>
  <si>
    <t>Pondok Jabon</t>
  </si>
  <si>
    <t>Zulfa Azizah</t>
  </si>
  <si>
    <t>editor foto/video</t>
  </si>
  <si>
    <t>085979709836</t>
  </si>
  <si>
    <t>PPHMJABON</t>
  </si>
  <si>
    <t>PON-PES RIYADLOTUL MUTTAQIEN</t>
  </si>
  <si>
    <t>Cemororejo-Warujayeng-Tanjunganom-Nganjuk</t>
  </si>
  <si>
    <t>Gus Moh. Sirojuddin Abror S.pd.I</t>
  </si>
  <si>
    <t>An-Nur Media Cemoro</t>
  </si>
  <si>
    <t>AnNurMediaCemoro.net</t>
  </si>
  <si>
    <t>Muhammad Hasyim Asrori</t>
  </si>
  <si>
    <t>085815371757</t>
  </si>
  <si>
    <t>085715371757</t>
  </si>
  <si>
    <t>pondokcemoro01@gmail.com</t>
  </si>
  <si>
    <t>pphmq bendo</t>
  </si>
  <si>
    <t>bendo nganjuk</t>
  </si>
  <si>
    <t>miftahuddun yusuf</t>
  </si>
  <si>
    <t>faris asfa</t>
  </si>
  <si>
    <t>direktur</t>
  </si>
  <si>
    <t>085745325433</t>
  </si>
  <si>
    <t>ahehs@mailnesia.com</t>
  </si>
  <si>
    <t>12</t>
  </si>
  <si>
    <t>Pondok Pesantren Al-Mubarok Lanbulan</t>
  </si>
  <si>
    <t>Dsn. Lanbulan Ds. Batorasang Kec. Tambelangan Kab. Sampang Prov. Jawa Timur</t>
  </si>
  <si>
    <t>Sampang</t>
  </si>
  <si>
    <t>KH. Ahmad Barizi MF</t>
  </si>
  <si>
    <t>Ach. Muhsin</t>
  </si>
  <si>
    <t>081999525949</t>
  </si>
  <si>
    <t>https://goo.gl/maps/NQiKDSJmbUNbia7Y8</t>
  </si>
  <si>
    <t>pp.almubaroklanbulan@gmail.com</t>
  </si>
  <si>
    <t>Pondok Pesantren Miftahul Ulum Kebun Baru</t>
  </si>
  <si>
    <t>Bapao Kacok Palengaan Pamekasan Madura</t>
  </si>
  <si>
    <t>Pamekasan</t>
  </si>
  <si>
    <t>KH. Misbahol Munir Asari, Lc.</t>
  </si>
  <si>
    <t>Luthfi Masyhuri</t>
  </si>
  <si>
    <t>Abd Mutolib</t>
  </si>
  <si>
    <t>082337631053 tele : 087704767372</t>
  </si>
  <si>
    <t>https://maps.app.goo.gl/TuYAMbBr1QKE7vNc7</t>
  </si>
  <si>
    <t>kebunbarumedia@gmail.com</t>
  </si>
  <si>
    <t>Pp. Nurul Ulum Tagrinih Timur</t>
  </si>
  <si>
    <t>Jl. KH. Fakhri Tagrinih Mano`an Kokop Bangkalan 69155 Phone, 085852777750</t>
  </si>
  <si>
    <t>Bangkalan</t>
  </si>
  <si>
    <t>KH. Ach Romli Fakhri</t>
  </si>
  <si>
    <t>Abd Rachim</t>
  </si>
  <si>
    <t>Abd Rachman</t>
  </si>
  <si>
    <t>https://maps.google.com/maps?q=-6.9846557%2C113.0684614&amp;z=17&amp;hl=en</t>
  </si>
  <si>
    <t>tagrinihtimur@gmail.com</t>
  </si>
  <si>
    <t>Pondok Pesantren Al Ihsan Jrangoan</t>
  </si>
  <si>
    <t>Desa Jrangoan Kecamatan Omben Kabupaten Sampan</t>
  </si>
  <si>
    <t>KH Mahrus Abdul Malik</t>
  </si>
  <si>
    <t>Faishol Shidiq</t>
  </si>
  <si>
    <t>Ubaidil Quddus</t>
  </si>
  <si>
    <t xml:space="preserve">+62 823-3345-3670
</t>
  </si>
  <si>
    <t>Pondok Pesantren Al-Ihsan Jrangoan Omben Sampang, Klampok, Jrangoan, Omben, Pulau Madura, Kabupaten Sampang, Jawa Timur 69291</t>
  </si>
  <si>
    <t>PP.alihsan2019@gmail.com</t>
  </si>
  <si>
    <t>Nurul Huda</t>
  </si>
  <si>
    <t>Palanggeren Kedungdung Sampang</t>
  </si>
  <si>
    <t>KH Muhammad Nurusshobah</t>
  </si>
  <si>
    <t>Ach Rizal</t>
  </si>
  <si>
    <t>ppnurulhudakedungdung@gmail.com</t>
  </si>
  <si>
    <t>Pondok Pesantren Annuqayah Latee</t>
  </si>
  <si>
    <t>Desa Guluk-Guluk Kecamatan Guluk-Guluk Kabupaten Sumenep</t>
  </si>
  <si>
    <t>Sumenep</t>
  </si>
  <si>
    <t>Prof.Dr. K.H Abd A'la M. Ag</t>
  </si>
  <si>
    <t>Khairul Iskandar</t>
  </si>
  <si>
    <t>085741797097</t>
  </si>
  <si>
    <t>https://goo.gl/maps/u5BCn1V8JB1GkrGZ9</t>
  </si>
  <si>
    <t>ppa.lateeputra@gmail.com</t>
  </si>
  <si>
    <t>Pp. Annuqayah Lubangsa Selatan</t>
  </si>
  <si>
    <t>Jl. Makam pahlawan, Guluk-Guluk, Sumenep Jawa Timur</t>
  </si>
  <si>
    <t>K. Moh. Halimi, S.H.I</t>
  </si>
  <si>
    <t>Abdullah Al Mubarok</t>
  </si>
  <si>
    <t>Ridwan Sa'iedi</t>
  </si>
  <si>
    <t>annuqayahlubangsaselatan@gmail.com</t>
  </si>
  <si>
    <t>Pondok Pesantren Syaichona Moh. Cholil Bangkalan</t>
  </si>
  <si>
    <t>Jl. KH. Moh. Kholil I/6 PO Box 23 Demangan Barat Bangkalan Madura Jawa Timur 69115</t>
  </si>
  <si>
    <t>RKH. Fakhrillah Aschal</t>
  </si>
  <si>
    <t>Choirul Anan</t>
  </si>
  <si>
    <t>https://maps.app.goo.gl/2dz69faxAyozTzUX9</t>
  </si>
  <si>
    <t>pp.syiachona@gmail.com</t>
  </si>
  <si>
    <t>Pondok Pesantren Miftahul Ulum Karangdurin</t>
  </si>
  <si>
    <t>Tlambah Karangpenang sampang</t>
  </si>
  <si>
    <t>Kh.Ach. fauzan zaini</t>
  </si>
  <si>
    <t>Khozairi mardawi</t>
  </si>
  <si>
    <t>Khodaifi</t>
  </si>
  <si>
    <t>+62 823-3761-4574</t>
  </si>
  <si>
    <t>Pondok Pesantren Karangdurin 0852-3136-0286 https://maps.app.goo.gl/Q3Y1Qv9RaRBFLjDt6</t>
  </si>
  <si>
    <t>Karangdurin@gmail.com</t>
  </si>
  <si>
    <t>Yayasan Miftahul Ulum Khos</t>
  </si>
  <si>
    <t>Desa Olor Kec. Banyuates Kab. Sampang</t>
  </si>
  <si>
    <t>KH. Nasiruddin</t>
  </si>
  <si>
    <t>Hanafi</t>
  </si>
  <si>
    <t>085943720621</t>
  </si>
  <si>
    <t>ops,mimiftahululum417@gmail.com</t>
  </si>
  <si>
    <t>Pp. Darul Ulum Ii Al-Wahidiyah</t>
  </si>
  <si>
    <t>Des. Gersempal Kec.Omben Kab. Sampang</t>
  </si>
  <si>
    <t>KH. Ahmad Jakfar Abd. Wahid</t>
  </si>
  <si>
    <t>Ahmad Wafi</t>
  </si>
  <si>
    <t>Ahmad Dedi Haryono</t>
  </si>
  <si>
    <t>Pondok Pesantren Darul Ulum II Al-WahidiyahAl-Wahidiyah 0852-0414-4995 https://maps.app.goo.gl/tCWLs4jRPggThgy56</t>
  </si>
  <si>
    <t>Pp.darululum2alwahidiyah@gmai.com</t>
  </si>
  <si>
    <t>PP. Attaroqqil</t>
  </si>
  <si>
    <t>Jln.Raya Karongan, Tanggumong Sampang</t>
  </si>
  <si>
    <t>KH.Faurok Alawy Lc.</t>
  </si>
  <si>
    <t>Abu Syamsuddin</t>
  </si>
  <si>
    <t>https://maps.app.goo.gl/AVZtwM6QKivnS7Ru7</t>
  </si>
  <si>
    <t>pp.attaroqqi@gmail.com</t>
  </si>
  <si>
    <t>Pp Nur Yasin</t>
  </si>
  <si>
    <t>Jl Masjid Al Mubarok Alaskokon Modung</t>
  </si>
  <si>
    <t>Kiai Sulahak, S.Ag</t>
  </si>
  <si>
    <t>Qomar</t>
  </si>
  <si>
    <t>Samim Firdaus</t>
  </si>
  <si>
    <t>+62 877-5562-4906</t>
  </si>
  <si>
    <t>VWF9+C85, Nangger, Alaskokon, Modung, Kabupaten Bangkalan, Jawa Timur 69166</t>
  </si>
  <si>
    <t>kopontrennurulyasin@gmail.com</t>
  </si>
  <si>
    <t>Pondok Pesantren Miftahul Ulum Sumber Kebun</t>
  </si>
  <si>
    <t>Jl. Raya Pesantren Dsn. Kendung Timur Ds. Pangereman Kec. Ketapang Kab. Sampang 69261</t>
  </si>
  <si>
    <t>RKH. Muhammad Najihul Khoir</t>
  </si>
  <si>
    <t>Akyun Mubarok</t>
  </si>
  <si>
    <t>+62 878-7708-7164</t>
  </si>
  <si>
    <t>https://goo.gl/maps/pTQMQFUn25owh1nC9</t>
  </si>
  <si>
    <t>51sumberkebun0308@gmail.com</t>
  </si>
  <si>
    <t>Lpi Darul Ulum Pondok Pesantren Banyuanyar</t>
  </si>
  <si>
    <t>Desa Potoan Daya Kecamatan Palengaan Kabupaten Pamekasan Madura Jawa Timur</t>
  </si>
  <si>
    <t>RKH. Hasbullah Muhammad, Lc.</t>
  </si>
  <si>
    <t>Faisal Amir</t>
  </si>
  <si>
    <t>Ach. Fahrurrosyi</t>
  </si>
  <si>
    <t>+62 823-0222-0895</t>
  </si>
  <si>
    <t>https://goo.gl/maps/1d49ZFjggpC8JcPi9</t>
  </si>
  <si>
    <t>pp.banyuanyar@gmail.com</t>
  </si>
  <si>
    <t>Pp. Miftahul Ulum Panyeppen</t>
  </si>
  <si>
    <t>PP. Miftahul Ulum Panyeppen, potoan laon, palengaan, pamekasan</t>
  </si>
  <si>
    <t>RKH. Moh. Muddatstsir Badruddin</t>
  </si>
  <si>
    <t>Moh. Hoirul Mufid</t>
  </si>
  <si>
    <t>081882818777</t>
  </si>
  <si>
    <t>https://www.google.com/maps/place/Pondok+Pesantren+Miftahul+Ulum+Panyepen/@-7.0841127,113.453258,17z/data=!3m1!4b1!4m5!3m4!1s0x2dd9d414992a84f1:0xad2071915050a617!8m2!3d-7.0841176!4d113.4554436</t>
  </si>
  <si>
    <t>mediapanyeppen@gmail.com</t>
  </si>
  <si>
    <t>Taman Pendidikan Islam Attanwir Kajuk Sampang</t>
  </si>
  <si>
    <t>Jln. Pemuda Baru No.14C Sampang</t>
  </si>
  <si>
    <t>KH. Ahmad Mamduh Hasib</t>
  </si>
  <si>
    <t>JUWEIRIYAH</t>
  </si>
  <si>
    <t>Zumrotun Nisa'</t>
  </si>
  <si>
    <t>0859-4755-7772</t>
  </si>
  <si>
    <t>082140958059</t>
  </si>
  <si>
    <t>Https://tpi-attanwir.sch.id/</t>
  </si>
  <si>
    <t>Tpi_attanwir@gmail.com</t>
  </si>
  <si>
    <t>Ypi Alamatus Sa'adah</t>
  </si>
  <si>
    <t>Dsn. Laeran Desa. Daleman Kecamatan Kedungdung</t>
  </si>
  <si>
    <t>K. Ach Mubassyir Umaf Hadi S. Pd</t>
  </si>
  <si>
    <t>Fajar Shodiq</t>
  </si>
  <si>
    <t>081939797543</t>
  </si>
  <si>
    <t>SMK Al-Ulwani</t>
  </si>
  <si>
    <t>fajhar4101@gmail.com</t>
  </si>
  <si>
    <t>PP. Miftahul Ihsan</t>
  </si>
  <si>
    <t>Jl. KH. Fathullah No. 99 Errabu Bluto Sumenep</t>
  </si>
  <si>
    <t>K. Abbasi Rahman</t>
  </si>
  <si>
    <t>Maulana Malik Ibrahim</t>
  </si>
  <si>
    <t>Syafiqurrahman</t>
  </si>
  <si>
    <t>https://goo.gl/maps/YALcx33sAThqznuR7</t>
  </si>
  <si>
    <t>miftahul.ihsann1928@gmail.com</t>
  </si>
  <si>
    <t>MIFTAHUL ULUM LEPELLE</t>
  </si>
  <si>
    <t>Jl. Raya Lepelle Robatal</t>
  </si>
  <si>
    <t>Kh.Ali Mustaqim S.Hi M.Hi</t>
  </si>
  <si>
    <t>Abd Wasik</t>
  </si>
  <si>
    <t>Nurus Salam Erfanda</t>
  </si>
  <si>
    <t>‪+62 813‑3306‑3541‬</t>
  </si>
  <si>
    <t>mmulepelle1@gmail.com</t>
  </si>
  <si>
    <t>Jl. Raya Lenteng, No. 10, Desa Talang</t>
  </si>
  <si>
    <t>KH. A. Baidawi Amir</t>
  </si>
  <si>
    <t>ghozali</t>
  </si>
  <si>
    <t>Pondok pesantren nurul Islam Pegantenan</t>
  </si>
  <si>
    <t>Duaun utara desa pegantenan kec.pegantenan kab. Pamekasan</t>
  </si>
  <si>
    <t>KH.M Abdully Syarqowi</t>
  </si>
  <si>
    <t>Moh Rofii</t>
  </si>
  <si>
    <t>Raudlatul islamiyah</t>
  </si>
  <si>
    <t>DNS banrokem desa Sawah tengah</t>
  </si>
  <si>
    <t>K.hasibul jalil</t>
  </si>
  <si>
    <t>Amir kubro</t>
  </si>
  <si>
    <t>Pondok Pesantren Tahfidzil Qur'an Al-Asror</t>
  </si>
  <si>
    <t>Jl. Soekarno Hatta No. 32C Mlajah Bangkalan</t>
  </si>
  <si>
    <t>Kabupaten Bangkalan</t>
  </si>
  <si>
    <t>Kyai Muhammad Fadhil Baihaqi</t>
  </si>
  <si>
    <t>081211313924</t>
  </si>
  <si>
    <t>Pondok Pesantren Nurul Hikmah Murangsanah</t>
  </si>
  <si>
    <t>Murangsanah Mandung Kokop Bangkalan</t>
  </si>
  <si>
    <t>Kh. Abd Majid Faishol</t>
  </si>
  <si>
    <t>M Kholil Hasby</t>
  </si>
  <si>
    <t>087840009202</t>
  </si>
  <si>
    <t>Al jawahir</t>
  </si>
  <si>
    <t>Jalan kh ahmad djauhari sembung jatra timur banyuates</t>
  </si>
  <si>
    <t>Kabupaten Sampang</t>
  </si>
  <si>
    <t>KH.TAJUL UMAM ALI</t>
  </si>
  <si>
    <t>Riki</t>
  </si>
  <si>
    <t>085791488277</t>
  </si>
  <si>
    <t>Miftahul Ulum Pagendingan</t>
  </si>
  <si>
    <t>Dusun Masjid Desa Pagendinagan Kecamatan Galisl Kabupaten Pamekasan</t>
  </si>
  <si>
    <t>Kabupaten Pamekasan</t>
  </si>
  <si>
    <t>RK.Moh.Kholil mutawakkil alallah</t>
  </si>
  <si>
    <t>Moh Choiril Anam</t>
  </si>
  <si>
    <t>085334078824</t>
  </si>
  <si>
    <t xml:space="preserve">Lembaga Pendidikan Islami Noun </t>
  </si>
  <si>
    <t xml:space="preserve">Taretah 1 Palengaan daya Palengaan Pamekasan </t>
  </si>
  <si>
    <t>H.MUHDOR ABDULLAH, SH.,MM</t>
  </si>
  <si>
    <t xml:space="preserve">Zain </t>
  </si>
  <si>
    <t>081235940453</t>
  </si>
  <si>
    <t>Pondok Pesantren NAHDLATUL ISLAMIYAH</t>
  </si>
  <si>
    <t>Dusun Setran Barat Desa Bajrasokah Kec. Kedungdung Kab. Sampang</t>
  </si>
  <si>
    <t>KH. Imam Syafi'i</t>
  </si>
  <si>
    <t>Bustomy</t>
  </si>
  <si>
    <t>+62 819-1645-2400</t>
  </si>
  <si>
    <t>PP. Sumber Payung Al Hasyimiyah</t>
  </si>
  <si>
    <t>Jl. Raya Guluk Guluk No.63</t>
  </si>
  <si>
    <t>Kabupaten Sumenep</t>
  </si>
  <si>
    <t>Drs. KH. A. Washil Hasyim, M.Pd.I</t>
  </si>
  <si>
    <t>Fahad Maulana</t>
  </si>
  <si>
    <t>085230500408</t>
  </si>
  <si>
    <t xml:space="preserve">Pondok Pesantren Ahlusunnah Waljamaah </t>
  </si>
  <si>
    <t>Jl. KH. Hasyim Asy'ari Gg. VII/29 Ambunten Timur, Ambunten. Sumenep</t>
  </si>
  <si>
    <t>KH. Muh. Unais Ali Hisyam</t>
  </si>
  <si>
    <t xml:space="preserve">Hobaidillah </t>
  </si>
  <si>
    <t>081936544873</t>
  </si>
  <si>
    <t xml:space="preserve">PP. Darul Ulum Gersempal </t>
  </si>
  <si>
    <t xml:space="preserve">Jl. Raya Sogian Desa Gersempal Kecamatan Omben </t>
  </si>
  <si>
    <t xml:space="preserve">KH. Syafi'uddin Abd. Wahid </t>
  </si>
  <si>
    <t xml:space="preserve">Salman Al Farisi </t>
  </si>
  <si>
    <t>+62 878-3903-1818</t>
  </si>
  <si>
    <t>ppdugersempal1959@gmail.com</t>
  </si>
  <si>
    <t xml:space="preserve">Pondok Pesantren Bustanul Ulum Sumber Anom </t>
  </si>
  <si>
    <t>Angsanah Palenggaan Pamekasan</t>
  </si>
  <si>
    <t>KH. TAUFIK HASYIM, M. Pd. I</t>
  </si>
  <si>
    <t>Alfin Maliki</t>
  </si>
  <si>
    <t>Moh Romly</t>
  </si>
  <si>
    <t>087734355255</t>
  </si>
  <si>
    <t>087886952839</t>
  </si>
  <si>
    <t xml:space="preserve">Pondok Pesantren Al-Mukaromah </t>
  </si>
  <si>
    <t xml:space="preserve">Kowel, Batukerbuy, Pasean, Pamekasan, Madura Jawa timur </t>
  </si>
  <si>
    <t>KH. MUHAMMAD ZAINUDDIN MS.ST.</t>
  </si>
  <si>
    <t xml:space="preserve">Moh. Taufikur rahman </t>
  </si>
  <si>
    <t>+62 812-8388-4631</t>
  </si>
  <si>
    <t xml:space="preserve">Hidayatul Mubtadiin </t>
  </si>
  <si>
    <t xml:space="preserve">Bunangkah Pasanggar Pegantenan </t>
  </si>
  <si>
    <t xml:space="preserve">Kyai Misbahul Munir </t>
  </si>
  <si>
    <t xml:space="preserve">Homaidi </t>
  </si>
  <si>
    <t>0817373880</t>
  </si>
  <si>
    <t>Pondok Pesantren Miftahul Ulum Derbing</t>
  </si>
  <si>
    <t>Jl. Simpang tiga ponpes derbing desa pancor kec. Ketapang</t>
  </si>
  <si>
    <t>Kh. Achmad sholehuddin Syam</t>
  </si>
  <si>
    <t>Roy Jordi</t>
  </si>
  <si>
    <t>085749746849</t>
  </si>
  <si>
    <t>PP. DARUL MANNAN</t>
  </si>
  <si>
    <t>Mongmong Glagga Arosbaya Bangkalan Madura Jawa Timur</t>
  </si>
  <si>
    <t>KH FAKHRUR ROZI ZUBAIR</t>
  </si>
  <si>
    <t>IBNU QOYYIM</t>
  </si>
  <si>
    <t>Gus Ayyim</t>
  </si>
  <si>
    <t>082331000484</t>
  </si>
  <si>
    <t>081977322790</t>
  </si>
  <si>
    <t>ppdarulmannan@gmail.com</t>
  </si>
  <si>
    <t xml:space="preserve">PP. NURUL KAROMAH </t>
  </si>
  <si>
    <t>Jl.kalianget, paterongan galis bangkalan</t>
  </si>
  <si>
    <t xml:space="preserve">KH. Abdul Fatah Ahmad Faqih </t>
  </si>
  <si>
    <t xml:space="preserve">M. Rizal Habibullah </t>
  </si>
  <si>
    <t>087815781815</t>
  </si>
  <si>
    <t xml:space="preserve">TMI AL AMIEN PONDOK </t>
  </si>
  <si>
    <t>Pondok Pesantren Al-Amien Prenduan, Dunglaok, Pragaan Laok, Kec. Pragaan, Kabupaten Sumenep, Jawa Timur 69465</t>
  </si>
  <si>
    <t>Kh. Ghozi Mubarok Idris, M.A</t>
  </si>
  <si>
    <t>Alman Mauluddin</t>
  </si>
  <si>
    <t>082141190630</t>
  </si>
  <si>
    <t>Pondok Pesantren Al Karimiyyah</t>
  </si>
  <si>
    <t>Dusun Tambak RT 09 RW 04 Desa Braji Kec. Gapura Kab. Sumenep</t>
  </si>
  <si>
    <t>Dr. KH. A. Busyro Karim, M. Si</t>
  </si>
  <si>
    <t>Moh. Romzy</t>
  </si>
  <si>
    <t>082330560042</t>
  </si>
  <si>
    <t>PP. Al Usymuni Putri</t>
  </si>
  <si>
    <t>Jl. Pesantren No.11 Tarate-Pandian-Sumenep-Jawa Timur</t>
  </si>
  <si>
    <t>Drs. KH. Abdullah Cholil, M.Hum</t>
  </si>
  <si>
    <t>Nurfadilah</t>
  </si>
  <si>
    <t>085234989383</t>
  </si>
  <si>
    <t>Pondok Pesantren Al-Usymuni</t>
  </si>
  <si>
    <t xml:space="preserve">Jl. Pesantren No.11 Tarate Pandian Sumenep Madura Jawa timur </t>
  </si>
  <si>
    <t>Drs. K.H. Abdullah Cholil M, Hum.</t>
  </si>
  <si>
    <t xml:space="preserve">Moh. </t>
  </si>
  <si>
    <t>087739941588</t>
  </si>
  <si>
    <t>Ponpes Darussalam Al-Faisholiyah</t>
  </si>
  <si>
    <t>Jl. Raya Aeng Cellep Desa Bunten Barat Kec. Ketapang</t>
  </si>
  <si>
    <t>Gus Ayatullah Mubarok</t>
  </si>
  <si>
    <t>Dahlawi</t>
  </si>
  <si>
    <t>085730472345</t>
  </si>
  <si>
    <t>Pondok Pesantren Raudlatul Iman</t>
  </si>
  <si>
    <t>Desa Gadu Barat Kecamatan Ganding</t>
  </si>
  <si>
    <t>K. Ali Mufti Hamid, M.M</t>
  </si>
  <si>
    <t>Ach. Fauzi</t>
  </si>
  <si>
    <t>081808462988</t>
  </si>
  <si>
    <t xml:space="preserve">Pondok Pesantren Miftahul Ulum Langgar Anyar </t>
  </si>
  <si>
    <t xml:space="preserve">Bira tengah kabupaten Sampang, kecamatan sokobanah. </t>
  </si>
  <si>
    <t>KH. Fauzan Hannan</t>
  </si>
  <si>
    <t xml:space="preserve">Abdul Mukti </t>
  </si>
  <si>
    <t>087747772287</t>
  </si>
  <si>
    <t>langgaranyar4@gmail.com</t>
  </si>
  <si>
    <t>Pp. Darut Tauhid Injelan</t>
  </si>
  <si>
    <t>Injelan Panggung Sampang Madura</t>
  </si>
  <si>
    <t>KH. Muhaimin Abd. Bari</t>
  </si>
  <si>
    <t>Syaiful Haq</t>
  </si>
  <si>
    <t>+62 858-1521-6630</t>
  </si>
  <si>
    <t xml:space="preserve">PP RAUDHATUL MUTAALLIMIN </t>
  </si>
  <si>
    <t>Sekgersek Mandung Kokop Bangkalan</t>
  </si>
  <si>
    <t>KH.Zubaidi</t>
  </si>
  <si>
    <t>Abd Syafi</t>
  </si>
  <si>
    <t>0821-3171-8479</t>
  </si>
  <si>
    <t>raudhatulmutaalliminmedia@gmail.com</t>
  </si>
  <si>
    <t xml:space="preserve">Darur Rosyad </t>
  </si>
  <si>
    <t xml:space="preserve">Jln. Raya Bungkak Dsn. Sabeleggung Desa Batorasang Kec. Tambelangan Kab. Sampang Madura Provinsi Jawa Timur </t>
  </si>
  <si>
    <t xml:space="preserve">K.H. Hasan Rosidi </t>
  </si>
  <si>
    <t>Abd. Jalil</t>
  </si>
  <si>
    <t>087857446999</t>
  </si>
  <si>
    <t xml:space="preserve">Pondok Pesantren Miftahul Ulum An-Nashar </t>
  </si>
  <si>
    <t>Desa pancor</t>
  </si>
  <si>
    <t>KH.Makmun Munhari Nasir</t>
  </si>
  <si>
    <t>MOH.FENDI</t>
  </si>
  <si>
    <t>087844395660</t>
  </si>
  <si>
    <t>Pp. Assirojiyyah kajuk sampang</t>
  </si>
  <si>
    <t>Jl. Pemuda 52c kajuk sampang</t>
  </si>
  <si>
    <t>Kh. Athoillah bushiri</t>
  </si>
  <si>
    <t>Ali Nabhan, abdul mun'im</t>
  </si>
  <si>
    <t>+62 852-3335-8559</t>
  </si>
  <si>
    <t xml:space="preserve">LPI. Darul Ulum PP. Karang Baru </t>
  </si>
  <si>
    <t xml:space="preserve">Tomang Mateh, Blumbungan, Larangan, Pamekasan </t>
  </si>
  <si>
    <t xml:space="preserve">KH. Moh. Hasibin </t>
  </si>
  <si>
    <t xml:space="preserve">Syauqi Robbi </t>
  </si>
  <si>
    <t>pp.krbdu@gmail.com</t>
  </si>
  <si>
    <t xml:space="preserve">Pp. Raudlatul Muta'llimin Al Aziziyah 1 </t>
  </si>
  <si>
    <t xml:space="preserve">Sebaneh Bancaran Bangkalan Madura </t>
  </si>
  <si>
    <t xml:space="preserve">Kh. Sayful Qohhar Thobroni </t>
  </si>
  <si>
    <t xml:space="preserve">Ainul Yaqin </t>
  </si>
  <si>
    <t>kantoraziziyah1@gmail.com</t>
  </si>
  <si>
    <t xml:space="preserve">Pondok Pesantren Darut Tauhid Al-Islami </t>
  </si>
  <si>
    <t xml:space="preserve">Pal pettok Plakpak Pegantenan Pamekasan Madura Jawa Timur </t>
  </si>
  <si>
    <t>Rkh.Muhammad Baqir Hasan</t>
  </si>
  <si>
    <t xml:space="preserve">Irfan Fauzan </t>
  </si>
  <si>
    <t>ppdaruttauhid0@gmail.com</t>
  </si>
  <si>
    <t>Al amin</t>
  </si>
  <si>
    <t>Jawa timur  sampang ketapang pancor</t>
  </si>
  <si>
    <t>Kh moh tamim jekfar</t>
  </si>
  <si>
    <t>Abd sofa</t>
  </si>
  <si>
    <t>Midiaalamin@gmail.com</t>
  </si>
  <si>
    <t>PP. Raudlatul Mutaallimin Ombul Sari</t>
  </si>
  <si>
    <t>Ds. Tlambah, Kec. Karang Penang, Kab. Sampang</t>
  </si>
  <si>
    <t>K. Moh. Amin Nasir, S. Pd.I</t>
  </si>
  <si>
    <t>Khoirul Umam</t>
  </si>
  <si>
    <t>Moh Rasul</t>
  </si>
  <si>
    <t>ombulsarimedia@gmail.com</t>
  </si>
  <si>
    <t>PPMU.Tarbiyatul Mubtadiin</t>
  </si>
  <si>
    <t xml:space="preserve">Langgar anyar Sorok berek </t>
  </si>
  <si>
    <t>KH.Miftah Farid</t>
  </si>
  <si>
    <t>Ust.Rofiqi</t>
  </si>
  <si>
    <t>achzainulloh552@gmail.com</t>
  </si>
  <si>
    <t>Pondok Pesantren Banyuayu</t>
  </si>
  <si>
    <t>Des. Pamoroh Kec. Kadur Kab. Pamekasan</t>
  </si>
  <si>
    <t>KH. Moh. Nawawi Abdul Muin.</t>
  </si>
  <si>
    <t>Rizqil Uyun</t>
  </si>
  <si>
    <t>banyuayuponpes@gmail.com</t>
  </si>
  <si>
    <t>PONDOK PESANTREN AL-BAKRIYAH</t>
  </si>
  <si>
    <t>DSN. TANJUNG PURO DES. LOMAER KEC. BLEGA KAB. BANGKALAN</t>
  </si>
  <si>
    <t>KH. MOH. HAMIM HAKAM</t>
  </si>
  <si>
    <t>MUHAMMAD IBNU AMIR</t>
  </si>
  <si>
    <t>Pondok Pesantren Miftahul Ulum Sekar Anyar</t>
  </si>
  <si>
    <t>Pangdlupang Rombuh</t>
  </si>
  <si>
    <t>Kh. Afifurrahman</t>
  </si>
  <si>
    <t>Muhammad Ali Imron</t>
  </si>
  <si>
    <t>ppmusekaranyar@gmail.com</t>
  </si>
  <si>
    <t xml:space="preserve">PPMU Ainul Ulum 1 Daliran </t>
  </si>
  <si>
    <t>Blu'uran karang Penang sampang</t>
  </si>
  <si>
    <t>RK. Hajjad Toha Junaidi</t>
  </si>
  <si>
    <t xml:space="preserve">Gus Mahmud </t>
  </si>
  <si>
    <t xml:space="preserve">Abd. Aziz Al-Tsaqief </t>
  </si>
  <si>
    <t>halaqohkiaimuda@gmail.com</t>
  </si>
  <si>
    <t>Pondok Pesantren Assahliyyin</t>
  </si>
  <si>
    <t>Tagrinih barat mano'an kokop bangkalan</t>
  </si>
  <si>
    <t>KH ABDUL AZIZ ACHMAD SAHLI AL-HAFIDZ</t>
  </si>
  <si>
    <t>Muhaimin ahmad</t>
  </si>
  <si>
    <t>assahliyyin85@gmail.com</t>
  </si>
  <si>
    <t>PP. Annuqayah daerah Lubangsa</t>
  </si>
  <si>
    <t>Kompleks PP. Annuqayah Lubangsa, Guluk Guluk Tengah I, Guluk-guluk, Kec. Guluk-Guluk, Kabupaten Sumenep, Jawa Timur 69463</t>
  </si>
  <si>
    <t>KH.Moh.Shalahuddin A.Waris, M. Hum</t>
  </si>
  <si>
    <t>Ach. Rofiq</t>
  </si>
  <si>
    <t>Fery Purnomo, Faiki Hakiki</t>
  </si>
  <si>
    <t>082334460069, '081808632794</t>
  </si>
  <si>
    <t>annuqayah.lubangsa@gmail.com</t>
  </si>
  <si>
    <t xml:space="preserve">PONDOK PESANTREN SALAFY NURUL HUDA KEMBANG JERUK BANYUATES SAMPANG </t>
  </si>
  <si>
    <t>KEMBANG JERUK BANYUATES</t>
  </si>
  <si>
    <t>KH. USHULUDDIN EMHA, S.Ag</t>
  </si>
  <si>
    <t>Ajiy Mansur</t>
  </si>
  <si>
    <t>JL.KH.Muntaha Kembang Jeruk Banyuates</t>
  </si>
  <si>
    <t>Pondok Pesantren Assirojiyyah</t>
  </si>
  <si>
    <t>Jl. Pemuda 52 C Kajuk Rong Tengah Sampang</t>
  </si>
  <si>
    <t>KH. Athoulloh Busiri</t>
  </si>
  <si>
    <t>Ali Masykur</t>
  </si>
  <si>
    <t>assirojiyahkreatifmediapt@gmail.com</t>
  </si>
  <si>
    <t>Badrus Sholeh</t>
  </si>
  <si>
    <t>Dsn Angsanah Barat Ds. Bluuran Kec. Karang Penang</t>
  </si>
  <si>
    <t>K HAIRUS SHOLEH</t>
  </si>
  <si>
    <t>ypidarurrahman45@gmail.com</t>
  </si>
  <si>
    <t>PONDOK PESANTREN SUMBER BUNGA</t>
  </si>
  <si>
    <t>ANGSANAH BARAT BLU'URAN KARANGPENANG SAMPANG</t>
  </si>
  <si>
    <t>H.M. AHSAN JAMAL</t>
  </si>
  <si>
    <t>WADUD</t>
  </si>
  <si>
    <t>Mediasumberbunga@gmail.com</t>
  </si>
  <si>
    <t>Darur Rohman</t>
  </si>
  <si>
    <t xml:space="preserve">Ds. Morombuh Kec.Kwanyar kab. Bangkalan </t>
  </si>
  <si>
    <t>KH. Imam Rofi'i Anwar</t>
  </si>
  <si>
    <t xml:space="preserve">SULTONI HASAN </t>
  </si>
  <si>
    <t>Kholafiyatul mustarsyidin</t>
  </si>
  <si>
    <t>KH.fathur rosi imam</t>
  </si>
  <si>
    <t>Abdus syakur</t>
  </si>
  <si>
    <t>Ppkhm01@gmail.com</t>
  </si>
  <si>
    <t>Pondok Pesantren Al Abidyn Asemtojuk</t>
  </si>
  <si>
    <t>Des. Beringin, Kec. Tambelangan, Kabupaten Sampang, Jawa Timur 69253</t>
  </si>
  <si>
    <t>Moh Subhan</t>
  </si>
  <si>
    <t>BUSTANUL ULUM</t>
  </si>
  <si>
    <t xml:space="preserve">Bandung konang Bangkalan </t>
  </si>
  <si>
    <t>KH Fauzi ibrohim</t>
  </si>
  <si>
    <t>Muhammad badiuz zama</t>
  </si>
  <si>
    <t>Pangloros bandung konang bangkalan</t>
  </si>
  <si>
    <t>NURUL ULUM AL-HASANY</t>
  </si>
  <si>
    <t>Jl.kh.agussalim banyuanyar sampang</t>
  </si>
  <si>
    <t>KH.mas'ud zayyadi</t>
  </si>
  <si>
    <t>Daud,mahbuby</t>
  </si>
  <si>
    <t>Hidayatul mubtadiin</t>
  </si>
  <si>
    <t>Duarah Bajrasokah Kedungdung Sampang</t>
  </si>
  <si>
    <t>KH.Fauzi Mubarok Nawawi</t>
  </si>
  <si>
    <t>Ainur Rofik</t>
  </si>
  <si>
    <t>alhidayahmedia13@gmail.com</t>
  </si>
  <si>
    <t>Pondok Pesantren Al Ibrohimy</t>
  </si>
  <si>
    <t>Jl. Raya Galis No. 03 Galis Bangkalan</t>
  </si>
  <si>
    <t>Gus Ibrohim Muclis, M.Ag</t>
  </si>
  <si>
    <t>Sholihul Akmal</t>
  </si>
  <si>
    <t>0819-4592-6532</t>
  </si>
  <si>
    <t>alibrohimytv@gmail.com</t>
  </si>
  <si>
    <t>Ponpes. Darussyahid</t>
  </si>
  <si>
    <t>Rw. III, Rong Tengah, Kec. Sampang, Kabupaten Sampang, Jawa Timur 69216</t>
  </si>
  <si>
    <t>Kh. Ach. Fakhrur Razi Farouq</t>
  </si>
  <si>
    <t>Himin</t>
  </si>
  <si>
    <t>mediadarussyahid@gmail.com</t>
  </si>
  <si>
    <t>Pondok Pesantren Karangsari</t>
  </si>
  <si>
    <t>Jl.Karangsari, Angsana Barat, Tlambah, Kec. Karangpenang, Kabupaten Sampang, Jawa Timur 69254</t>
  </si>
  <si>
    <t>KH. MOH. MAKLUM TAUFIQ, S.Pd.I</t>
  </si>
  <si>
    <t>Musthofa Hadi</t>
  </si>
  <si>
    <t>pondokpesantrenkarangsari02@gmail.com</t>
  </si>
  <si>
    <t>MASHLAHATUL HIDAYAH</t>
  </si>
  <si>
    <t>WQ84+MVQ, Timur Leke, Desa, Timur Leke, Errabu, Kec. Bluto, Kabupaten Sumenep, Jawa Timur 69466 280,0 m</t>
  </si>
  <si>
    <t>K. Ahmad Samlan S.Ag</t>
  </si>
  <si>
    <t>Fawaid Nuzil Furqoni</t>
  </si>
  <si>
    <t>mhdigitalstory@gmail.com</t>
  </si>
  <si>
    <t>PP. SYAIKHONA MUHSIN AL HAMIDIYHA BLEGA</t>
  </si>
  <si>
    <t>Jl. Taman Pahlawan Planggaran Blega Bangkalan 69174</t>
  </si>
  <si>
    <t>R.K. Musaddad Djuwaini</t>
  </si>
  <si>
    <t>AMIRULLAH</t>
  </si>
  <si>
    <t>www.alhamidiyahonline@gmail.com</t>
  </si>
  <si>
    <t>Pondok Pesantren Nurul Ulum Karang Manggis</t>
  </si>
  <si>
    <t>Robuh palengaan Pamekasan</t>
  </si>
  <si>
    <t>Kh. Moh koyim hamza S.Ag.</t>
  </si>
  <si>
    <t>Mustofa kamal</t>
  </si>
  <si>
    <t>+62 878-3855-2019</t>
  </si>
  <si>
    <t>tarbiyahmedia21@gmail.com</t>
  </si>
  <si>
    <t>Mambaul Ulum Karang Jati</t>
  </si>
  <si>
    <t>Des. Tebul Timur, Kac. Pegantenan, Kab. Pamekasan</t>
  </si>
  <si>
    <t>RK. Abdul Latif Jamil</t>
  </si>
  <si>
    <t>Faiq Alfawady</t>
  </si>
  <si>
    <t>mambaululumkarangjati@gmail.com</t>
  </si>
  <si>
    <t>An-Naqsabandiyah As-Salafiyah</t>
  </si>
  <si>
    <t>Jl. Ombul Beringin Tambelangan</t>
  </si>
  <si>
    <t>Kh.Ismail Fathul Bary</t>
  </si>
  <si>
    <t>Abdul Jawwad</t>
  </si>
  <si>
    <t>‪+62 859‑3836‑6267‬</t>
  </si>
  <si>
    <t>ombulmedia@gmail.com</t>
  </si>
  <si>
    <t>Miftahul Huda Cekdam</t>
  </si>
  <si>
    <t>Jl. AASIC Rambay desa Mandung Kec. Kokop Kab. Bangkalan</t>
  </si>
  <si>
    <t>K. FATHULLAH HASAN</t>
  </si>
  <si>
    <t>Ismail</t>
  </si>
  <si>
    <t>M.kolyubi</t>
  </si>
  <si>
    <t>+62 878-9838-5626</t>
  </si>
  <si>
    <t>cekdam41l@gmail.com</t>
  </si>
  <si>
    <t>PP Roudlotul Hidayah Al-Muhsiniyah</t>
  </si>
  <si>
    <t>Dsn. Tanah Abang Ds. Campor Kec. Geger Kab. Bangkalan</t>
  </si>
  <si>
    <t>Kiai Ach. Muzajjad Muhsin</t>
  </si>
  <si>
    <t>Ach. Faiq Mubarok</t>
  </si>
  <si>
    <t>almuhsiniyahtv@gmail.com</t>
  </si>
  <si>
    <t>Pesantren Darul Falah</t>
  </si>
  <si>
    <t>Jl. Asta Jokotole. 001 Desa Lanjuk, Kec. Manding, Kab. Sumenep</t>
  </si>
  <si>
    <t>KH. SYARBINI LATHIEF</t>
  </si>
  <si>
    <t>Afiqurrahman</t>
  </si>
  <si>
    <t>Rizal</t>
  </si>
  <si>
    <t>darulfalah@gmail.com</t>
  </si>
  <si>
    <t>Pondok Pesantren Darussholah Pusat (Annawawiyah)</t>
  </si>
  <si>
    <t>Jl. Hidayat 408 Pakong Pos Galis Modung Bangkalan-Madura</t>
  </si>
  <si>
    <t>Kh. Shinwan Adra'i BA</t>
  </si>
  <si>
    <t>Nurul Yaqin</t>
  </si>
  <si>
    <t>darussholahpusat408@gmail.com</t>
  </si>
  <si>
    <t>Pondok Pesantren Mambaul Ulum Bira Timur Sokobanah Sampang Madura</t>
  </si>
  <si>
    <t>KH. Muhammad Itsbat AQ LC</t>
  </si>
  <si>
    <t>ACH FAUZAN</t>
  </si>
  <si>
    <t>albirowyofficial1@gmail.com</t>
  </si>
  <si>
    <t>PP Queen Ainul Yaqien</t>
  </si>
  <si>
    <t>Gapura Tengah Gapura Sumenep Madura</t>
  </si>
  <si>
    <t>K ACH CHADLIRI BISYRI</t>
  </si>
  <si>
    <t>Moh Ali Banun Kalim</t>
  </si>
  <si>
    <t>AHMAD ROMDAN</t>
  </si>
  <si>
    <t>queenainulyaqin@gmail.com</t>
  </si>
  <si>
    <t>Pondok Pesantren Sumber Mas</t>
  </si>
  <si>
    <t>Rombiya Barat Ganding Sumenep</t>
  </si>
  <si>
    <t>RKH. A. Badwi Sanusi</t>
  </si>
  <si>
    <t>Nailur Ridha</t>
  </si>
  <si>
    <t>Ponpes kholafiyatul mustarsyidin</t>
  </si>
  <si>
    <t>Ponpes kholafiyatul mustarsyidin Tambas Camplong</t>
  </si>
  <si>
    <t>D.rs.KH.Fathur Rosi Imam S.Ag</t>
  </si>
  <si>
    <t>Fathur Rosi</t>
  </si>
  <si>
    <t>https://maps.app.goo.gl/GQ3PhZELZ2ZTM5sg6</t>
  </si>
  <si>
    <t xml:space="preserve">Yayasan Husnul Khatimah </t>
  </si>
  <si>
    <t>Aengmerah Batuputih Sumenep</t>
  </si>
  <si>
    <t>Ach Syu'eb</t>
  </si>
  <si>
    <t>Wildan</t>
  </si>
  <si>
    <t>Pondok Pesantren Taman Sari</t>
  </si>
  <si>
    <t>Glugur II Palengaan Laok</t>
  </si>
  <si>
    <t>KH. Ahmad Hasani</t>
  </si>
  <si>
    <t>Moh Oyyim</t>
  </si>
  <si>
    <t>pptamansari2020@gmail.com</t>
  </si>
  <si>
    <t>Tahfizh Qur'an Al-Usymuni Batuan</t>
  </si>
  <si>
    <t>Pondok Pesantren Tahfizh Qur'an Al-Usymuni Batuan (PTQA)</t>
  </si>
  <si>
    <t>KH. Miftahul Arifin L.c</t>
  </si>
  <si>
    <t>Ahmad Zubaidi</t>
  </si>
  <si>
    <t>tahfizh.usymuni.batuan@gmail.com</t>
  </si>
  <si>
    <t>Pondok pesantren Miftahul Ulum Masaran</t>
  </si>
  <si>
    <t>Dusun Masaran desa rek kerrek kec Palengaan kab Pamekasan</t>
  </si>
  <si>
    <t>KH Ali rahbini Abdul latif</t>
  </si>
  <si>
    <t>Khoirul holis</t>
  </si>
  <si>
    <t>Masaran rek kerrek</t>
  </si>
  <si>
    <t>Pondok pesantren Miftahul ulum talon waru</t>
  </si>
  <si>
    <t>K,H.HALIMI SYARIFUDDIN</t>
  </si>
  <si>
    <t>Khoirul anam</t>
  </si>
  <si>
    <t>mediatalonwaru@gmail.com</t>
  </si>
  <si>
    <t>Pondok Pesantren Raudlatul Khaziny</t>
  </si>
  <si>
    <t>Paobabang Mandung Kokop Bangkalan Madura</t>
  </si>
  <si>
    <t>KH. Mahmudi Toyyib</t>
  </si>
  <si>
    <t>Ach Jeilani</t>
  </si>
  <si>
    <t>ponpesraudlatulkhaziny@gmail.com</t>
  </si>
  <si>
    <t>At-ta'awun</t>
  </si>
  <si>
    <t>Tekay, legung barat</t>
  </si>
  <si>
    <t>KH. FATHOR ROHMAN MS.i</t>
  </si>
  <si>
    <t>pondpestattaawun@gmail.com</t>
  </si>
  <si>
    <t>midad alqodiri</t>
  </si>
  <si>
    <t>jln raya batu ampar, dusun sreseh, panaguan, proppo, pamekasan</t>
  </si>
  <si>
    <t>kh husain karrar</t>
  </si>
  <si>
    <t>Hemmam</t>
  </si>
  <si>
    <t>midadalqidiri@yaho.com</t>
  </si>
  <si>
    <t>MISDAT UD</t>
  </si>
  <si>
    <t>Lenteng proppo pamekasan</t>
  </si>
  <si>
    <t>Kh Ali karrar</t>
  </si>
  <si>
    <t>Ahmad luai</t>
  </si>
  <si>
    <t>misdattv@gmail.com</t>
  </si>
  <si>
    <t>Pondok Pesantren Darurrahman</t>
  </si>
  <si>
    <t>Jl. Kartini Gg. 6 No. 4 Pangarangan Sumenep</t>
  </si>
  <si>
    <t>K. Oyek</t>
  </si>
  <si>
    <t>Abdul Qadir</t>
  </si>
  <si>
    <t>darurrahman2011@gmail.com</t>
  </si>
  <si>
    <t>Pondok Pesantren Matsaratul Huda</t>
  </si>
  <si>
    <t>Jl Raya kanginan GG pesantren pondok pesantren Matsaratul Huda Pamekasan Madura Jawa Timur</t>
  </si>
  <si>
    <t>Kh. Kholilurrahman S.H, M.Si</t>
  </si>
  <si>
    <t>Ust Sofyan</t>
  </si>
  <si>
    <t>MD_arrobeniyeh</t>
  </si>
  <si>
    <t>Sumber sirih talaga banyuates sampang madura</t>
  </si>
  <si>
    <t>Ust abdurrikob</t>
  </si>
  <si>
    <t>DARUL ULUM</t>
  </si>
  <si>
    <t>Jl.KH. Khatib Bangil Prongpong Kecer Dasuk Sumenep</t>
  </si>
  <si>
    <t>K. MOH. ALI MALTUF</t>
  </si>
  <si>
    <t>Ahmad Zhubairi</t>
  </si>
  <si>
    <t>pp.darululumprongpong@gmail.com</t>
  </si>
  <si>
    <t>PPMU SUMBER GEDANG</t>
  </si>
  <si>
    <t>Dsn.Rakmerakan Desa Tlambah Kecamatan Karang penang Kabupaten sampang</t>
  </si>
  <si>
    <t>K. ABDULLAH AZIZ</t>
  </si>
  <si>
    <t>Moh Hudi nawawi</t>
  </si>
  <si>
    <t>Pp. Aqidah Usymuni</t>
  </si>
  <si>
    <t>jl. kh. zainal arifin</t>
  </si>
  <si>
    <t>k. moh. zainul alim</t>
  </si>
  <si>
    <t>Radliyah imran</t>
  </si>
  <si>
    <t>radliyahimran6@gmail.com</t>
  </si>
  <si>
    <t>Dusun Mandala Barat, Desa Gadu Barat Kecamatan Ganding Kabupaten Sumenep</t>
  </si>
  <si>
    <t>KH. Ali Mufti Hamid</t>
  </si>
  <si>
    <t>Abul Hasan</t>
  </si>
  <si>
    <t>mc.raudlatuliman@gmail.com</t>
  </si>
  <si>
    <t>Ponpes Semar</t>
  </si>
  <si>
    <t>Jl. Darussalam Dusun dulat, Desa Ragang, Kecamatan waru, Kabupaten Pamekasan.</t>
  </si>
  <si>
    <t>Kh moh taufiq Abdullah zmt, Lc.</t>
  </si>
  <si>
    <t>Abd bari</t>
  </si>
  <si>
    <t>0819-3592-1145</t>
  </si>
  <si>
    <t>Jl. Darussalam semar ragang waru pamekasan</t>
  </si>
  <si>
    <t>Tanwirul islam Al-amin</t>
  </si>
  <si>
    <t>Paopale laok</t>
  </si>
  <si>
    <t>Kh. Abbas</t>
  </si>
  <si>
    <t>Fathor rosi</t>
  </si>
  <si>
    <t>ypitanwirulislam@gmail.com</t>
  </si>
  <si>
    <t>PONDOK PESANTREN ASSALAFI ALBAIHAQI</t>
  </si>
  <si>
    <t>Jl. Kh. Baihaqi Nung Gunung Bates Blega</t>
  </si>
  <si>
    <t>KH. ZUBAIR SYARQOWI</t>
  </si>
  <si>
    <t>HOYRUL ANAM</t>
  </si>
  <si>
    <t>Ponpes.albaihaqi@gmail.com</t>
  </si>
  <si>
    <t>Asy- Syukuriyah</t>
  </si>
  <si>
    <t>bajung pangolangan binoh burnih bangkalan</t>
  </si>
  <si>
    <t>K. Hasyim hasan</t>
  </si>
  <si>
    <t>qomariya Nawawi</t>
  </si>
  <si>
    <t>Miftahul Ulum As-Salafy</t>
  </si>
  <si>
    <t>Tagrinh Tengah mano'an kokop</t>
  </si>
  <si>
    <t>KH. Ainurroziqin</t>
  </si>
  <si>
    <t>Yahya Farhani</t>
  </si>
  <si>
    <t>mmumediaofficial@gmail.com</t>
  </si>
  <si>
    <t>PP. NURUL MUTTAQIN SUMBER SARI</t>
  </si>
  <si>
    <t>Desa Tattangoh kecamatan Proppo</t>
  </si>
  <si>
    <t>KH ISMAIL MAIMUN</t>
  </si>
  <si>
    <t>yasnumsumbersari@gmail.com</t>
  </si>
  <si>
    <t>PP AL-FALAH SUMBER GAYAM KADUR PAMEKASAN</t>
  </si>
  <si>
    <t>PP. Al-Falah Sumber Gayam, Jl. Sumber Gayam No.69355, Kadur Timur, Kadur, Kec. Kadur, Kabupaten Pamekasan, Jawa Timur 69355</t>
  </si>
  <si>
    <t>KH.M. AFIFUDDHIN THOHA</t>
  </si>
  <si>
    <t>Madpasil</t>
  </si>
  <si>
    <t>alfalahsurga@gmail.com</t>
  </si>
  <si>
    <t>YAYASAN PONDOK PESANTREN AL-ILYASY</t>
  </si>
  <si>
    <t>Jln. Kh. Moh. Ilyas No. 01 Bungkak Batorasang Tambelangan Sampang</t>
  </si>
  <si>
    <t>KH. MAHALLI MAWARDI</t>
  </si>
  <si>
    <t>ACH. ZAINI</t>
  </si>
  <si>
    <t>pondokpesantrenalilyasy@gmail.com</t>
  </si>
  <si>
    <t>PP NURUL MUSTHOFA</t>
  </si>
  <si>
    <t>Pasir pengaraian RT018 RW 000, Desa candi kecamatan Tanah sepenggal kabupaten bungo provinsi Jambi</t>
  </si>
  <si>
    <t>Abuya Muhammad Fikri m.pd</t>
  </si>
  <si>
    <t>Ahmad Zamroni</t>
  </si>
  <si>
    <t>yayasanattazkiyahnurulmusthofa@gmail.com</t>
  </si>
  <si>
    <t>PP TANWIRUL QULUB</t>
  </si>
  <si>
    <t>Dusun duwe' pote desa Dempo timur kecamatan pasean kabupaten Pamekasan</t>
  </si>
  <si>
    <t>K.SUBAIRI SHOLEH MARDIYAN</t>
  </si>
  <si>
    <t>M SAIFUL RIZAL</t>
  </si>
  <si>
    <t>+62 877-3514-0163</t>
  </si>
  <si>
    <t>Peta PONPES "TANWIRUL QULUB" 3J99+5W2, Duwe' Pote, Dempo Tim., Kec. Pasean, Kabupaten Pamekasan, Jawa Timur 69356</t>
  </si>
  <si>
    <t>PP NAJMUL ULUM AL-MURSYIDIYAH</t>
  </si>
  <si>
    <t>Gersik Tlokoh Kokop bangkalan</t>
  </si>
  <si>
    <t>Abuya Abd Lathif Adzim El AtiQ</t>
  </si>
  <si>
    <t>Moh Sudi Arif</t>
  </si>
  <si>
    <t>bulletin.kejoranamsik01@gmail.com</t>
  </si>
  <si>
    <t>Al-Karomah</t>
  </si>
  <si>
    <t>Talaga Ganding Sumenep</t>
  </si>
  <si>
    <t>K. Ridno Mahbubi MS</t>
  </si>
  <si>
    <t>Azizi</t>
  </si>
  <si>
    <t>alkaromahmedia712@gmail.com</t>
  </si>
  <si>
    <t>PP. Nasy’atul Muta’allimin</t>
  </si>
  <si>
    <t>Gapura timur Gapura Sumenep</t>
  </si>
  <si>
    <t>K. A Dardiri Zubairi</t>
  </si>
  <si>
    <t>Ahmad Rayhan</t>
  </si>
  <si>
    <t>085932412717</t>
  </si>
  <si>
    <t>3 Orang</t>
  </si>
  <si>
    <t>Pondok Pesantren Yanbu'ul Hikmah</t>
  </si>
  <si>
    <t xml:space="preserve">Desa Langkap Barat Burneh Bangkalan </t>
  </si>
  <si>
    <t>KH. Muhammad Anis Ismail Djauhari</t>
  </si>
  <si>
    <t xml:space="preserve">Ahmad Yulianto S. Pd. </t>
  </si>
  <si>
    <t>+62 857-0486-7920</t>
  </si>
  <si>
    <t>Yanbuulhikmahtv@gmail.com</t>
  </si>
  <si>
    <t>Ada 5</t>
  </si>
  <si>
    <t xml:space="preserve">Pondok Pesantren Gunung Sari </t>
  </si>
  <si>
    <t xml:space="preserve">Yayasan Nurul Yaqin Gunung Sari </t>
  </si>
  <si>
    <t xml:space="preserve">Kh. Kholil Muhammad </t>
  </si>
  <si>
    <t>Firdaus Bru'i</t>
  </si>
  <si>
    <t>085943644085</t>
  </si>
  <si>
    <t>ppgunungs@gmail.com</t>
  </si>
  <si>
    <t>PONDOK PESANTREN DARUT THAYYIBAH</t>
  </si>
  <si>
    <t>Legung Timur, Batang-Batang, Sumenep</t>
  </si>
  <si>
    <t>NYI. HJ. THOYYIBAH BAYDAWI</t>
  </si>
  <si>
    <t xml:space="preserve">Ahmad Bashori </t>
  </si>
  <si>
    <t>081249490167</t>
  </si>
  <si>
    <t>yayasandarutthoyyibah@gmail.com</t>
  </si>
  <si>
    <t>Pondok Pesantren Al Hikmah Darussalam</t>
  </si>
  <si>
    <t>Tepa'nah Barat Burjan Kokop Bangkalan</t>
  </si>
  <si>
    <t>KH. MUKHTAR SYAFAAR ABDURRAHMAN</t>
  </si>
  <si>
    <t>Subeidi</t>
  </si>
  <si>
    <t>083869443756</t>
  </si>
  <si>
    <t>pp. alhikmahdarussalam@gmail.com</t>
  </si>
  <si>
    <t xml:space="preserve">DUBAJA ISLAMIC BOARDING SCHOOL </t>
  </si>
  <si>
    <t xml:space="preserve">BUJUR TENGAH BATUMARMAR PAMEKASAN MADURA JAWA TIMUR </t>
  </si>
  <si>
    <t>K.ABDUSSALAM .S.Pd.I</t>
  </si>
  <si>
    <t xml:space="preserve">ANWAR MUSADDAD </t>
  </si>
  <si>
    <t>085608626043</t>
  </si>
  <si>
    <t>Dubajatv@gmail.com</t>
  </si>
  <si>
    <t xml:space="preserve">Pondok Pesantren Bustanul Arifin </t>
  </si>
  <si>
    <t>Jl. KH. Moh. Fakhri km 01 Luk Guluk Tramok Kokop Bangkalan</t>
  </si>
  <si>
    <t>KH. Abd. Aziz Ahmad Sahli</t>
  </si>
  <si>
    <t>Halimatus Sa'diyah</t>
  </si>
  <si>
    <t>085859736850</t>
  </si>
  <si>
    <t>PP. Hidayatut Thalibin</t>
  </si>
  <si>
    <t>Rembang, Pragaan daya, Pragaan, Sumenep.</t>
  </si>
  <si>
    <t>K. Naufal Mannan</t>
  </si>
  <si>
    <t>K. Atiqurahman</t>
  </si>
  <si>
    <t>085961405533</t>
  </si>
  <si>
    <t>PP Raudlatul Mutaallimin Komireh</t>
  </si>
  <si>
    <t xml:space="preserve">Olor Banyuates </t>
  </si>
  <si>
    <t>Kyai Alawi</t>
  </si>
  <si>
    <t>Shofyan mz</t>
  </si>
  <si>
    <t>083188281205</t>
  </si>
  <si>
    <t>Jl kyai Alawi Komireh olor Banyuates Sampang</t>
  </si>
  <si>
    <t>Pondok Pesantren Assyarqowiyah Poloh</t>
  </si>
  <si>
    <t>Poloh Ds. Mandung Kec. kokop Kab. Bangkalan</t>
  </si>
  <si>
    <t>KH. Abdulloh Fudholi</t>
  </si>
  <si>
    <t>Izzatul Abror</t>
  </si>
  <si>
    <t>+62 819-5298-3818</t>
  </si>
  <si>
    <t>ponpesassyarqowiyahpoloh@gmail.com</t>
  </si>
  <si>
    <t>5 orang</t>
  </si>
  <si>
    <t>AL MUTHHARI</t>
  </si>
  <si>
    <t>Desa Alaskokon Kec. Modung kab. Bangkalan</t>
  </si>
  <si>
    <t>KH. Mahali, s</t>
  </si>
  <si>
    <t>Syipaul</t>
  </si>
  <si>
    <t>087750068435</t>
  </si>
  <si>
    <t>pondokpesantrenalmuthhari@gmail.com</t>
  </si>
  <si>
    <t xml:space="preserve">PONDOK PESANTREN NURUR RAHMAN LAGGAR ANOM </t>
  </si>
  <si>
    <t xml:space="preserve">Angsanah Barat, Tlambah Kec. Karang Penang </t>
  </si>
  <si>
    <t>RKH.MUHAMMAD TOHA ASMU'I Lc, M,pd</t>
  </si>
  <si>
    <t xml:space="preserve">Muhammad Suhail </t>
  </si>
  <si>
    <t>081227032923</t>
  </si>
  <si>
    <t>pondokpesantrennururrahman@gmail.com</t>
  </si>
  <si>
    <t xml:space="preserve">PP AL-MAHMUDIYAH </t>
  </si>
  <si>
    <t xml:space="preserve">Bandungan tanggumong Sampang Madura </t>
  </si>
  <si>
    <t>DRS KH MAHMUD HUZAINI</t>
  </si>
  <si>
    <t xml:space="preserve">Moh Arifin Ilham </t>
  </si>
  <si>
    <t>087768378884</t>
  </si>
  <si>
    <t>ppalmahmudiyah@gmail.com</t>
  </si>
  <si>
    <t>Pondok Pesantren Al Kayyis</t>
  </si>
  <si>
    <t>Jl. Raya Telang Perum, Graha Trunojoyo, Telang, Kamal, Bangkalan</t>
  </si>
  <si>
    <t>Prof. Dr. H. Nizarul Alim, S.E., M.Si., Ak</t>
  </si>
  <si>
    <t>Muhammad Rifqy Qomarudin</t>
  </si>
  <si>
    <t>0895364870282</t>
  </si>
  <si>
    <t>pesmaalkayyis21@gmail.com</t>
  </si>
  <si>
    <t xml:space="preserve">Pondok Pesantren Al-Muhajirun As-Salafi Al-Kholilie </t>
  </si>
  <si>
    <t xml:space="preserve">Barat Gunung, Geger, Bangkalan, Madura </t>
  </si>
  <si>
    <t>Kh. Ismael Amin Al-kholilie</t>
  </si>
  <si>
    <t xml:space="preserve">Ii Maryam Alkhairiyah </t>
  </si>
  <si>
    <t>082257948141</t>
  </si>
  <si>
    <t>almuhajirunputri@gmail.com</t>
  </si>
  <si>
    <t>BUSTANUSSYUBBAN AL-MUSTOFA</t>
  </si>
  <si>
    <t>Paopalelaok ketapang</t>
  </si>
  <si>
    <t>KH ACH DOYYIFUL RAHMAN</t>
  </si>
  <si>
    <t>MUDARI</t>
  </si>
  <si>
    <t>085607448781</t>
  </si>
  <si>
    <t>BUSTANUSSYUBBAN</t>
  </si>
  <si>
    <t>13</t>
  </si>
  <si>
    <t>Pesantren Zainul Hasan Genggong</t>
  </si>
  <si>
    <t>Jalan Condong, PZH Genggong, Pajarakan, Probolinggo</t>
  </si>
  <si>
    <t>Kabupaten Probolinggo</t>
  </si>
  <si>
    <t>KH. Moh. Hasan Mutawakkil 'Alallah, S.H., M.M</t>
  </si>
  <si>
    <t>M Refki Adnan</t>
  </si>
  <si>
    <t>+62 813-5831-1005</t>
  </si>
  <si>
    <t>https://www.google.com/maps/place/Pesantren+Zainul+Hasan+Genggong/@-7.7903064,113.3747062,15z/data=!4m2!3m1!1s0x0:0xe84d43c739cb23e2?sa=X&amp;ved=2ahUKEwif_-Hag9H0AhUF1hoKHTPqDz8Q_BJ6BAhFEAU</t>
  </si>
  <si>
    <t>genggong.ow@gmail.com</t>
  </si>
  <si>
    <t>Salafiyah Syafi'iyah Sukorejo Situbondo</t>
  </si>
  <si>
    <t>Sukorejo Banyuputih Situbondo</t>
  </si>
  <si>
    <t>Kabupaten Situbondo</t>
  </si>
  <si>
    <t>KHR. Ach. Azaim Ibrahimy</t>
  </si>
  <si>
    <t>Syamsul A Hasan (Kabag Humas)</t>
  </si>
  <si>
    <t>Daeng Hulaidi (Infokom Iksass)</t>
  </si>
  <si>
    <t>https://www.google.com/maps/place/Salafiyah+Syafi'iyah+Sukorejo+Boarding+School/@-7.7459752,114.2754953,17z/data=!3m1!4b1!4m5!3m4!1s0x2dd124ffffffffff:0x6235489c463838d4!8m2!3d-7.7459752!4d114.277684</t>
  </si>
  <si>
    <t>sukorejo1908@gmail.com</t>
  </si>
  <si>
    <t xml:space="preserve">Pondok Pesantren Zainul Hasanain Genggong </t>
  </si>
  <si>
    <t xml:space="preserve">Jl. KH. Hasan saifourriddzal Karangbobng Pajarakan Probolinggo </t>
  </si>
  <si>
    <t>KH. Ihsanu Aunillah</t>
  </si>
  <si>
    <t xml:space="preserve">Muhammad Syafi'i </t>
  </si>
  <si>
    <t>082337687995</t>
  </si>
  <si>
    <t>Pondok Pesantren Manbaul Ulum</t>
  </si>
  <si>
    <t>Tangsil Wetan - Wonosari - Bondowoso</t>
  </si>
  <si>
    <t>Drs. Kh. Salwa Arifin</t>
  </si>
  <si>
    <t>Muhammad zamhariri</t>
  </si>
  <si>
    <t>https://maps.app.goo.gl/8nhVTizjnjFTFq3R7</t>
  </si>
  <si>
    <t>Pondok Pesantren Al-Kholiliyah Al-Mubarokah</t>
  </si>
  <si>
    <t>Pondok Al-Kholiliyah,Brani Kulon,kec.Maron,kab.Probolinggo</t>
  </si>
  <si>
    <t>KH Noor Kholis Baqier,BA</t>
  </si>
  <si>
    <t>Muheimin</t>
  </si>
  <si>
    <t>https://www.google.com/maps/place/Pondok+Pesantren+Al-Kholiliyah,+Unnamed+Road,+Ds.tengah,+Ds.tengah,+Brani+Kulon,+Maron,+Probolinggo,+Jawa+Timur+67276/@-7.8320092,113.3693051,16z/data=!4m2!3m1!1s0x2dd654fb72b1bc7f:0xf992a0c1c0eee2f2?hl=id</t>
  </si>
  <si>
    <t>pp.alkholiliyahalmubarokah@gmail.com</t>
  </si>
  <si>
    <t>Ponpes Syekh Abdul Qodir Al Jailani</t>
  </si>
  <si>
    <t>Rangkang, Kraksaan Wetan, Kraksaan, Probolinggo.</t>
  </si>
  <si>
    <t>KH. Abdul Hafidz Aminuddin</t>
  </si>
  <si>
    <t>Ahmad Yazid Bustomi</t>
  </si>
  <si>
    <t>Muhammad Saifullah Ivan</t>
  </si>
  <si>
    <t>0857-3304-2577</t>
  </si>
  <si>
    <t>0852-5733-8224</t>
  </si>
  <si>
    <t>ppsaqa21@gmail.com</t>
  </si>
  <si>
    <t>Pondok Pesantren Islamiyah Syafi'iyah</t>
  </si>
  <si>
    <t>Jl. Kotaanyar Sumberanyar Paiton Probolinggo</t>
  </si>
  <si>
    <t>KH. Ach Fauzi Imron, Lc., M.Sc.</t>
  </si>
  <si>
    <t>MISBAHUL MUNIR</t>
  </si>
  <si>
    <t>MOH. JAILANI</t>
  </si>
  <si>
    <t>Pondok Pesantren Islamiyah Syafi'iyah https://maps.app.goo.gl/JgeWFuJr7owbByEt9</t>
  </si>
  <si>
    <t>pesantrenislamiyahsyafiiyah@gmail.com</t>
  </si>
  <si>
    <t>Pondok Pesantren Nurul Qadim</t>
  </si>
  <si>
    <t>Kalikajar Kulon Paiton Probolinggo Jawa Timur</t>
  </si>
  <si>
    <t>KH. Hasan Abdul Jalal</t>
  </si>
  <si>
    <t>Muhlas Ghozi</t>
  </si>
  <si>
    <t>Ainul Hasan</t>
  </si>
  <si>
    <t>Wonorejo Maron Probolinggo</t>
  </si>
  <si>
    <t>Kh Ahsan Bahrul Ulum</t>
  </si>
  <si>
    <t>Ahmad Asadillah</t>
  </si>
  <si>
    <t>Al-Mashduqiah</t>
  </si>
  <si>
    <t>Jl. IR. H. Juanda No.370, RT.01, Kp. Arab, Patokan, Kec. Kraksaan, Kabupaten Probolinggo, Jawa Timur 67282</t>
  </si>
  <si>
    <t>KH. Dr. Mukhlisin Sa'ad, MA.</t>
  </si>
  <si>
    <t>Hasby Ilman Hafid</t>
  </si>
  <si>
    <t>YAYASAN RAUDHLATUL MUTA'ALLIMIN</t>
  </si>
  <si>
    <t xml:space="preserve">YAYASAN RAUDHLATUL MUTA'ALLIMIN </t>
  </si>
  <si>
    <t xml:space="preserve">KYAI SAHLAN SURI </t>
  </si>
  <si>
    <t>Zulfiah</t>
  </si>
  <si>
    <t>081235551639</t>
  </si>
  <si>
    <t>Muhammad Abdul Khodir</t>
  </si>
  <si>
    <t>Jln. Belakang kantor pos rt 08 rw 03 desa curah tulis kec. Tobgas kab. Probolinggo</t>
  </si>
  <si>
    <t>Kyai Muchlas Ma'sum</t>
  </si>
  <si>
    <t>085784296021</t>
  </si>
  <si>
    <t>Pondok Pesantren Zainul Anwar</t>
  </si>
  <si>
    <t>Dsn masjid Alassumur Kulon Kraksaan Probolinggo</t>
  </si>
  <si>
    <t>KH.M.HASAN ASYADZILI ABDULLAH</t>
  </si>
  <si>
    <t>Nur Aida Fitri Ayu</t>
  </si>
  <si>
    <t>082152264184</t>
  </si>
  <si>
    <t>PP. ZAISH</t>
  </si>
  <si>
    <t>PP. ZAINUL ISHLAH</t>
  </si>
  <si>
    <t>Kota Probolinggo</t>
  </si>
  <si>
    <t>Kh. Mas Imam Hakim</t>
  </si>
  <si>
    <t>Ainul Yaqin</t>
  </si>
  <si>
    <t>085335288211</t>
  </si>
  <si>
    <t>Miftahul Ulum Al-kholili</t>
  </si>
  <si>
    <t>Jl. KUA blok Masjid Baiturrahman Kedopok</t>
  </si>
  <si>
    <t>Mahful Kholili</t>
  </si>
  <si>
    <t>Dayatul Hasan</t>
  </si>
  <si>
    <t>082247862936</t>
  </si>
  <si>
    <t>Pondok Raudlatul Hasaniah 2 Pesantren Zainul Hasan Genggong</t>
  </si>
  <si>
    <t>Jl. KH. Hasan Saifourridzall Dusun Bago, Desa Karangbong barat, kecamatan Pajarakan</t>
  </si>
  <si>
    <t>KH. MOH. HASAN ZIDNI ILMAN</t>
  </si>
  <si>
    <t>Muhammad Rizki Firmansyah</t>
  </si>
  <si>
    <t>081249096315</t>
  </si>
  <si>
    <t>Lubbul Labib</t>
  </si>
  <si>
    <t>Kedungsari - Maron</t>
  </si>
  <si>
    <t>KH. Moh. mabsuthotan Mi'ad</t>
  </si>
  <si>
    <t>Muhammad Saiful Islam</t>
  </si>
  <si>
    <t>082117455282</t>
  </si>
  <si>
    <t>Salafiyah Syafiiyah Baitul Mustai'ddin</t>
  </si>
  <si>
    <t>Kiyai Sukandi Arifin MHI</t>
  </si>
  <si>
    <t>Arifa</t>
  </si>
  <si>
    <t>089520179213</t>
  </si>
  <si>
    <t>KH. Moh. Mabsuthotan Mi'ad</t>
  </si>
  <si>
    <t>PP. RIYADLUS SHOLIHIN</t>
  </si>
  <si>
    <t>KETAPANG KADEMANGAN KOTA PROBOLINGGO</t>
  </si>
  <si>
    <t>Habib Ali dan Habib Hadi Al Habsyi</t>
  </si>
  <si>
    <t>M. Sholihin</t>
  </si>
  <si>
    <t>081234555052</t>
  </si>
  <si>
    <t>Pondok Pesantren Bani Rancang</t>
  </si>
  <si>
    <t xml:space="preserve">Desa LemahKembar Kec Sumberasih kab Probolinggo </t>
  </si>
  <si>
    <t xml:space="preserve">KH. Achmad Siddiq Tardho'a </t>
  </si>
  <si>
    <t>Moch Ibnu Aqil</t>
  </si>
  <si>
    <t>085172120149</t>
  </si>
  <si>
    <t xml:space="preserve">Assyahimi Lahar Mania </t>
  </si>
  <si>
    <t xml:space="preserve">Sumberkledung Tegalsiwalan Prbolinggo </t>
  </si>
  <si>
    <t xml:space="preserve">KH.MAS HASAN MANSYUB AL HAJAT </t>
  </si>
  <si>
    <t xml:space="preserve">Moh Bahrudin </t>
  </si>
  <si>
    <t>082330852230</t>
  </si>
  <si>
    <t>Nurul Islam</t>
  </si>
  <si>
    <t>Jl.merapi no.103 Rt.08 Rw.02 Triwung lor,kec. Kademangan</t>
  </si>
  <si>
    <t>Kyai Mukhlas</t>
  </si>
  <si>
    <t>Mas fajar Almi Zarqoni</t>
  </si>
  <si>
    <t>087844054869</t>
  </si>
  <si>
    <t>Pesantren Zainul Hasan 4</t>
  </si>
  <si>
    <t>Jl raya Bromo desa Boto - lumbang - probolinggo</t>
  </si>
  <si>
    <t>Kh Hasyim Ali</t>
  </si>
  <si>
    <t>Faridatul Hasanah</t>
  </si>
  <si>
    <t>081333994515</t>
  </si>
  <si>
    <t>Jl. Dahlia Kp. Pasar Nangka RT: 02 RW: 04 Desa Jangkar Kec. Jangkar 68732</t>
  </si>
  <si>
    <t>KH. Muhammad Nurul Fadli Syamsuri</t>
  </si>
  <si>
    <t>Mohammad Hayat, S.Kom</t>
  </si>
  <si>
    <t>Ach Fahmil Furqon</t>
  </si>
  <si>
    <t>085234469154</t>
  </si>
  <si>
    <t>+62 895-2274-7168</t>
  </si>
  <si>
    <t>centermiftahululum@gamil.com</t>
  </si>
  <si>
    <t>Pondok Pesantren Nurul Jadid Wilayah Zaid Bin Tsabit</t>
  </si>
  <si>
    <t>Dusun Karang Anom, Karanganyar, Kec. Paiton, Kabupaten Probolinggo, Jawa Timur 67291</t>
  </si>
  <si>
    <t>KH. Moh. Zuhri Zaini</t>
  </si>
  <si>
    <t>M. Zahid Fahmi Robbany</t>
  </si>
  <si>
    <t>082143095275</t>
  </si>
  <si>
    <t>biktrennj.zaidbintsabit@gmail.com</t>
  </si>
  <si>
    <t xml:space="preserve">Pondok Pesantren Al-Kholiliyah Al-Mubarokah </t>
  </si>
  <si>
    <t>Desa Brani Kulon, Kec. Maron, Kab. Probolinggo, Jatim</t>
  </si>
  <si>
    <t>Kyai Ali Mabrur</t>
  </si>
  <si>
    <t xml:space="preserve">Muheimin </t>
  </si>
  <si>
    <t>085335093593</t>
  </si>
  <si>
    <t>PONDOK PESANTREN AN NUR KOTA PROBOLINGGO</t>
  </si>
  <si>
    <t>Jl. Sunan Giri No.6 Sumber Taman, Wonoasih, Kota Probolinggo</t>
  </si>
  <si>
    <t>Kyai Mahfudz Sahal</t>
  </si>
  <si>
    <t>Muhammad Naufal</t>
  </si>
  <si>
    <t>081282127660</t>
  </si>
  <si>
    <t>Ponpesan_nur@gmail.com</t>
  </si>
  <si>
    <t>Pondok Pesantren Nurul Jadid</t>
  </si>
  <si>
    <t>Jl. Kyai Haji Mun'im, Dusun Tj. Lor, Karanganyar, Kec. Paiton, Kabupaten Probolinggo, Jawa Timur 67291</t>
  </si>
  <si>
    <t xml:space="preserve">Irsyad Yusran Nashrullah </t>
  </si>
  <si>
    <t>085259447783</t>
  </si>
  <si>
    <t>Pondok pesantren Darul Mukhlashin</t>
  </si>
  <si>
    <t xml:space="preserve">Jl. Raya Tegalsiwalan Kecamatan Tegalsiwalan Kabupaten Probolinggo </t>
  </si>
  <si>
    <t>KH. Muhammad Khusnu Milad, S.T,. M.MT.</t>
  </si>
  <si>
    <t xml:space="preserve">Maulana Ishaq </t>
  </si>
  <si>
    <t>081331409329</t>
  </si>
  <si>
    <t>www.ponpesdarulmukhlashin.2004@gmail.com</t>
  </si>
  <si>
    <t>Pondok Putera Haf-sa Pesantren Zainul Hasan Genggong</t>
  </si>
  <si>
    <t>Pondok Putera Haf-sa Zainul Hasan Genggong, jalan Condong, karangbong,Krejengan, PAJARAKAN, KAB.PROBOLINGGO, JAWA TIMUR</t>
  </si>
  <si>
    <t>KH. Moh Hasan Mutawakkil Alallah</t>
  </si>
  <si>
    <t>Arfiansyah Nurdin</t>
  </si>
  <si>
    <t>Riski Arifendi. A</t>
  </si>
  <si>
    <t>+62 822‑8195‑5987</t>
  </si>
  <si>
    <t>089517691772</t>
  </si>
  <si>
    <t>Hafshaputera@gmail.com</t>
  </si>
  <si>
    <t>Pondok pesantren Nuraniyah Zainul Hasan</t>
  </si>
  <si>
    <t>Nogosaren, gading</t>
  </si>
  <si>
    <t>KH. Ahmad Taufiq</t>
  </si>
  <si>
    <t>Ahsan maliki</t>
  </si>
  <si>
    <t>PONDOK PESANTREN ADZ-DZIKRAA</t>
  </si>
  <si>
    <t>Jl. Banyuwangi No.210, Krajan, Lamongan, Kec. Arjasa, Kabupaten Situbondo, Jawa Timur 68371</t>
  </si>
  <si>
    <t>K. SULTHON ACHMAD</t>
  </si>
  <si>
    <t>Ahmed RA</t>
  </si>
  <si>
    <t>081237996279</t>
  </si>
  <si>
    <t>adzdzikraaku@gmail.com</t>
  </si>
  <si>
    <t>Pondok Pesantren Fatahillah Ibnu Nizar</t>
  </si>
  <si>
    <t>SumberKerang-Gending-Probolinggo</t>
  </si>
  <si>
    <t>K.H Ahmad Nabil Nizar</t>
  </si>
  <si>
    <t>Fatimatuz Zahro'</t>
  </si>
  <si>
    <t>082342921171</t>
  </si>
  <si>
    <t xml:space="preserve">pppfathin@gmail.com </t>
  </si>
  <si>
    <t xml:space="preserve">Zainul Hasan Genggong </t>
  </si>
  <si>
    <t xml:space="preserve">Pesantren Zainul Hasan Genggong </t>
  </si>
  <si>
    <t>KH. Moh. Hasan Mutawakkil Alallah</t>
  </si>
  <si>
    <t xml:space="preserve">PZH Genggong </t>
  </si>
  <si>
    <t>PZHGenggong.or.id</t>
  </si>
  <si>
    <t>Pimpinan Harian</t>
  </si>
  <si>
    <t>Pondok damanhuri Romly pesantren Zainul hasan genggong</t>
  </si>
  <si>
    <t>Jl.Raya condong km.3 desa karangbong, kecamatan pajarakan kabupaten Probolinggo kode pos 67281</t>
  </si>
  <si>
    <t>Gus.dr.Mohammad Haris, M.kes</t>
  </si>
  <si>
    <t>@pondokdamanhuriromly</t>
  </si>
  <si>
    <t>@damanhuriromly</t>
  </si>
  <si>
    <t>Patria darma agung</t>
  </si>
  <si>
    <t>Ketua tim media</t>
  </si>
  <si>
    <t>088994126827</t>
  </si>
  <si>
    <t>14</t>
  </si>
  <si>
    <t>PONDOK PESANTREN TAHFIDHUL QUR'AN SUNAN GIRI SURABAYA</t>
  </si>
  <si>
    <t>JL. WONOSARI TEGAL IV/37-39 KEL. WONOKUSUMO KEC. SEMAMPIR KOTA SURABAYA</t>
  </si>
  <si>
    <t>Surabaya</t>
  </si>
  <si>
    <t>KH. ABDUL AZIZ HASANAN AL-HAFIDH</t>
  </si>
  <si>
    <t>M. Syukron Mahmudi</t>
  </si>
  <si>
    <t>https://www.google.com/maps/place/Pondok+Pesantren+Tahfidhul+Qur'an+Sunan+Giri/@-7.2197923,112.7499278,17z/data=!4m19!1m13!4m12!1m4!2m2!1d112.7521215!2d-7.219762!4e1!1m6!1m2!1s0x2dd7f8fb3f39e475:0xd4c5a38efb6f9858!2spptq+sunan+giri!2m2!1d112.7520596!2d-7.2197888!3m4!1s0x2dd7f8fb3f39e475:0xd4c5a38efb6f9858!8m2!3d-7.2197888!4d112.7520596</t>
  </si>
  <si>
    <t>pptqsunangirisby@gmail.com</t>
  </si>
  <si>
    <t>Pondok Pesantren Assalafi Alfithrah</t>
  </si>
  <si>
    <t>Kedinding lor no 99 kota surabaya</t>
  </si>
  <si>
    <t>Kota Surabaya</t>
  </si>
  <si>
    <t>KH. Achmad Asrori Al Ishaqi RA</t>
  </si>
  <si>
    <t>Mujib</t>
  </si>
  <si>
    <t>mialfithrahsby@gmail.com</t>
  </si>
  <si>
    <t>MAMBAUL FALAH</t>
  </si>
  <si>
    <t>JL. KH BURHAN AL MANSUR TAMBILUNG SUKAONENG TAMBAK BAWEAN GRESIK</t>
  </si>
  <si>
    <t>Gresik</t>
  </si>
  <si>
    <t>KH. ABD. AZIZ ISMAIL</t>
  </si>
  <si>
    <t>Makki Ismail</t>
  </si>
  <si>
    <t>Dzul Karnain</t>
  </si>
  <si>
    <t>https://goo.gl/maps/tye3MqpHZjRDdsYB9</t>
  </si>
  <si>
    <t>mambaulfalahbawean@gmail.com</t>
  </si>
  <si>
    <t>Al Muniroh</t>
  </si>
  <si>
    <t>Jalan Pendidikan Pangkahwetan Ujungpangkah Gresik, Pendilwesi, Pangkah Wetan, Gresik, Kabupaten Gresik, Jawa Timur 61154</t>
  </si>
  <si>
    <t>KH. Mahmudi Ambar</t>
  </si>
  <si>
    <t>Muhammad Faizal Asqi Ardiansyah</t>
  </si>
  <si>
    <t>Wahyu Hidayat</t>
  </si>
  <si>
    <t xml:space="preserve">+62 896-6728-8909
</t>
  </si>
  <si>
    <t>https://maps.app.goo.gl/wSeGKaATucf3Sxrz8</t>
  </si>
  <si>
    <t>haula.almuniroh@gmail.com</t>
  </si>
  <si>
    <t>Pondok Pesantren Qomaruddin</t>
  </si>
  <si>
    <t>Sampurnan, Bungah, Gresik</t>
  </si>
  <si>
    <t>K.H. Moh. Iklil Sholih, M.Pd.I.</t>
  </si>
  <si>
    <t>Ahmad Imron Rizaldy</t>
  </si>
  <si>
    <t>Moh Muffid Muwaffaq</t>
  </si>
  <si>
    <t xml:space="preserve">+62 859-6401-2204
</t>
  </si>
  <si>
    <t xml:space="preserve">+62 858-5222-2398
</t>
  </si>
  <si>
    <t>https://g.page/ppqomaruddin?share</t>
  </si>
  <si>
    <t>qomaruddinweb@gmail.com</t>
  </si>
  <si>
    <t>PONDOK PESANTREN AL-FURQON</t>
  </si>
  <si>
    <t>Jl. Kyai Abdurrohim No 01 RT 12 RW 04 Wedoroanom Driyorejo Gresik</t>
  </si>
  <si>
    <t>Kyai Mashuri Abdurrohim</t>
  </si>
  <si>
    <t>Mujiburrohman</t>
  </si>
  <si>
    <t>Rizki Wahyu</t>
  </si>
  <si>
    <t>https://maps.app.goo.gl/yHUH58be2YmjZEfX7</t>
  </si>
  <si>
    <t>alfurqondriyorejo123@gmail.com</t>
  </si>
  <si>
    <t>Pondok Pesantren Al-Jihad Surabaya</t>
  </si>
  <si>
    <t>Jl. Jemursari Utara III No.9, Jemur Wonosari, Kec. Wonocolo, Surabaya, Jawa Timur 60237</t>
  </si>
  <si>
    <t>KH. Moch Imam Chambali</t>
  </si>
  <si>
    <t>Ahmad Nashikhul Huda</t>
  </si>
  <si>
    <t>085850894932</t>
  </si>
  <si>
    <t>medinfoaljihad@gmail.com</t>
  </si>
  <si>
    <t>Pondok Pesantren Hasan Jufri</t>
  </si>
  <si>
    <t>Kebunagung Lebak Sangkapura Bawean</t>
  </si>
  <si>
    <t>K. Moh Najahul Umam</t>
  </si>
  <si>
    <t>Abdul Wahab</t>
  </si>
  <si>
    <t>Eky Arisandy</t>
  </si>
  <si>
    <t>https://maps.app.goo.gl/xVSKkX6s3nk3kb8S8</t>
  </si>
  <si>
    <t>hasrimultimedia@gmail.com</t>
  </si>
  <si>
    <t xml:space="preserve">Pondok Pesantren Salaf Al Muhibbin </t>
  </si>
  <si>
    <t>Tambak langon 1/18 RT 01 RW 06 Kelurahan Tambak sarioso kecamatan Asemrowo surabaya</t>
  </si>
  <si>
    <t>KH MAS MUCHAMMAD ALI DJA'FAR NUR</t>
  </si>
  <si>
    <t>Mas andy</t>
  </si>
  <si>
    <t>087887906454</t>
  </si>
  <si>
    <t xml:space="preserve">SHAFTA </t>
  </si>
  <si>
    <t>Jalan Raya Lontar no 177a - 179 Surabaya</t>
  </si>
  <si>
    <t xml:space="preserve">Alm KH Abdul Mu'id, Bu Nyai HJ Chusnul Winayati, Ning Ida Mufidah, Gus Abdul Wahid Alfaizin, Gus Ahmad Nashruddin, </t>
  </si>
  <si>
    <t>DINA ALJUFRI</t>
  </si>
  <si>
    <t>08113217700</t>
  </si>
  <si>
    <t>Pondok Pesantren Manba'ul Falah</t>
  </si>
  <si>
    <t xml:space="preserve">Rungkut Menanggal III/7A </t>
  </si>
  <si>
    <t>KH. M. Ali Maghfur Syadzili Iskandar, S. pd.I</t>
  </si>
  <si>
    <t>Rizky ardian</t>
  </si>
  <si>
    <t>08999328191</t>
  </si>
  <si>
    <t xml:space="preserve">PONDOK PESANTREN AL-MIFTAH </t>
  </si>
  <si>
    <t xml:space="preserve">Jl. Randuagung, Mojopurowetan, Bungah </t>
  </si>
  <si>
    <t>Kabupaten Gresik</t>
  </si>
  <si>
    <t>KH. MUHAMMAD ZAINURI</t>
  </si>
  <si>
    <t>ACHMAD CHOIRUN NAZILI</t>
  </si>
  <si>
    <t>088215274636</t>
  </si>
  <si>
    <t>Pondok Tahsinul Akhlaq Bahrul Ulum</t>
  </si>
  <si>
    <t>Jl. Rangkah Buntu 8-9A</t>
  </si>
  <si>
    <t>KH. Abdul Ghani</t>
  </si>
  <si>
    <t>Sulthon karim</t>
  </si>
  <si>
    <t>083849252698</t>
  </si>
  <si>
    <t xml:space="preserve">YLPI BANI HASYIM </t>
  </si>
  <si>
    <t>JL. BANI HASYIM NO. 1-9 DESA LENGKONG KECAMATAN CERME KABUPATEN GRESIK</t>
  </si>
  <si>
    <t>KH makhrus huda</t>
  </si>
  <si>
    <t>Ahmad fauzi</t>
  </si>
  <si>
    <t>085731650948</t>
  </si>
  <si>
    <t>Pondok Pesantren Assyafiiyah</t>
  </si>
  <si>
    <t>Jl Nongko kerep Rt1 Rw 4 Bungah Gresik Jawa Timur</t>
  </si>
  <si>
    <t>Kyai M.Nasih ali</t>
  </si>
  <si>
    <t>M Lukman al khakim</t>
  </si>
  <si>
    <t>085784166540</t>
  </si>
  <si>
    <t>Pondok Pesantren daruttaqwa 3</t>
  </si>
  <si>
    <t>Jln kh syafi i no 30 b bunder dahan rejo kebomas gresik</t>
  </si>
  <si>
    <t>KH. Ainul Muttaqin</t>
  </si>
  <si>
    <t>Ahmad zaky azkyak</t>
  </si>
  <si>
    <t>081917980427</t>
  </si>
  <si>
    <t xml:space="preserve">Pondok Pesantren Modern Al-Azhar </t>
  </si>
  <si>
    <t>Jl.Syehk Al Ayubi Ds.Boteng Kec.Menganti Kab.Gresik Prov.Jawa timur</t>
  </si>
  <si>
    <t>KH.IMAM BUKHORI AL-HAFIDZ</t>
  </si>
  <si>
    <t xml:space="preserve">Ahmad Firdaus </t>
  </si>
  <si>
    <t>085850756172</t>
  </si>
  <si>
    <t xml:space="preserve">Pesantren Mahasiswa Al-Iqbal </t>
  </si>
  <si>
    <t>Jl. Medokan asri utara IV, Perum YKP MA 3 Blok A No.2 -Medokan Ayu-Rungkut-Surabaya 60295</t>
  </si>
  <si>
    <t>Ustad Novianto Puji Raharjo S.Kom M.I.Kom</t>
  </si>
  <si>
    <t>Resya Dipa Jati Kusuma</t>
  </si>
  <si>
    <t>081330819477</t>
  </si>
  <si>
    <t>PONDOK PESANTREN AL QONA'AH</t>
  </si>
  <si>
    <t>Jl. Rantau Gg. Masjid No 1 GKB Sukomulyo manyar Gresik Jawa Timur</t>
  </si>
  <si>
    <t>AGUS UBAIDILLAH AMIN</t>
  </si>
  <si>
    <t>MUHAMMAD ROBBISH THOVANI</t>
  </si>
  <si>
    <t>089637666580</t>
  </si>
  <si>
    <t>PESANTREN MODERN AS-SHOLIHIN</t>
  </si>
  <si>
    <t>JL.Arif Rahman Hakim, Keputih Gg.3 No.52 Sukolilo Surabaya</t>
  </si>
  <si>
    <t>Kh Nurul Akromin S.E</t>
  </si>
  <si>
    <t>Cak Hakim</t>
  </si>
  <si>
    <t>081232690808</t>
  </si>
  <si>
    <t xml:space="preserve">Pondok Pesantren Modern Sunanul Muhtadin </t>
  </si>
  <si>
    <t>Komplek PPM Sunanul Muhtadin, Kertosono, Kec. Sidayu, Kabupaten Gresik, Jawa Timur 61153</t>
  </si>
  <si>
    <t>KH Sunan Hamli</t>
  </si>
  <si>
    <t>Elka Nur Hasniah</t>
  </si>
  <si>
    <t>081335253753</t>
  </si>
  <si>
    <t xml:space="preserve">creatismmedia@gmail.com </t>
  </si>
  <si>
    <t xml:space="preserve">Pondok Pesantren Langgar Anyar Media </t>
  </si>
  <si>
    <t xml:space="preserve">Bulak banteng baru gang tanjung 1 no 37 </t>
  </si>
  <si>
    <t xml:space="preserve">Kh fauzan hannan </t>
  </si>
  <si>
    <t>0818832408</t>
  </si>
  <si>
    <t>sultonchun189@gmail.com</t>
  </si>
  <si>
    <t xml:space="preserve">Pondok Pesantren Modern Al Azhar </t>
  </si>
  <si>
    <t xml:space="preserve">Jl. Raya Cerme Kidul No. 46 Rt. 03 Rw 06 Kec. Cerme Gresik </t>
  </si>
  <si>
    <t>KH Imam Bukhori AH AA MBA</t>
  </si>
  <si>
    <t>Asyrafiyah K.</t>
  </si>
  <si>
    <t>085890222616</t>
  </si>
  <si>
    <t>Pondok Pesantren Modern Al Azhar Putri</t>
  </si>
  <si>
    <t>Jl. Syaikh Al Ayyuby No. 10 Kecipik Boteng Menganti</t>
  </si>
  <si>
    <t>Prof. Dr. KH. Imam Bukhari Al Hafidz</t>
  </si>
  <si>
    <t>Alda Nikmatus Sholikha</t>
  </si>
  <si>
    <t>083833965669</t>
  </si>
  <si>
    <t>aldatz0510@gmail.com</t>
  </si>
  <si>
    <t>Jl Lidah Wetan gg.5 no.17A Lakarsantri Surabaya</t>
  </si>
  <si>
    <t xml:space="preserve">M Rizal Fanani </t>
  </si>
  <si>
    <t>Pondok Pesantren Nurul Khalil</t>
  </si>
  <si>
    <t>Dusun Kalimalang Desa Daun Kec. Sangkapura Pulau Bawean</t>
  </si>
  <si>
    <t>Fakhrurrozi</t>
  </si>
  <si>
    <t>Alvin Gufran</t>
  </si>
  <si>
    <t>081357689975</t>
  </si>
  <si>
    <t>yayasannurulkhalil@gmail.com</t>
  </si>
  <si>
    <t>Pondok Pesantren Assalafi Al Fithrah Khusus Anak-Anak (Putra)</t>
  </si>
  <si>
    <t>Jl. Kedinding Lor 99 Surabaya</t>
  </si>
  <si>
    <t>KH. Achmad Asrori Al Ishaqy</t>
  </si>
  <si>
    <t>Muhammad Sirojuddin</t>
  </si>
  <si>
    <t>081333324383</t>
  </si>
  <si>
    <t>Ponpes Ushulul Hikmah Al-ibrohimi</t>
  </si>
  <si>
    <t>Jl.pp alibrohimi 40/01</t>
  </si>
  <si>
    <t>KH Ali Wafa Chusnan, KH Ali Fathomi Lc.Mh</t>
  </si>
  <si>
    <t>Nur kholilah</t>
  </si>
  <si>
    <t>ppuhalibrohimi.putra@gmail.com</t>
  </si>
  <si>
    <t>PPTQ Al Munawwaroh</t>
  </si>
  <si>
    <t>Jl. Masjid Jami' Kyai Gede Bungah RT 16 RW 06 Bungah Gresik</t>
  </si>
  <si>
    <t>Gus Muhammad Iqbal Abadi, SQ,. S.Hi</t>
  </si>
  <si>
    <t>Nailatur Rizqiyyah</t>
  </si>
  <si>
    <t>almunawwaroh.bungah@gmail.com</t>
  </si>
  <si>
    <t>Pondok Pesantren Al Harun</t>
  </si>
  <si>
    <t>JI. Makam mbah solih tsani, RT.13/RW.5, sampurnan, Kec. Bungah, Kabupaten Gresik</t>
  </si>
  <si>
    <t>Kiai Ahmad Musaddad Adib</t>
  </si>
  <si>
    <t>Moh. Faiq Hubbil Maula</t>
  </si>
  <si>
    <t>0819 3844 3790</t>
  </si>
  <si>
    <t>Ponpesalharun000@gmail.com</t>
  </si>
  <si>
    <t>Pesantren Tilawatil Qur'an Al-Maghfur</t>
  </si>
  <si>
    <t>Jl. Sarijaya 02 RT.02 RW.05 Sekapuk Ujungpangkah</t>
  </si>
  <si>
    <t>Hj. Nur Khairiyah</t>
  </si>
  <si>
    <t>Mufidatul Hidayati</t>
  </si>
  <si>
    <t>almaghfursekapuk@gmail.com</t>
  </si>
  <si>
    <t>Padepokan Santri Embong</t>
  </si>
  <si>
    <t>Jl. kapten dulasim gang 11 E Rt 04 Rw 01, Desa Kramatinggil, Kecamatan Gresik , Kabupaten Gresik</t>
  </si>
  <si>
    <t>Maulana Machmud Zulqornein</t>
  </si>
  <si>
    <t>Jihan Elim</t>
  </si>
  <si>
    <t>Pondok Pesantren Manbaul Ihsan</t>
  </si>
  <si>
    <t>Mojopurogede Bungah Gresik</t>
  </si>
  <si>
    <t>KH. Ahmad Suroto, S.Ag., M.Pd.I.</t>
  </si>
  <si>
    <t>Moh. Alfan Fadhli Robby</t>
  </si>
  <si>
    <t>manbaulihsan84@gmail.com</t>
  </si>
  <si>
    <t>Ponpes Daruttaqwa Gresik</t>
  </si>
  <si>
    <t>Jl. Kh. Syafi'i Suci Manyar Gresik</t>
  </si>
  <si>
    <t>Kh. Nur Moh. Kholil Tanthowi</t>
  </si>
  <si>
    <t>Muh. Arifuddin Niti Al Islami</t>
  </si>
  <si>
    <t>Multimediadt@gmail.com</t>
  </si>
  <si>
    <t>Ponpes Modern Sunanul Muhtadin</t>
  </si>
  <si>
    <t>Dusun Sidorukun, RT 012 RW 005, Desa Kertosono, Kec. Sidayu, Kab. Gresik</t>
  </si>
  <si>
    <t>KH. M. Sunan Hamli</t>
  </si>
  <si>
    <t>Moh Rifqi Firdaus</t>
  </si>
  <si>
    <t>Erwin</t>
  </si>
  <si>
    <t>089519669800</t>
  </si>
  <si>
    <t>ysqsunanulmuhtadin@gmail.com</t>
  </si>
  <si>
    <t>pondok pesantren Al Anwar</t>
  </si>
  <si>
    <t>ponpes Al Anwar RT 5 RW 3 Abar abir bungah gresik</t>
  </si>
  <si>
    <t>KH. Fatkhan anwari</t>
  </si>
  <si>
    <t>Khusnul Ika febri</t>
  </si>
  <si>
    <t>alanwarabarabir@gmail.com</t>
  </si>
  <si>
    <t>PP. Robithotul Ashfiya'</t>
  </si>
  <si>
    <t>Jl. Sunan Derajat No. 42 Sidokumpul Bungah</t>
  </si>
  <si>
    <t>K. H. Muhammad Nur Idris</t>
  </si>
  <si>
    <t>Khoridatul Bahiyyah</t>
  </si>
  <si>
    <t>robithotulashfiya76@gmail.com</t>
  </si>
  <si>
    <t>Pondok Pesantren Mambaus Sholihin</t>
  </si>
  <si>
    <t>Jl. KH. Syafi’i no.7 Desa Suci Kecamatan Manyar Kabupaten Gresik</t>
  </si>
  <si>
    <t>KH. Masbuhin Faqih</t>
  </si>
  <si>
    <t>Ahmad Ardian Zuheri</t>
  </si>
  <si>
    <t>ppms.suci@gmail.com</t>
  </si>
  <si>
    <t>Pondok pesantren bumi aswaja</t>
  </si>
  <si>
    <t>Wonokerto kec. Dukun kab. Gresik</t>
  </si>
  <si>
    <t>DRS A. IRSYADUL IBAD ZAR MM</t>
  </si>
  <si>
    <t>Alis mujianto</t>
  </si>
  <si>
    <t>Asadhulsiass@gmail.com</t>
  </si>
  <si>
    <t>Pondok Pesantren Sunan Drajat III</t>
  </si>
  <si>
    <t>Jl. Pendidikan rt 12 rw 04, dusun Sidomulyo, desa Babakbawo, kec. Dukun, kab. Gresik, Prov. Jawa Timur</t>
  </si>
  <si>
    <t>KH. Roudlon Abdul Azuz</t>
  </si>
  <si>
    <t>Miftahun Ni'mah</t>
  </si>
  <si>
    <t>Pondok Pesantren Tarbiyatut Tholabah</t>
  </si>
  <si>
    <t>Kranji Paciran Lamongan</t>
  </si>
  <si>
    <t>KH. M. Sahlul Khuluq</t>
  </si>
  <si>
    <t>Pondok Pesantren Islam At-tauhid Surabaya</t>
  </si>
  <si>
    <t>Jl. Sidoresmo dalam 2 nomer 37 Surabaya</t>
  </si>
  <si>
    <t>KH. Mansur Tholhah</t>
  </si>
  <si>
    <t>Ahmad Farhan Fiddaroini</t>
  </si>
  <si>
    <t>081333975669</t>
  </si>
  <si>
    <t>Attauhidmedia8@gmail.com</t>
  </si>
  <si>
    <t>Dsn. Pagerwojo RT01/RW15, Ds. Jerukseger, Kec. Gedeg, Kab. Mojokerto Jawa Timur 61351</t>
  </si>
  <si>
    <t>Pondok Pesantren Al Harun
https://youtube.com/@ponpes.alharun?si=_VJz8TGubVlbjMFh</t>
  </si>
  <si>
    <t>ponpes.alharun</t>
  </si>
  <si>
    <t>@ponpes.alharun</t>
  </si>
  <si>
    <t>Satrio (Ketua Multimedia), Moh. Faiq Hubbil Maula (Anggota), Nabil Putra Efredi (Anggota), Muhib (Anggota, Arza (Anggota)</t>
  </si>
  <si>
    <t>mohfaiq44@gmail.co</t>
  </si>
  <si>
    <t>PONDOK PESANTREN DARUSSALAM KEPUTIH SURABAYA</t>
  </si>
  <si>
    <t>Jl. Arief Rahman Hakim No.9 Kelurahan Keputih Kecamatan Sukolilo Kota Surabaya Jawa Timur 60111</t>
  </si>
  <si>
    <t>Prof. Dr. Ibu Nyai Hj. Zumrotul Mukaffa, M.Ag (Ketua Yayasan) dan KH. Achmad Arsyad Arif (Dewan Pengasuh)</t>
  </si>
  <si>
    <t>PP Darussalam Keputih</t>
  </si>
  <si>
    <t>darussalam keputih</t>
  </si>
  <si>
    <t>santridarussalam</t>
  </si>
  <si>
    <t>pondok_keputih</t>
  </si>
  <si>
    <t>www.darussalamkeputih.com</t>
  </si>
  <si>
    <t>(belum punya)</t>
  </si>
  <si>
    <t>UKASYAH MUHAMMAD</t>
  </si>
  <si>
    <t>Penanggung Jawab Media (Ndalem)</t>
  </si>
  <si>
    <t>081233484766</t>
  </si>
  <si>
    <t>insandarussalam@gmail.com</t>
  </si>
  <si>
    <t>Darul ihsan</t>
  </si>
  <si>
    <t>Menganti - gresik</t>
  </si>
  <si>
    <t>Dr. KH mulyadi Mm</t>
  </si>
  <si>
    <t xml:space="preserve">Darulihsanofficial. </t>
  </si>
  <si>
    <t>Darulihsanofficial</t>
  </si>
  <si>
    <t>Maalazhar/mtsalazhar</t>
  </si>
  <si>
    <t>Santrippdi</t>
  </si>
  <si>
    <t>Ahmad shokibul yamin</t>
  </si>
  <si>
    <t>0895805036550</t>
  </si>
  <si>
    <t>0 *</t>
  </si>
  <si>
    <t>https://maps.app.goo.gl/7bswzqs1QCcZCDKM6</t>
  </si>
  <si>
    <t xml:space="preserve">Pondok pesantren Al Amin </t>
  </si>
  <si>
    <t>Jl makam dalem Manyarejo Manyar gresik</t>
  </si>
  <si>
    <t>K.H Muhammad Syifa. L.c</t>
  </si>
  <si>
    <t>Ponpes al amin manyar gresik</t>
  </si>
  <si>
    <t>Ponpes_al_amin</t>
  </si>
  <si>
    <t>Ponpesalaminmanyar</t>
  </si>
  <si>
    <t>Rizal perdana</t>
  </si>
  <si>
    <t>Pengurus pondok</t>
  </si>
  <si>
    <t>087787558546</t>
  </si>
  <si>
    <t>Ponpesalamin21@gmail.com</t>
  </si>
  <si>
    <t xml:space="preserve">PP Mambaus Sholihin </t>
  </si>
  <si>
    <t>VJ42+643, Jl. Kyai H. Syafiꞌi No.07, Suci, Kec. Manyar, Kabupaten Gresik, Jawa Timur 61151</t>
  </si>
  <si>
    <t xml:space="preserve">KH MASBUHIN FAQIH </t>
  </si>
  <si>
    <t>alfikrah channel</t>
  </si>
  <si>
    <t>Majalah Al fikrah MBS</t>
  </si>
  <si>
    <t>alfikrah.mbs</t>
  </si>
  <si>
    <t xml:space="preserve">Al Fikrah Mambaus Sholihin </t>
  </si>
  <si>
    <t xml:space="preserve">Muhammad Ridwan </t>
  </si>
  <si>
    <t xml:space="preserve">Photographer </t>
  </si>
  <si>
    <t>082146790759</t>
  </si>
  <si>
    <t>Ponpes Annur</t>
  </si>
  <si>
    <t>Jl. Darut Taqwa No 01 RT 24 RW 07 Sidorejo Campurejo Panceng Gresik</t>
  </si>
  <si>
    <t>Didik Syarifuddin</t>
  </si>
  <si>
    <t>Pesantren Annur</t>
  </si>
  <si>
    <t>annurpedia</t>
  </si>
  <si>
    <t>https://pesantrenannur.com/</t>
  </si>
  <si>
    <t>Ulul</t>
  </si>
  <si>
    <t>Multimedia 1</t>
  </si>
  <si>
    <t>+62 856-0460-7611</t>
  </si>
  <si>
    <t>ponpes.annur.pa@gmail.com</t>
  </si>
  <si>
    <t>Annur</t>
  </si>
  <si>
    <t xml:space="preserve">Jl. Darut Taqwa No.01 RT 24 RW 07 Sidorejo Campurejo Panceng Gresik </t>
  </si>
  <si>
    <t xml:space="preserve">Ust. Didik Syarifuddin </t>
  </si>
  <si>
    <t xml:space="preserve">Pesantren Annur </t>
  </si>
  <si>
    <t>Annur Pedia</t>
  </si>
  <si>
    <t>www.pesantrenannur.com</t>
  </si>
  <si>
    <t>Zidan Tsalitsu Ulul Azmi</t>
  </si>
  <si>
    <t>085604607611</t>
  </si>
  <si>
    <t>ponpes.annur.pa@.com</t>
  </si>
  <si>
    <t>15</t>
  </si>
  <si>
    <t>Pesantren Progresif Bumi Shalawat</t>
  </si>
  <si>
    <t>Jl. Kyai Dasuki No. 1, Lebo, Sidoarjo, Kab. Sidoarjo</t>
  </si>
  <si>
    <t>Sidoarjo</t>
  </si>
  <si>
    <t>KH. Agoes Ali Masyhuri</t>
  </si>
  <si>
    <t>Nafis Azizi Riza</t>
  </si>
  <si>
    <t>Ahmad Daffa K. F.</t>
  </si>
  <si>
    <t>https://www.google.com/maps/place/Sekolah+Progresif+Bumi+Shalawat/@-7.450984,112.6622843,17z/data=!3m1!4b1!4m5!3m4!1s0x2dd7e10b4a9c4e55:0x8b0dd9bf801cde43!8m2!3d-7.450984!4d112.664473</t>
  </si>
  <si>
    <t>tvprogresif@gmail.com</t>
  </si>
  <si>
    <t>Pondok Pesantren Darul Karomah Mandaran Rejo Kota Pasuruan</t>
  </si>
  <si>
    <t>Jl. Letjen Sutoyo No. 41 Mandaran Rejo Kecamatan Panggung Rejo Kota Pasuruan</t>
  </si>
  <si>
    <t>Kota Pasuruan</t>
  </si>
  <si>
    <t>KH. Musta'in Hamid</t>
  </si>
  <si>
    <t>Amirul Izzul Haq, S.E</t>
  </si>
  <si>
    <t>M. Sulaiman, S.Pd</t>
  </si>
  <si>
    <t>https://www.google.com/maps/place/SMP+Islam+Darul+Karomah/@-7.6370169,112.9175036,17z/data=!3m1!4b1!4m5!3m4!1s0x510067393a9a199:0xb29fa04415592a6b!8m2!3d-7.6370169!4d112.9196923</t>
  </si>
  <si>
    <t>pdk_pasuruan14@gmail.com</t>
  </si>
  <si>
    <t>Pondok Pesantren Ngalah</t>
  </si>
  <si>
    <t>Jl. Pesantren Ngalah Sengonagung Purwosari Pasuruan</t>
  </si>
  <si>
    <t>Kab. Pasuruan</t>
  </si>
  <si>
    <t>Romo KH. Sholeh Bahruddin</t>
  </si>
  <si>
    <t>Alfin Ramadhani</t>
  </si>
  <si>
    <t>Choirul Anam</t>
  </si>
  <si>
    <t>Pondok Pesantren Al Hidayah As Shomadiyah</t>
  </si>
  <si>
    <t>Jl. Pesantren No 32 A Glagahsari Sukorejo Pasuruan Jawa Timur</t>
  </si>
  <si>
    <t>Kh. Mudjtaba Abdoesshomad</t>
  </si>
  <si>
    <t>Achmad Mujib</t>
  </si>
  <si>
    <t>https://goo.gl/maps/RtHMHmFdbfwLoQrm7</t>
  </si>
  <si>
    <t>alhidayahashomadiyah@gmail.com</t>
  </si>
  <si>
    <t>Pondok Pesantren Salafiyah</t>
  </si>
  <si>
    <t>Jln. Kh. Abd. Hamid gg 8 no 14 Kebonsari Panggungrejo kota Pasuruan</t>
  </si>
  <si>
    <t>KH. M. Idris Hamid</t>
  </si>
  <si>
    <t>Ahmad Sulaiman</t>
  </si>
  <si>
    <t>https://maps.app.goo.gl/WniMDiBrsGDfQunH8</t>
  </si>
  <si>
    <t>Pondok Pesantren Darul Karomah Gunung Jati</t>
  </si>
  <si>
    <t>Jl. Kramat Dusun Pejawan RT 004 RW 004 Desa Gerongan Kecamatan Kraton Kabupaten Pasuruan Jawa Timur</t>
  </si>
  <si>
    <t>KH. NUR SALIM MUNIF</t>
  </si>
  <si>
    <t>Gus Abd. Wahid Tirtonegoro</t>
  </si>
  <si>
    <t>H. Muhammad Hasan Amak</t>
  </si>
  <si>
    <t>https://www.google.co.id/maps/place/Pondok+Pesantren+Darul+Karomah+Gunung+Jati/@-7.6133834,112.8558751,17z/data=!4m5!3m4!1s0x2dd7c4581041a3f3:0xf9ca4f403c43c94d!8m2!3d-7.613066!4d112.8590707?hl=id</t>
  </si>
  <si>
    <t>ppdkgunungjati@yahoo.co.id</t>
  </si>
  <si>
    <t>Pondok Pesantren Terpadu Al-Yasini Pasuruan</t>
  </si>
  <si>
    <t>Areng-areng Sambisirah Wonorejo - Ngabar Kraton Pasuruan Jawa Timur</t>
  </si>
  <si>
    <t>KH. A. Mujib Imron, SH., MH.</t>
  </si>
  <si>
    <t>Chusni Kholilurrohman</t>
  </si>
  <si>
    <t>M. SIFAN ALI</t>
  </si>
  <si>
    <t>081251424997</t>
  </si>
  <si>
    <t>https://maps.app.goo.gl/eikw8TkavxdwCV527</t>
  </si>
  <si>
    <t>ppt.alyasini@gmail.com</t>
  </si>
  <si>
    <t>Pondok Pesantren Kramat</t>
  </si>
  <si>
    <t>Jl. Raya Kramat, Pejawan, Gerongan, Kec. Kraton, Pasuruan, Jawa Timur 67151</t>
  </si>
  <si>
    <t>Kh Atho'ulloh as'ad</t>
  </si>
  <si>
    <t>Abdul Basid</t>
  </si>
  <si>
    <t>Gus Khowarizmi</t>
  </si>
  <si>
    <t>085733039813</t>
  </si>
  <si>
    <t>0823-3133-5559</t>
  </si>
  <si>
    <t>https://maps.app.goo.gl/ztER3qWX28YYNhxx7</t>
  </si>
  <si>
    <t>Pondokpesantrenkramat313@gmail.com</t>
  </si>
  <si>
    <t>Pondok Pesantren Assholach Kejeron</t>
  </si>
  <si>
    <t>Jln.Pesantren Kejeron dsn.Podokaton desa Bayeman kec.Gondangwetan Kab.Pasuruan</t>
  </si>
  <si>
    <t>Gus Ali Fikri</t>
  </si>
  <si>
    <t>Mu'allim</t>
  </si>
  <si>
    <t>Pondok Pesantren Darussalamah Krian</t>
  </si>
  <si>
    <t>Jl. Kyai Mojo 10 Jeruk Gamping Krian Sidoarjo</t>
  </si>
  <si>
    <t>Romo KH. Mustafid Munawwir</t>
  </si>
  <si>
    <t>Jaya Wibowo</t>
  </si>
  <si>
    <t>https://www.google.com/maps/place/Pondok+Pesantren+a+Krian/@-7.4147082,112.5806486,17z/data=!3m1!4b1!4m5!3m4!1s0x2e7809a2c33a3107:0x2a45b6bdcc397a3a!8m2!3d-7.4147135!4d112.5828373</t>
  </si>
  <si>
    <t>ds.krian@gmail.com</t>
  </si>
  <si>
    <t>Podok Pesantren Darul Karomah Gunung Jati</t>
  </si>
  <si>
    <t>kramat kraton pasuruan</t>
  </si>
  <si>
    <t>Pasuruan</t>
  </si>
  <si>
    <t>KH.Hidayatulloh Munif</t>
  </si>
  <si>
    <t>Gaffar</t>
  </si>
  <si>
    <t>dimas</t>
  </si>
  <si>
    <t>https://www.google.co.id/maps/place/Wico+ponpes+gunung+jati+Pasuruan/@-7.6133367,112.8583533,18.5z/data=!4m5!3m4!1s0x2dd7c5c8e4147d0d:0xddc0b01bff95a331!8m2!3d-7.6130839!4d112.8591129</t>
  </si>
  <si>
    <t>nareswarikarenina@gmail.com</t>
  </si>
  <si>
    <t>Pondok Pesantren Sidogiri Banat 1</t>
  </si>
  <si>
    <t>Sidogiri kraton pasuruan</t>
  </si>
  <si>
    <t>K.H Muhammad abd basit</t>
  </si>
  <si>
    <t>Ainun</t>
  </si>
  <si>
    <t>Saddam Wira Muhammad</t>
  </si>
  <si>
    <t>085706154676</t>
  </si>
  <si>
    <t>Ponpes sidogiri banat 1</t>
  </si>
  <si>
    <t>Bmmultimedia111@gmail.com</t>
  </si>
  <si>
    <t>Pondok Pesantren Nurul Ikhlas</t>
  </si>
  <si>
    <t>Jln. 108 Pesantren Sepande Candi Sidoarjo</t>
  </si>
  <si>
    <t>KH. M Muchlas Kurdi</t>
  </si>
  <si>
    <t>Ahmad Rojab Awwaluddin Ardiansyah (Ardi)</t>
  </si>
  <si>
    <t>Moch. Chabibi Alwi</t>
  </si>
  <si>
    <t>pp.nurulikhlas01@gmail.com</t>
  </si>
  <si>
    <t>Pondok Pesantren Alhidayah Ketegan</t>
  </si>
  <si>
    <t>Jl. KH. Ma'shum Ahmad 05/01, Ketegan, Kec. Tanggulangin, Kabupaten Sidoarjo, Jawa Timur 61272</t>
  </si>
  <si>
    <t>KH. M. Syafi'Misbah Ahmad</t>
  </si>
  <si>
    <t>Muhammad Nur Harist Ahsan</t>
  </si>
  <si>
    <t>Agus Shofyan, ahmad alvin ahsani</t>
  </si>
  <si>
    <t>082228342562, 81252932343</t>
  </si>
  <si>
    <t>Pondok Pesantren Al-Hidayah (031) 8850927 https://maps.app.goo.gl/nvTozyMJzVrwRA3a6</t>
  </si>
  <si>
    <t>alhidayah.ketegan@gmail.com</t>
  </si>
  <si>
    <t>Lembaga Pesantren Al Khoziny Buduran Sidoarjo</t>
  </si>
  <si>
    <t>JL KHR. Moh Abbas 1/18 Buduran, Sidoarjo, Jawa Timur 61252</t>
  </si>
  <si>
    <t>KHR. Abd Salam Mujib Abbas</t>
  </si>
  <si>
    <t>M. Saif</t>
  </si>
  <si>
    <t>Nasir Adlan</t>
  </si>
  <si>
    <t>https://g.page/AlKhoziny?share</t>
  </si>
  <si>
    <t>alkhoziny.pusat@gmail.com</t>
  </si>
  <si>
    <t>Pondok pesantren Sabilur Rosyad Sidoarjo</t>
  </si>
  <si>
    <t>Jl. Hang Tuah No.22, Sidoklumpuk, Sidokumpul, Kec. Sidoarjo, Kabupaten Sidoarjo, Jawa Timur</t>
  </si>
  <si>
    <t>Kabupaten Sidoarjo</t>
  </si>
  <si>
    <t>KH. Amiruddin Mu'in</t>
  </si>
  <si>
    <t>Syauqi Habibi Muhammad</t>
  </si>
  <si>
    <t>Pondok Pesantren Miftahul Ulum Syaikhina Isma'il Al-Zain</t>
  </si>
  <si>
    <t>Sekarjoho Prigen Pasuruan</t>
  </si>
  <si>
    <t>Kabupaten Pasuruan</t>
  </si>
  <si>
    <t>RKH. Abdul Majid Muddatsir</t>
  </si>
  <si>
    <t>Mokhlisin</t>
  </si>
  <si>
    <t>085745500553</t>
  </si>
  <si>
    <t>081935647323</t>
  </si>
  <si>
    <t>PP Bustanul Falah</t>
  </si>
  <si>
    <t>Dsn Tebon RT 1 RW 2 Ds Kebonsari Kec Candi Kab Sidoarjo</t>
  </si>
  <si>
    <t>KH Khoirul Sholeh</t>
  </si>
  <si>
    <t>Miftahuddin</t>
  </si>
  <si>
    <t>085961105379</t>
  </si>
  <si>
    <t xml:space="preserve">Pondok pesantren DARUN NAJAH </t>
  </si>
  <si>
    <t xml:space="preserve">Jln Mbh Djailani RT 03 RW 01 kajeksan Tulangan Sidoarjo Jatim </t>
  </si>
  <si>
    <t>KH. AGUS MACHIN MZ</t>
  </si>
  <si>
    <t>088805188434</t>
  </si>
  <si>
    <t>Pondok Pesantren Burhanul Hidayah</t>
  </si>
  <si>
    <t xml:space="preserve">Jl.Nusa Indah rt 09 rw 04 jenggot krembung Sidoarjo </t>
  </si>
  <si>
    <t>KH.SHONHAJI AS M.pd</t>
  </si>
  <si>
    <t>Moch.Suyuti</t>
  </si>
  <si>
    <t>0895364814743</t>
  </si>
  <si>
    <t>sidogiri syaikhona kholil</t>
  </si>
  <si>
    <t>sidogiri kraton pasuruan</t>
  </si>
  <si>
    <t>KH. Muhammad Abdul Basith</t>
  </si>
  <si>
    <t>abdul mu'min</t>
  </si>
  <si>
    <t>085856623228</t>
  </si>
  <si>
    <t>Pondok Pesantren Roudlotul Anwar</t>
  </si>
  <si>
    <t>Tanjungarum, Sukorejo, pasuruan</t>
  </si>
  <si>
    <t>KH. Tholhah Mahfudz</t>
  </si>
  <si>
    <t>0831-9868-9669</t>
  </si>
  <si>
    <t xml:space="preserve">Pondok Pesantren Al-Muayyad Sidoarjo </t>
  </si>
  <si>
    <t xml:space="preserve">Jl Masjid Darussalam Wates, Kedensari, Tanggulangin, Sidoarjo </t>
  </si>
  <si>
    <t>KH. Abdullah Achmad</t>
  </si>
  <si>
    <t>M Tamimam Mafruchan</t>
  </si>
  <si>
    <t>085850026045</t>
  </si>
  <si>
    <t>Al-amanah Junwangi</t>
  </si>
  <si>
    <t>Pesantren Modern Al Amanah Junwangi (031) 8983618</t>
  </si>
  <si>
    <t>KH NURCHOLISH MISBAH</t>
  </si>
  <si>
    <t>Dzikry ilham</t>
  </si>
  <si>
    <t>081232844776</t>
  </si>
  <si>
    <t>Pondok Pesantren Roudlotun Nafi'iyah</t>
  </si>
  <si>
    <t>Pondok pesantren Roudlotun nafi'iyah legok tempel gempol pasuruan</t>
  </si>
  <si>
    <t>Gus. H. Moh. Sabiq Al Hadi, Lc, MA.</t>
  </si>
  <si>
    <t>Rizkil Mubarok</t>
  </si>
  <si>
    <t>Ferlyan Rofiqi Sholeh</t>
  </si>
  <si>
    <t>085648296590</t>
  </si>
  <si>
    <t>rounamedia@gmail.com</t>
  </si>
  <si>
    <t>Pon pes annur daruz zahro</t>
  </si>
  <si>
    <t>Rt 2 rw 1 ds bareng krajan kec .krian kab sidoarjo</t>
  </si>
  <si>
    <t>KH.Gus Nur Rohman</t>
  </si>
  <si>
    <t>Nayli rohma</t>
  </si>
  <si>
    <t>082140521966</t>
  </si>
  <si>
    <t>pp.miftahul ulum</t>
  </si>
  <si>
    <t>dsn.muneng ds.bendungan kec.kraton</t>
  </si>
  <si>
    <t>ust. abd wahid al faizin</t>
  </si>
  <si>
    <t>Rosanah nieswah el abidah</t>
  </si>
  <si>
    <t>081357405209</t>
  </si>
  <si>
    <t>Pondok Pesantren Darul Ulum</t>
  </si>
  <si>
    <t>Karangpandan RT RW 01 04 Rejoso Pasuruan Jawa Timur 67181</t>
  </si>
  <si>
    <t>KH. Ishomuddin Ma'shum</t>
  </si>
  <si>
    <t>Achmad Fiqih Zulkarnaen</t>
  </si>
  <si>
    <t>0856-9579-1364</t>
  </si>
  <si>
    <t xml:space="preserve">PPTQ NURUL HIDAYAH </t>
  </si>
  <si>
    <t xml:space="preserve">Jl sunan Muria rt 02 rw 01 Sugihwaras candi </t>
  </si>
  <si>
    <t>Ust Moch Sholikin</t>
  </si>
  <si>
    <t xml:space="preserve">Nikmatul salsabila </t>
  </si>
  <si>
    <t>0881026080106</t>
  </si>
  <si>
    <t xml:space="preserve">Ma As'adiyah Pondok pesantren Kramat </t>
  </si>
  <si>
    <t xml:space="preserve">Jl PONPES KRAMAT RT 04/ RW 04 DESA GERONGAN KECAMATAN KRATON PASURUAN </t>
  </si>
  <si>
    <t>Ust. Jelani.S,Ag</t>
  </si>
  <si>
    <t xml:space="preserve">IMRON ROSADI </t>
  </si>
  <si>
    <t>082233178857</t>
  </si>
  <si>
    <t>Annur sabilunnajah</t>
  </si>
  <si>
    <t>Desa. watutulis, rt. 01, rw. 03, kec. Prambon, kab. Sidoarjo.</t>
  </si>
  <si>
    <t>Kh. Nur kholis yahya</t>
  </si>
  <si>
    <t>Muhammad mu'iz l.</t>
  </si>
  <si>
    <t>089521441179</t>
  </si>
  <si>
    <t>NURUL JADID</t>
  </si>
  <si>
    <t>Kemlandingan wedoro pandaan pasuruan</t>
  </si>
  <si>
    <t>Agus m. Miftahul Huda</t>
  </si>
  <si>
    <t>Ahmad Tarto Mukhtar Ridho</t>
  </si>
  <si>
    <t>082132194266</t>
  </si>
  <si>
    <t xml:space="preserve">Pondok Pesantren Fadllillah </t>
  </si>
  <si>
    <t xml:space="preserve">Jl.kyai Ali 57-A,RT 06 /RW 03 Tambak Sumur, Waru Sidoarjo </t>
  </si>
  <si>
    <t>KH.Hifni Najih Yasak M.Pd</t>
  </si>
  <si>
    <t xml:space="preserve">Ahmad Mustofa </t>
  </si>
  <si>
    <t>089523416093</t>
  </si>
  <si>
    <t xml:space="preserve">Roudlotun Nursalim </t>
  </si>
  <si>
    <t xml:space="preserve">Jl. KH. M. Nursalim Podokaton Bayeman Gondangwetan Pasuruan </t>
  </si>
  <si>
    <t>HJ. NIKMAH JAMILAH S.Pd M.Pd</t>
  </si>
  <si>
    <t xml:space="preserve">SHUFI ISBAR </t>
  </si>
  <si>
    <t>085334946425</t>
  </si>
  <si>
    <t>CPWX+RVH, Penganjuran, Balongtani, Kec. Jabon, Kabupaten Sidoarjo, Jawa Timur 61276</t>
  </si>
  <si>
    <t>KH Subandi</t>
  </si>
  <si>
    <t>Muhamad Zulfan</t>
  </si>
  <si>
    <t>Hudallil Alamin</t>
  </si>
  <si>
    <t>Sawo dungus Rt 08 Rw 02 Sukodono Kec. Sukodono Kab. Sidoarjo</t>
  </si>
  <si>
    <t>Bu Nyai Shofiatun</t>
  </si>
  <si>
    <t>Rachmat Hidayat</t>
  </si>
  <si>
    <t>089526512397</t>
  </si>
  <si>
    <t>Yayasanhudallilalamin@gmail.com</t>
  </si>
  <si>
    <t>Mambaul Ulum</t>
  </si>
  <si>
    <t>Dsn. Panjunan RT/01 RW/03, Ds. Kepuhkiriman, Kec. Waru, Kab. Sidoarjo Jawa Timur 61256</t>
  </si>
  <si>
    <t>Muhammad Anshor Manshur</t>
  </si>
  <si>
    <t>Nabil Anwar</t>
  </si>
  <si>
    <t>085933445863</t>
  </si>
  <si>
    <t>ppmupanjunan@gmail.com</t>
  </si>
  <si>
    <t>PONDOK PESANTREN MAS</t>
  </si>
  <si>
    <t>Jl. Ahmad Ro'is Dungduro Krembangan Rt 07 Rw 01 Kec. Taman  Kab. Sidoarjo</t>
  </si>
  <si>
    <t>Drs. KH. Mas Nur Mufid, MA</t>
  </si>
  <si>
    <t>Qomaruzzaman</t>
  </si>
  <si>
    <t>082337919624</t>
  </si>
  <si>
    <t>Ppmasofficial21@gmail.com</t>
  </si>
  <si>
    <t>Pondok Pesantren Sidogiri</t>
  </si>
  <si>
    <t>Sidogiri, Kec. Kraton Kab. Pasuruan</t>
  </si>
  <si>
    <t>KH. A. Fuad Noerhasan</t>
  </si>
  <si>
    <t>Muhammad Khowarizmi</t>
  </si>
  <si>
    <t>082331335559</t>
  </si>
  <si>
    <t>annajahcentersidogiri@gmail.com</t>
  </si>
  <si>
    <t>Pondok Pesantren Bayt Al Hikmah</t>
  </si>
  <si>
    <t>Jl. Patiunus No.25 Krampyangan, Bugul Kidul Kota Pasuruan</t>
  </si>
  <si>
    <t>KH. Idris Hamid</t>
  </si>
  <si>
    <t>Muhammad Syahril Rahmatullah</t>
  </si>
  <si>
    <t>082232938456</t>
  </si>
  <si>
    <t>Humasputrabaytalhikmah@gmail.com</t>
  </si>
  <si>
    <t>Pondok pesantren Queen Hidayatullah</t>
  </si>
  <si>
    <t>Tampung Kalirejo Gondang wetan pasuruan</t>
  </si>
  <si>
    <t>KH.yazid tamim</t>
  </si>
  <si>
    <t>Muhamad mujahidin</t>
  </si>
  <si>
    <t>mediaqueenputra@gimail.com</t>
  </si>
  <si>
    <t>Pondok Pesantren Putri As Sholchah</t>
  </si>
  <si>
    <t>Warungdowo</t>
  </si>
  <si>
    <t>M.Nawawi,S.H</t>
  </si>
  <si>
    <t>Kailani Ramadhani</t>
  </si>
  <si>
    <t>ponpesputrinyaisholchah@gmail.com</t>
  </si>
  <si>
    <t>Pondok Pesantren Salafiyah Kota Pasuruan</t>
  </si>
  <si>
    <t>Jl. KH. Abdul Hamid Gg. VIII/14 Kebonsari, Panggungrejo, Kota Pasuruan</t>
  </si>
  <si>
    <t>KH. Muhammad Idris Hamid</t>
  </si>
  <si>
    <t>Muhammad Nasiruddin</t>
  </si>
  <si>
    <t>salafiyahmedia.pas@gmail.com</t>
  </si>
  <si>
    <t>al hidayah induk</t>
  </si>
  <si>
    <t>pasuruan, sukorejo</t>
  </si>
  <si>
    <t>agus H.kholilurrahman</t>
  </si>
  <si>
    <t>SANDY MAULANA ARAFAT</t>
  </si>
  <si>
    <t>afif48807@gmail.com</t>
  </si>
  <si>
    <t>DA'WATUL KHOIROT</t>
  </si>
  <si>
    <t>Krajan desa krengih kecamatan Rembang kabupaten Pasuruan</t>
  </si>
  <si>
    <t>KH muslim ikrom</t>
  </si>
  <si>
    <t>Fahmi yella</t>
  </si>
  <si>
    <t>ppdhofficial@gmail.com</t>
  </si>
  <si>
    <t>PP Annajah Podokaton</t>
  </si>
  <si>
    <t xml:space="preserve">Podokaton, Bayeman , Gondangwetan </t>
  </si>
  <si>
    <t xml:space="preserve">Ibunyai Hj Luluk Illiyah </t>
  </si>
  <si>
    <t>Arini Rofiqotul A’la</t>
  </si>
  <si>
    <t>082329466975</t>
  </si>
  <si>
    <t>ponpesannajah6@gmail.com</t>
  </si>
  <si>
    <t>SABILUR ROSYAD AL-UTSMANI</t>
  </si>
  <si>
    <t>Yayasan Pendidikan Sabilur Rosyad, Jl. Hang Tuah No.22, Sidomukti, Sidokumpul, Kec. Sidoarjo, Kabupaten Sidoarjo, Jawa Timur 61218</t>
  </si>
  <si>
    <t>KH. M. FAUZI S. EKOM</t>
  </si>
  <si>
    <t>PONPES Sabilur Rosyad Sidoarjo</t>
  </si>
  <si>
    <t>Ponpes_sabilurrosyadsda</t>
  </si>
  <si>
    <t>@ppsabilurrosyadsda</t>
  </si>
  <si>
    <t>https://sabilurrosyad.n.nu/</t>
  </si>
  <si>
    <t>ALFIN FAIZ</t>
  </si>
  <si>
    <t>Fotografer &amp; Videografer</t>
  </si>
  <si>
    <t>089687732037</t>
  </si>
  <si>
    <t>Ppsarosda@gmail.com</t>
  </si>
  <si>
    <t>pondok pesantren kramat</t>
  </si>
  <si>
    <t>Dsn pejawan desa gerongan kecamatan kraton kabupaten pasuruan</t>
  </si>
  <si>
    <t>kh ato'ul karim as ad</t>
  </si>
  <si>
    <t>Pondok pesantren kramat</t>
  </si>
  <si>
    <t>Ponpes kramat</t>
  </si>
  <si>
    <t>Ppkramat</t>
  </si>
  <si>
    <t>Pondokpesantrenkramat.net</t>
  </si>
  <si>
    <t>Kramatmedia</t>
  </si>
  <si>
    <t>Alfin</t>
  </si>
  <si>
    <t xml:space="preserve">Kader </t>
  </si>
  <si>
    <t>851-8402-6834</t>
  </si>
  <si>
    <t>pondokpesantremkramat313@gmail.com</t>
  </si>
  <si>
    <t>PPSalafiyahPutriPasuruan</t>
  </si>
  <si>
    <t>Jl.KH.Abdul Hamid VIII/14P.O.Box 7 Kota Pasuruan Jawa Timur 67101</t>
  </si>
  <si>
    <t>Ibunyai Kuni Zakiyah Idris S.Th.I</t>
  </si>
  <si>
    <t>tidak memiliki akun yt karena belum mendapat izin pengasuh</t>
  </si>
  <si>
    <t>tidak memiliki akun fb karena belum mendapat izin pengasuh</t>
  </si>
  <si>
    <t>jejaksalafiyah</t>
  </si>
  <si>
    <t>tidak memiliki akun karena belum mendapat izin pengasuh</t>
  </si>
  <si>
    <t>10 orang</t>
  </si>
  <si>
    <t>Robiatul Adawiyah</t>
  </si>
  <si>
    <t>Koordinator Media</t>
  </si>
  <si>
    <t>082252225567</t>
  </si>
  <si>
    <t>ppsalafiyahputri@gmail.com</t>
  </si>
  <si>
    <t>al hilmu</t>
  </si>
  <si>
    <t>genting sukolilo prigen pasuruan</t>
  </si>
  <si>
    <t>kiai zainuddin</t>
  </si>
  <si>
    <t>Pondok pesantren kontemporer al hilmu</t>
  </si>
  <si>
    <t>Ponpes Kontemporer Al hilmu</t>
  </si>
  <si>
    <t>Ponpes_al_hilmu</t>
  </si>
  <si>
    <t>Saawi_que</t>
  </si>
  <si>
    <t>Mufti</t>
  </si>
  <si>
    <t>anggota</t>
  </si>
  <si>
    <t>085733369954</t>
  </si>
  <si>
    <t>alhilmusaawi</t>
  </si>
  <si>
    <t xml:space="preserve">Pondok Pesantren Darul Ulum Tlasih </t>
  </si>
  <si>
    <t>Jl. Raya Tlasih, RT.005/RW.001, Tlasih Dua, Tlasih, Kec. Tulangan, Kabupaten Sidoarjo, Jawa Timur 61273</t>
  </si>
  <si>
    <t xml:space="preserve">Ning Aisatul Mufarrohah </t>
  </si>
  <si>
    <t>Darul Ulum Tlasih</t>
  </si>
  <si>
    <t>ppdarululum_tlasih</t>
  </si>
  <si>
    <t>https://www.ponpes-darululumtlasih.com/</t>
  </si>
  <si>
    <t xml:space="preserve">darululumtlasih </t>
  </si>
  <si>
    <t>Ning Cholifatus Sa'diyah</t>
  </si>
  <si>
    <t>Ketua Tim Media</t>
  </si>
  <si>
    <t>085931502683</t>
  </si>
  <si>
    <t>085735184751</t>
  </si>
  <si>
    <t>ppdarululumtlasih@gmail.com</t>
  </si>
  <si>
    <t>Nama Akun Youtube Pesantren</t>
  </si>
  <si>
    <t>Nama Akun Instagram Pesantren</t>
  </si>
  <si>
    <t>Nama Akun Facebook Pesantren</t>
  </si>
  <si>
    <t>Nama akun Twitter Pesantren</t>
  </si>
  <si>
    <t>Nama Akun TikTok Pesantren</t>
  </si>
  <si>
    <t xml:space="preserve">Nama Lengkap Admin </t>
  </si>
  <si>
    <t>Jabatan Admin di Media</t>
  </si>
  <si>
    <t xml:space="preserve">Nomor HP Admin </t>
  </si>
  <si>
    <t>Pondok Pesantren Salafiyah Syafi'iyah Nurul Fata</t>
  </si>
  <si>
    <t>Jl. Pancur Km2 Lumutan Botolinggo Bondowoso</t>
  </si>
  <si>
    <t>Kabupaten Bondowoso</t>
  </si>
  <si>
    <t>H. Muhammad Tajul Arifin Billah</t>
  </si>
  <si>
    <t>Ustd. Lutfi Art</t>
  </si>
  <si>
    <t>Akun : Ma'had Nurul Fata | Halaman : Pondok Pesantren Salafiyah Syafi'iyah Nurul Fata (@s2nurulfata)</t>
  </si>
  <si>
    <t>Pondok Pesantren Salafiyah Syafi'iyah Nurul Fata (@s2nurulfata)</t>
  </si>
  <si>
    <t>s2nurulfata</t>
  </si>
  <si>
    <t>M. Jamil Ma'ruf Billah</t>
  </si>
  <si>
    <t>pontrennurulfata@gmail.com</t>
  </si>
  <si>
    <t>Pondok Pesantren Salafiyah Al-Utsmani</t>
  </si>
  <si>
    <t>Dusun Beddian Desa Jambesari Kecamatan Jambesari Darussholah Kabupaten Bondowoso</t>
  </si>
  <si>
    <t>KH. Qusyairi Utsman</t>
  </si>
  <si>
    <t>Dwi Setiawan</t>
  </si>
  <si>
    <t>Beddian Media</t>
  </si>
  <si>
    <t>Miftahul Anam</t>
  </si>
  <si>
    <t>Sekretaris</t>
  </si>
  <si>
    <t>+62 822-3299-9921</t>
  </si>
  <si>
    <t>Pondok Pesantren Al Barokah</t>
  </si>
  <si>
    <t>Jalan Pesantren Blok A No. 02 Desa Padasan Kecamatan Pujer</t>
  </si>
  <si>
    <t>KH. SUBHAN SAIFURRUSLAN</t>
  </si>
  <si>
    <t xml:space="preserve">Ahmad Fawaidatul Umri </t>
  </si>
  <si>
    <t>Pesantren Al Barokah Padasan</t>
  </si>
  <si>
    <t>pesantren.albarokah</t>
  </si>
  <si>
    <t>081553617250</t>
  </si>
  <si>
    <t>pesantrenalbarokah1974@gmail.com</t>
  </si>
  <si>
    <t>PP. Miftahul Hidayah</t>
  </si>
  <si>
    <t>Gayam Lor, Botolinggo, Bondowoso</t>
  </si>
  <si>
    <t>KH. Abdul Aziz</t>
  </si>
  <si>
    <t>PP. Miftahul Hidayah Gayam Lor</t>
  </si>
  <si>
    <t>S. I. Bahrul Ulum A</t>
  </si>
  <si>
    <t>ponpesmh5@gmail.com</t>
  </si>
  <si>
    <t>NURUT TAQWA</t>
  </si>
  <si>
    <t>Jl. Raya Cermee desa Grujugan</t>
  </si>
  <si>
    <t>KH. AS'AD NAWAWI MAKSUM</t>
  </si>
  <si>
    <t>Abdul Latif</t>
  </si>
  <si>
    <t>PP Nurut Taqwa</t>
  </si>
  <si>
    <t>pesantrennuruttaqwa</t>
  </si>
  <si>
    <t>ppnuruttaqwabws</t>
  </si>
  <si>
    <t>081259943930</t>
  </si>
  <si>
    <t>ppnuruttaqwa@gmail.com</t>
  </si>
  <si>
    <t>Ponpes Raudhatul Musthofa</t>
  </si>
  <si>
    <t>Jl arhopuro desa jetis curahdami bondowoso</t>
  </si>
  <si>
    <t>Kh syaifullah salim</t>
  </si>
  <si>
    <t>Ahmat Fawaidatul Umri</t>
  </si>
  <si>
    <t>Raudhahelmusthofa</t>
  </si>
  <si>
    <t>Abdul Mufid</t>
  </si>
  <si>
    <t>Pondok Pesantren Darul Maghfur</t>
  </si>
  <si>
    <t>Lombok Kulon Wonosari</t>
  </si>
  <si>
    <t>KH. MUHAMMAD MUZAMMIL</t>
  </si>
  <si>
    <t>Abuzairi</t>
  </si>
  <si>
    <t>Abdur Rohim</t>
  </si>
  <si>
    <t>Desainer</t>
  </si>
  <si>
    <t>PONDOK PESANTREN NURUL FALAH</t>
  </si>
  <si>
    <t>Desa jeruk sok-sok kecamatan Binakal Bondowoso Jawa Timur</t>
  </si>
  <si>
    <t>K.ZAINUL MUN'IM</t>
  </si>
  <si>
    <t>Nurul falah</t>
  </si>
  <si>
    <t>nurulfalahjss</t>
  </si>
  <si>
    <t>@medianurulfalah</t>
  </si>
  <si>
    <t>Designer, Kamramen, editor video, sutradara, Tatabusana, tatamakeup Dll</t>
  </si>
  <si>
    <t>+62 857-3852-8645</t>
  </si>
  <si>
    <t>nurulfalah0202@gmail.com</t>
  </si>
  <si>
    <t>Al Marzuqi</t>
  </si>
  <si>
    <t>Desa Kerang RT 05/RW 03 Kec. Sukosari Kab. Bondowoso</t>
  </si>
  <si>
    <t>H. Taufiqurrohman</t>
  </si>
  <si>
    <t>Pesantren Al Marzuqi</t>
  </si>
  <si>
    <t>PesantrenAlMarzuqi</t>
  </si>
  <si>
    <t>Ahmad Faizin</t>
  </si>
  <si>
    <t>Admin</t>
  </si>
  <si>
    <t>kerangalmarzuqi@gmail.com</t>
  </si>
  <si>
    <t>Poncogati Curahdami Bondowoso Jalan Retnam Rantam , RT01.RW01.</t>
  </si>
  <si>
    <t>KH.Abdul Mu;iz as'ad</t>
  </si>
  <si>
    <t>Belum mempunyai</t>
  </si>
  <si>
    <t>Pondok_nurul_islam_poncogati</t>
  </si>
  <si>
    <t>Pondok nurul islam poncogati</t>
  </si>
  <si>
    <t>Belum Mempunyai</t>
  </si>
  <si>
    <t xml:space="preserve"> Muhammad Saiful Islam</t>
  </si>
  <si>
    <t>085648724195</t>
  </si>
  <si>
    <t>pondokponcogati@gmail.com</t>
  </si>
  <si>
    <t>PP. MANBAUL ULUM</t>
  </si>
  <si>
    <t>Tangsil wetan. Wonosari Bondowoso</t>
  </si>
  <si>
    <t>Drs. KH. SALWA ARIFIN</t>
  </si>
  <si>
    <t>Mohamad Saiful bahri</t>
  </si>
  <si>
    <t>Pp.manbaululumtangsilwetan</t>
  </si>
  <si>
    <t>MANBAUL Ulum Official</t>
  </si>
  <si>
    <t>PP.manbaul_ulum_tangsilwetan</t>
  </si>
  <si>
    <t>Manbaululumofficial</t>
  </si>
  <si>
    <t>Ketua umum</t>
  </si>
  <si>
    <t>085232748129</t>
  </si>
  <si>
    <t>syanistudio6@gmail.com</t>
  </si>
  <si>
    <t>Pondok Pesantren Kunuuzul Imam Kauman</t>
  </si>
  <si>
    <t>Jl. KH. Zainul Arifin No. 165, kota kulon bondowoso</t>
  </si>
  <si>
    <t>Kiai Mas canzon fadlan athellah</t>
  </si>
  <si>
    <t xml:space="preserve">Muhammad Basri </t>
  </si>
  <si>
    <t>PP Kunuuzul Imam Kauman</t>
  </si>
  <si>
    <t>pp.kunuuzulimamkauman</t>
  </si>
  <si>
    <t>Pp kunuuzul imam kaumam</t>
  </si>
  <si>
    <t>Kunuuzul imam Kauman</t>
  </si>
  <si>
    <t>Afriansyah Juliandra Putra</t>
  </si>
  <si>
    <t>Pondok Pesantren Nurul Islam ( NURIS )</t>
  </si>
  <si>
    <t>Jl Tamanan Desa Grujugan Kidul RT 08 RW 02</t>
  </si>
  <si>
    <t>KH. Muhammad Imam Sholeh Mawardi</t>
  </si>
  <si>
    <t>@pesantren.nuris_bws</t>
  </si>
  <si>
    <t>Pesantren Nuris BWS</t>
  </si>
  <si>
    <t>Agus Budiyanto</t>
  </si>
  <si>
    <t>Ketua tim</t>
  </si>
  <si>
    <t>mahadnurulislamgrujugan@gmail.com</t>
  </si>
  <si>
    <t>PP.SALAFIYAH ABUZAIRI</t>
  </si>
  <si>
    <t>Pakisan-tlogosari-Bondowoso</t>
  </si>
  <si>
    <t>KH Muhammad Holid S.Ag M.Hum</t>
  </si>
  <si>
    <t>Santriazzairi</t>
  </si>
  <si>
    <t>Pondok pesantren Islam salafiyah Abu Zairi</t>
  </si>
  <si>
    <t>Ahmad hariri</t>
  </si>
  <si>
    <t>081239214885</t>
  </si>
  <si>
    <t>Ponpes Sayyid Muhammad Alawi Almaliki Koncer Bondowoso</t>
  </si>
  <si>
    <t>Koncer Darul Aman, Tenggarang, Bondowoso</t>
  </si>
  <si>
    <t>KH Mohammad Hasan Abdul Mu’iz Tr</t>
  </si>
  <si>
    <t>Almaliki Tv</t>
  </si>
  <si>
    <t>Pesantren Koncer</t>
  </si>
  <si>
    <t>Pesantren Almaliki</t>
  </si>
  <si>
    <t>Media Almaliki</t>
  </si>
  <si>
    <t>Abdul Majid</t>
  </si>
  <si>
    <t>085283437722</t>
  </si>
  <si>
    <t>Pesantrenkoncer@gmail.com</t>
  </si>
  <si>
    <t>PPI Nurul Burhan</t>
  </si>
  <si>
    <t>Jln Khairil Anwar 278b Badean Bondowoso</t>
  </si>
  <si>
    <t>KH. Imam Barmawi Burhan</t>
  </si>
  <si>
    <t>Yasir Arofat</t>
  </si>
  <si>
    <t>082139226637</t>
  </si>
  <si>
    <t>Dus.Moncek Des.Wonosuko Kec.Tamanan Kab.Bondowoso Prov.JawaTimur | RT 13/RW 03  Kode Pos : 68263</t>
  </si>
  <si>
    <t>KH. Achmad Kamaluddin</t>
  </si>
  <si>
    <t>M.shohibul wafa</t>
  </si>
  <si>
    <t>082257091667</t>
  </si>
  <si>
    <t>Jl. Raya Situbondo, Krajan baru, RT.10 RW.04 Cindogo Kec. Tapen Kab. Bondowoso Jawa Timur 68283</t>
  </si>
  <si>
    <t>Drs. KH. M. Junaidi Mu'thi</t>
  </si>
  <si>
    <t>Ahmad Fanani</t>
  </si>
  <si>
    <t>biktren.nurululumcindogo@gmail.com</t>
  </si>
  <si>
    <t xml:space="preserve">Pp. Miftahul ulum </t>
  </si>
  <si>
    <t xml:space="preserve">Desa Wringin kecamatan Wringin kabupaten Bondowoso </t>
  </si>
  <si>
    <t xml:space="preserve">Misbahul Hasan </t>
  </si>
  <si>
    <t xml:space="preserve">Aning </t>
  </si>
  <si>
    <t>085730836209</t>
  </si>
  <si>
    <t>miftahululummadin96@gmail.com</t>
  </si>
  <si>
    <t xml:space="preserve">Iqbal fatoni </t>
  </si>
  <si>
    <t xml:space="preserve">Ponpes Miftahul Ulum Tamanan Bondowoso </t>
  </si>
  <si>
    <t xml:space="preserve">K. Sujakmo </t>
  </si>
  <si>
    <t>085133193891</t>
  </si>
  <si>
    <t>al maliki</t>
  </si>
  <si>
    <t>sayyid muhammad alawi al maliki</t>
  </si>
  <si>
    <t>kyai HJ muhammad hasan abdul mu'iz</t>
  </si>
  <si>
    <t>al maliki tv</t>
  </si>
  <si>
    <t>al maliki koncer</t>
  </si>
  <si>
    <t>@almalikikoncer</t>
  </si>
  <si>
    <t>media al maliki</t>
  </si>
  <si>
    <t>pesantrenkoncer@gmail.com</t>
  </si>
  <si>
    <t>imam syafi'i</t>
  </si>
  <si>
    <t>fotografer</t>
  </si>
  <si>
    <t>0831-7541-6851</t>
  </si>
  <si>
    <t>Ma'had sayyid muhammad alawi al maliki koncer</t>
  </si>
  <si>
    <t>Koncer darul aman, tenggarang, bondowoso</t>
  </si>
  <si>
    <t>Kh muhammad hasan abdul mu'iz tr</t>
  </si>
  <si>
    <t>Al maliki Tv</t>
  </si>
  <si>
    <t>Al Maliki koncer</t>
  </si>
  <si>
    <t>almalikikoncer</t>
  </si>
  <si>
    <t>Media Al Maliki</t>
  </si>
  <si>
    <t>Muhammad Anis Lutfi</t>
  </si>
  <si>
    <t>085649593745</t>
  </si>
  <si>
    <t>Pondok Pesantren Al-Faruq</t>
  </si>
  <si>
    <t>Jl. Raya Jember RT 68 RW 07, Desa Taman, Kecamatan Grujugan</t>
  </si>
  <si>
    <t>H. Muhammad Khalid Faruq, S.Si., M.Pd</t>
  </si>
  <si>
    <t>MadrasahAlfaruq</t>
  </si>
  <si>
    <t>ponpesalfaruq</t>
  </si>
  <si>
    <t>madrasah_alfaruq</t>
  </si>
  <si>
    <t>Vindy Aprilia Putri</t>
  </si>
  <si>
    <t>081333936633</t>
  </si>
  <si>
    <t>ponpesalfaruqbondowoso@gmail.com</t>
  </si>
  <si>
    <t>NAMA PESANTREN</t>
  </si>
  <si>
    <t>ALAMAT</t>
  </si>
  <si>
    <t>KOTA/KABUPATEN</t>
  </si>
  <si>
    <t>NAMA PENGASUH</t>
  </si>
  <si>
    <t xml:space="preserve">JUMLAH ANGGOTA </t>
  </si>
  <si>
    <t>NAMA ADMIN</t>
  </si>
  <si>
    <t>JABATAN</t>
  </si>
  <si>
    <t>NO. WA</t>
  </si>
  <si>
    <t>NO. TELEGRAM</t>
  </si>
  <si>
    <t>EMAIL PESANTREN</t>
  </si>
  <si>
    <t>Wakil Ketua</t>
  </si>
  <si>
    <t>PONDOK PESANTREN MIFTAHUL ULUM</t>
  </si>
  <si>
    <t>JL. DAHLIA KP. PASAR NANGKA RT: 002 RW: 004 DESA JANGKAR KEC. JANGKAR</t>
  </si>
  <si>
    <t>KH. M NURUL FADLI</t>
  </si>
  <si>
    <t>Pondok Pesantren Wali Songo Situbondo</t>
  </si>
  <si>
    <t>Jl. Basuki rahmat No.07</t>
  </si>
  <si>
    <t>Kota Situbondo</t>
  </si>
  <si>
    <t>Khr. Muhammad Kholil As'ad</t>
  </si>
  <si>
    <t>11 orang</t>
  </si>
  <si>
    <t xml:space="preserve">Editor </t>
  </si>
  <si>
    <t>081236472947</t>
  </si>
  <si>
    <t>santri4444@gmail.com</t>
  </si>
  <si>
    <t>SITUBONDO BONDOWOSO</t>
  </si>
  <si>
    <t>SIDOPAS</t>
  </si>
  <si>
    <t>Kab./Kota Situbondo, Bondowoso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</si>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</sst>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&quot;TRUE&quot;;&quot;TRUE&quot;;&quot;FALSE&quot;"/>
  </numFmts>
  <fonts count="6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2"/>
      <color rgb="FF000000"/>
      <name val="Arial"/>
    </font>
    <font>
      <sz val="12"/>
      <color theme="1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1155CC"/>
      <name val="Arial"/>
    </font>
    <font>
      <u/>
      <sz val="12"/>
      <color rgb="FF1155CC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rgb="FF000000"/>
      <name val="Calibri"/>
    </font>
    <font>
      <b/>
      <sz val="10"/>
      <color rgb="FF000000"/>
      <name val="Arial"/>
    </font>
    <font>
      <sz val="12"/>
      <color rgb="FF000000"/>
      <name val="Calibri"/>
    </font>
    <font>
      <sz val="11"/>
      <color rgb="FF000000"/>
      <name val="Calibri"/>
    </font>
    <font>
      <u/>
      <sz val="12"/>
      <color rgb="FF0000FF"/>
      <name val="Calibri"/>
    </font>
    <font>
      <sz val="10"/>
      <color theme="1"/>
      <name val="Arial"/>
    </font>
    <font>
      <sz val="11"/>
      <color rgb="FF202124"/>
      <name val="Roboto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2"/>
      <color rgb="FF0563C1"/>
      <name val="Calibri"/>
    </font>
    <font>
      <u/>
      <sz val="10"/>
      <color rgb="FF0000FF"/>
      <name val="Arial"/>
    </font>
    <font>
      <u/>
      <sz val="10"/>
      <color rgb="FF1155CC"/>
      <name val="Arial"/>
    </font>
    <font>
      <u/>
      <sz val="12"/>
      <color rgb="FF0000FF"/>
      <name val="Calibri"/>
    </font>
    <font>
      <u/>
      <sz val="12"/>
      <color rgb="FF000000"/>
      <name val="Calibri"/>
    </font>
    <font>
      <u/>
      <sz val="12"/>
      <color rgb="FF0563C1"/>
      <name val="Calibri"/>
    </font>
    <font>
      <sz val="10"/>
      <color rgb="FF000000"/>
      <name val="Calibri"/>
    </font>
    <font>
      <sz val="10"/>
      <color theme="1"/>
      <name val="Calibri"/>
    </font>
    <font>
      <u/>
      <sz val="10"/>
      <color theme="10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rial"/>
      <scheme val="minor"/>
    </font>
    <font>
      <u/>
      <sz val="12"/>
      <color rgb="FF000000"/>
      <name val="Calibri"/>
    </font>
    <font>
      <u/>
      <sz val="10"/>
      <color rgb="FF1155CC"/>
      <name val="Arial"/>
    </font>
    <font>
      <u/>
      <sz val="10"/>
      <color theme="10"/>
      <name val="Arial"/>
    </font>
    <font>
      <u/>
      <sz val="12"/>
      <color rgb="FF0000FF"/>
      <name val="Calibri"/>
    </font>
    <font>
      <u/>
      <sz val="10"/>
      <color theme="10"/>
      <name val="Arial"/>
    </font>
    <font>
      <u/>
      <sz val="10"/>
      <color rgb="FF1155CC"/>
      <name val="Arial"/>
    </font>
    <font>
      <sz val="10"/>
      <color rgb="FF980000"/>
      <name val="Arial"/>
    </font>
    <font>
      <sz val="12"/>
      <color rgb="FF980000"/>
      <name val="Calibri"/>
    </font>
    <font>
      <sz val="10"/>
      <color rgb="FF980000"/>
      <name val="Arial"/>
    </font>
    <font>
      <sz val="10"/>
      <color rgb="FFE69138"/>
      <name val="Arial"/>
    </font>
    <font>
      <sz val="12"/>
      <color rgb="FFE69138"/>
      <name val="Calibri"/>
    </font>
    <font>
      <sz val="10"/>
      <color rgb="FFE69138"/>
      <name val="Arial"/>
    </font>
    <font>
      <u/>
      <sz val="10"/>
      <color rgb="FFE69138"/>
      <name val="Arial"/>
    </font>
    <font>
      <sz val="10"/>
      <color rgb="FF000000"/>
      <name val="Arial"/>
    </font>
    <font>
      <u/>
      <sz val="12"/>
      <color rgb="FF000000"/>
      <name val="Calibri"/>
    </font>
    <font>
      <sz val="10"/>
      <color rgb="FF000000"/>
      <name val="Arial"/>
      <scheme val="minor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980000"/>
      <name val="Arial"/>
    </font>
    <font>
      <sz val="12"/>
      <color theme="1"/>
      <name val="Calibri"/>
    </font>
    <font>
      <sz val="11"/>
      <color theme="1"/>
      <name val="Calibri"/>
    </font>
    <font>
      <u/>
      <sz val="10"/>
      <color rgb="FF1155CC"/>
      <name val="Arial"/>
    </font>
    <font>
      <b/>
      <sz val="10"/>
      <color theme="1"/>
      <name val="Arial"/>
      <scheme val="minor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165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0" xfId="0" applyFont="1"/>
    <xf numFmtId="0" fontId="8" fillId="0" borderId="1" xfId="0" quotePrefix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top"/>
    </xf>
    <xf numFmtId="0" fontId="11" fillId="0" borderId="1" xfId="0" applyFont="1" applyBorder="1"/>
    <xf numFmtId="0" fontId="7" fillId="0" borderId="1" xfId="0" applyFont="1" applyBorder="1" applyAlignment="1">
      <alignment horizontal="left" wrapText="1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6" fillId="4" borderId="6" xfId="0" applyFont="1" applyFill="1" applyBorder="1"/>
    <xf numFmtId="0" fontId="6" fillId="4" borderId="0" xfId="0" applyFont="1" applyFill="1"/>
    <xf numFmtId="0" fontId="7" fillId="0" borderId="1" xfId="0" applyFont="1" applyBorder="1" applyAlignment="1">
      <alignment horizontal="right" wrapText="1"/>
    </xf>
    <xf numFmtId="0" fontId="12" fillId="0" borderId="1" xfId="0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0" fontId="8" fillId="0" borderId="0" xfId="0" applyFont="1"/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/>
    <xf numFmtId="0" fontId="8" fillId="5" borderId="1" xfId="0" quotePrefix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5" borderId="0" xfId="0" applyFont="1" applyFill="1"/>
    <xf numFmtId="0" fontId="8" fillId="5" borderId="0" xfId="0" applyFont="1" applyFill="1"/>
    <xf numFmtId="0" fontId="8" fillId="5" borderId="0" xfId="0" applyFont="1" applyFill="1" applyAlignment="1">
      <alignment horizontal="right"/>
    </xf>
    <xf numFmtId="0" fontId="7" fillId="0" borderId="0" xfId="0" applyFont="1"/>
    <xf numFmtId="0" fontId="13" fillId="0" borderId="1" xfId="0" applyFont="1" applyBorder="1"/>
    <xf numFmtId="0" fontId="13" fillId="0" borderId="0" xfId="0" quotePrefix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166" fontId="17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20" fillId="0" borderId="1" xfId="0" quotePrefix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21" fillId="0" borderId="1" xfId="0" applyFont="1" applyBorder="1"/>
    <xf numFmtId="0" fontId="6" fillId="0" borderId="1" xfId="0" quotePrefix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center"/>
    </xf>
    <xf numFmtId="0" fontId="22" fillId="0" borderId="0" xfId="0" applyFont="1"/>
    <xf numFmtId="0" fontId="14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23" fillId="7" borderId="1" xfId="0" applyFont="1" applyFill="1" applyBorder="1"/>
    <xf numFmtId="0" fontId="6" fillId="7" borderId="0" xfId="0" applyFont="1" applyFill="1"/>
    <xf numFmtId="0" fontId="24" fillId="0" borderId="1" xfId="0" applyFont="1" applyBorder="1"/>
    <xf numFmtId="0" fontId="6" fillId="8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6" fillId="8" borderId="1" xfId="0" applyFont="1" applyFill="1" applyBorder="1"/>
    <xf numFmtId="0" fontId="25" fillId="8" borderId="1" xfId="0" applyFont="1" applyFill="1" applyBorder="1"/>
    <xf numFmtId="0" fontId="6" fillId="8" borderId="0" xfId="0" applyFont="1" applyFill="1"/>
    <xf numFmtId="0" fontId="6" fillId="0" borderId="6" xfId="0" applyFont="1" applyBorder="1"/>
    <xf numFmtId="0" fontId="13" fillId="0" borderId="1" xfId="0" quotePrefix="1" applyFont="1" applyBorder="1" applyAlignment="1">
      <alignment horizontal="center"/>
    </xf>
    <xf numFmtId="0" fontId="28" fillId="0" borderId="1" xfId="0" applyFont="1" applyBorder="1"/>
    <xf numFmtId="0" fontId="13" fillId="0" borderId="0" xfId="0" quotePrefix="1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6" fillId="6" borderId="0" xfId="0" applyFont="1" applyFill="1" applyAlignment="1">
      <alignment horizontal="center"/>
    </xf>
    <xf numFmtId="0" fontId="15" fillId="6" borderId="7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9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9" xfId="0" applyFont="1" applyBorder="1"/>
    <xf numFmtId="0" fontId="17" fillId="0" borderId="9" xfId="0" applyFont="1" applyBorder="1" applyAlignment="1">
      <alignment horizontal="left"/>
    </xf>
    <xf numFmtId="0" fontId="29" fillId="0" borderId="9" xfId="0" applyFont="1" applyBorder="1"/>
    <xf numFmtId="0" fontId="17" fillId="0" borderId="9" xfId="0" applyFont="1" applyBorder="1" applyAlignment="1">
      <alignment horizontal="center" wrapText="1"/>
    </xf>
    <xf numFmtId="0" fontId="30" fillId="0" borderId="9" xfId="0" applyFont="1" applyBorder="1"/>
    <xf numFmtId="0" fontId="17" fillId="0" borderId="9" xfId="0" applyFont="1" applyBorder="1" applyAlignment="1">
      <alignment horizontal="left" wrapText="1"/>
    </xf>
    <xf numFmtId="0" fontId="17" fillId="0" borderId="9" xfId="0" applyFont="1" applyBorder="1" applyAlignment="1">
      <alignment horizontal="left" vertical="top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wrapText="1"/>
    </xf>
    <xf numFmtId="0" fontId="31" fillId="0" borderId="9" xfId="0" applyFont="1" applyBorder="1"/>
    <xf numFmtId="0" fontId="32" fillId="0" borderId="9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2" fillId="0" borderId="0" xfId="0" applyFont="1"/>
    <xf numFmtId="0" fontId="20" fillId="0" borderId="9" xfId="0" applyFont="1" applyBorder="1"/>
    <xf numFmtId="0" fontId="20" fillId="0" borderId="9" xfId="0" quotePrefix="1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6" fillId="0" borderId="9" xfId="0" applyFont="1" applyBorder="1"/>
    <xf numFmtId="0" fontId="6" fillId="0" borderId="9" xfId="0" applyFont="1" applyBorder="1" applyAlignment="1">
      <alignment vertical="center"/>
    </xf>
    <xf numFmtId="0" fontId="6" fillId="0" borderId="10" xfId="0" applyFont="1" applyBorder="1"/>
    <xf numFmtId="0" fontId="34" fillId="0" borderId="9" xfId="0" applyFont="1" applyBorder="1" applyAlignment="1">
      <alignment vertical="center"/>
    </xf>
    <xf numFmtId="0" fontId="13" fillId="0" borderId="9" xfId="0" applyFont="1" applyBorder="1"/>
    <xf numFmtId="0" fontId="13" fillId="0" borderId="9" xfId="0" quotePrefix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 wrapText="1"/>
    </xf>
    <xf numFmtId="0" fontId="6" fillId="0" borderId="12" xfId="0" applyFont="1" applyBorder="1" applyAlignment="1">
      <alignment vertical="center"/>
    </xf>
    <xf numFmtId="0" fontId="15" fillId="6" borderId="4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20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 wrapText="1"/>
    </xf>
    <xf numFmtId="0" fontId="21" fillId="0" borderId="1" xfId="0" quotePrefix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36" fillId="0" borderId="1" xfId="0" applyFont="1" applyBorder="1"/>
    <xf numFmtId="0" fontId="36" fillId="0" borderId="1" xfId="0" quotePrefix="1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0" xfId="0" applyFont="1"/>
    <xf numFmtId="0" fontId="37" fillId="0" borderId="0" xfId="0" applyFont="1"/>
    <xf numFmtId="0" fontId="35" fillId="0" borderId="0" xfId="0" applyFont="1"/>
    <xf numFmtId="0" fontId="38" fillId="0" borderId="1" xfId="0" applyFont="1" applyBorder="1"/>
    <xf numFmtId="0" fontId="13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39" fillId="0" borderId="1" xfId="0" applyFont="1" applyBorder="1"/>
    <xf numFmtId="0" fontId="14" fillId="0" borderId="1" xfId="0" applyFont="1" applyBorder="1"/>
    <xf numFmtId="0" fontId="6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3" fillId="5" borderId="1" xfId="0" applyFont="1" applyFill="1" applyBorder="1"/>
    <xf numFmtId="0" fontId="13" fillId="5" borderId="1" xfId="0" quotePrefix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5" borderId="0" xfId="0" applyFont="1" applyFill="1" applyAlignment="1">
      <alignment horizontal="right"/>
    </xf>
    <xf numFmtId="0" fontId="14" fillId="5" borderId="0" xfId="0" applyFont="1" applyFill="1"/>
    <xf numFmtId="0" fontId="13" fillId="5" borderId="0" xfId="0" applyFont="1" applyFill="1"/>
    <xf numFmtId="0" fontId="17" fillId="0" borderId="0" xfId="0" applyFont="1"/>
    <xf numFmtId="0" fontId="40" fillId="0" borderId="1" xfId="0" applyFont="1" applyBorder="1"/>
    <xf numFmtId="0" fontId="16" fillId="6" borderId="14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4" xfId="0" applyFont="1" applyBorder="1"/>
    <xf numFmtId="0" fontId="41" fillId="0" borderId="14" xfId="0" applyFont="1" applyBorder="1"/>
    <xf numFmtId="0" fontId="17" fillId="0" borderId="14" xfId="0" applyFont="1" applyBorder="1" applyAlignment="1">
      <alignment wrapText="1"/>
    </xf>
    <xf numFmtId="0" fontId="20" fillId="0" borderId="14" xfId="0" applyFont="1" applyBorder="1"/>
    <xf numFmtId="0" fontId="6" fillId="0" borderId="14" xfId="0" applyFont="1" applyBorder="1"/>
    <xf numFmtId="0" fontId="20" fillId="0" borderId="14" xfId="0" quotePrefix="1" applyFont="1" applyBorder="1" applyAlignment="1">
      <alignment horizontal="center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vertical="center"/>
    </xf>
    <xf numFmtId="0" fontId="6" fillId="0" borderId="14" xfId="0" quotePrefix="1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42" fillId="0" borderId="14" xfId="0" applyFont="1" applyBorder="1"/>
    <xf numFmtId="0" fontId="14" fillId="0" borderId="0" xfId="0" quotePrefix="1" applyFont="1" applyAlignment="1">
      <alignment horizontal="center"/>
    </xf>
    <xf numFmtId="0" fontId="13" fillId="0" borderId="14" xfId="0" applyFont="1" applyBorder="1"/>
    <xf numFmtId="0" fontId="13" fillId="0" borderId="14" xfId="0" applyFont="1" applyBorder="1" applyAlignment="1">
      <alignment horizontal="center"/>
    </xf>
    <xf numFmtId="0" fontId="13" fillId="0" borderId="14" xfId="0" quotePrefix="1" applyFont="1" applyBorder="1" applyAlignment="1">
      <alignment horizontal="center"/>
    </xf>
    <xf numFmtId="0" fontId="43" fillId="0" borderId="14" xfId="0" applyFont="1" applyBorder="1"/>
    <xf numFmtId="0" fontId="44" fillId="0" borderId="14" xfId="0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right"/>
    </xf>
    <xf numFmtId="0" fontId="47" fillId="0" borderId="14" xfId="0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0" fontId="49" fillId="0" borderId="0" xfId="0" applyFont="1"/>
    <xf numFmtId="0" fontId="49" fillId="0" borderId="0" xfId="0" quotePrefix="1" applyFont="1"/>
    <xf numFmtId="0" fontId="46" fillId="0" borderId="0" xfId="0" quotePrefix="1" applyFont="1"/>
    <xf numFmtId="0" fontId="50" fillId="0" borderId="0" xfId="0" applyFont="1"/>
    <xf numFmtId="0" fontId="49" fillId="0" borderId="0" xfId="0" applyFont="1" applyAlignment="1">
      <alignment horizontal="right"/>
    </xf>
    <xf numFmtId="0" fontId="17" fillId="0" borderId="1" xfId="0" quotePrefix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3" fillId="0" borderId="1" xfId="0" quotePrefix="1" applyFont="1" applyBorder="1"/>
    <xf numFmtId="165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51" fillId="0" borderId="0" xfId="0" applyFont="1"/>
    <xf numFmtId="0" fontId="51" fillId="0" borderId="0" xfId="0" quotePrefix="1" applyFont="1" applyAlignment="1">
      <alignment horizontal="center"/>
    </xf>
    <xf numFmtId="0" fontId="5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3" fillId="0" borderId="0" xfId="0" applyFont="1"/>
    <xf numFmtId="0" fontId="51" fillId="0" borderId="1" xfId="0" applyFont="1" applyBorder="1"/>
    <xf numFmtId="0" fontId="54" fillId="0" borderId="1" xfId="0" applyFont="1" applyBorder="1" applyAlignment="1">
      <alignment vertical="center"/>
    </xf>
    <xf numFmtId="0" fontId="51" fillId="0" borderId="1" xfId="0" quotePrefix="1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5" fillId="0" borderId="1" xfId="0" applyFont="1" applyBorder="1"/>
    <xf numFmtId="165" fontId="17" fillId="5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14" fillId="0" borderId="0" xfId="0" applyFont="1"/>
    <xf numFmtId="0" fontId="56" fillId="4" borderId="1" xfId="0" applyFont="1" applyFill="1" applyBorder="1"/>
    <xf numFmtId="0" fontId="6" fillId="0" borderId="1" xfId="0" applyFont="1" applyBorder="1" applyAlignment="1">
      <alignment vertical="top"/>
    </xf>
    <xf numFmtId="0" fontId="58" fillId="0" borderId="1" xfId="0" applyFont="1" applyBorder="1"/>
    <xf numFmtId="0" fontId="4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59" fillId="0" borderId="0" xfId="0" applyFont="1"/>
    <xf numFmtId="165" fontId="15" fillId="3" borderId="1" xfId="0" applyNumberFormat="1" applyFont="1" applyFill="1" applyBorder="1" applyAlignment="1">
      <alignment horizontal="center"/>
    </xf>
    <xf numFmtId="0" fontId="17" fillId="0" borderId="1" xfId="0" quotePrefix="1" applyFont="1" applyBorder="1" applyAlignment="1">
      <alignment horizontal="center" wrapText="1"/>
    </xf>
    <xf numFmtId="0" fontId="20" fillId="0" borderId="0" xfId="0" applyFont="1" applyAlignment="1">
      <alignment horizontal="right"/>
    </xf>
    <xf numFmtId="165" fontId="6" fillId="0" borderId="0" xfId="0" applyNumberFormat="1" applyFont="1"/>
    <xf numFmtId="165" fontId="14" fillId="0" borderId="0" xfId="0" applyNumberFormat="1" applyFont="1"/>
    <xf numFmtId="0" fontId="20" fillId="0" borderId="1" xfId="0" applyFont="1" applyBorder="1" applyAlignment="1">
      <alignment wrapText="1"/>
    </xf>
    <xf numFmtId="0" fontId="13" fillId="9" borderId="1" xfId="0" quotePrefix="1" applyFont="1" applyFill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62" fillId="0" borderId="1" xfId="0" applyFont="1" applyBorder="1"/>
    <xf numFmtId="0" fontId="61" fillId="0" borderId="0" xfId="0" applyFont="1" applyAlignment="1">
      <alignment horizontal="center"/>
    </xf>
    <xf numFmtId="0" fontId="63" fillId="3" borderId="0" xfId="0" applyFont="1" applyFill="1" applyAlignment="1">
      <alignment horizontal="center"/>
    </xf>
    <xf numFmtId="0" fontId="13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26" fillId="8" borderId="2" xfId="0" applyFont="1" applyFill="1" applyBorder="1"/>
    <xf numFmtId="0" fontId="27" fillId="7" borderId="2" xfId="0" applyFont="1" applyFill="1" applyBorder="1"/>
    <xf numFmtId="0" fontId="6" fillId="0" borderId="2" xfId="0" applyFont="1" applyBorder="1"/>
    <xf numFmtId="0" fontId="15" fillId="3" borderId="2" xfId="0" applyFont="1" applyFill="1" applyBorder="1" applyAlignment="1">
      <alignment horizontal="center"/>
    </xf>
    <xf numFmtId="0" fontId="57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6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RskKpx4SXYD8YhNn7" TargetMode="External"/><Relationship Id="rId13" Type="http://schemas.openxmlformats.org/officeDocument/2006/relationships/hyperlink" Target="https://goo.gl/maps/ULmRqo5dPZ1EySBB9" TargetMode="External"/><Relationship Id="rId3" Type="http://schemas.openxmlformats.org/officeDocument/2006/relationships/hyperlink" Target="https://maps.app.goo.gl/mCwoajcLzX1HXR8p9" TargetMode="External"/><Relationship Id="rId7" Type="http://schemas.openxmlformats.org/officeDocument/2006/relationships/hyperlink" Target="https://goo.gl/maps/FxCd1NEVqg9LyAo1A" TargetMode="External"/><Relationship Id="rId12" Type="http://schemas.openxmlformats.org/officeDocument/2006/relationships/hyperlink" Target="https://goo.gl/maps/JzowktjwTc52Cerw7" TargetMode="External"/><Relationship Id="rId17" Type="http://schemas.openxmlformats.org/officeDocument/2006/relationships/hyperlink" Target="http://www.ppdb.ppaidarunnajah.id/" TargetMode="External"/><Relationship Id="rId2" Type="http://schemas.openxmlformats.org/officeDocument/2006/relationships/hyperlink" Target="https://goo.gl/maps/HF3Nqe9Jn7hqt8X19" TargetMode="External"/><Relationship Id="rId16" Type="http://schemas.openxmlformats.org/officeDocument/2006/relationships/hyperlink" Target="https://goo.gl/maps/3YVL2R4nwDpiCUQ98" TargetMode="External"/><Relationship Id="rId1" Type="http://schemas.openxmlformats.org/officeDocument/2006/relationships/hyperlink" Target="https://maps.app.goo.gl/sKUgaFckyuHoy5zJ9" TargetMode="External"/><Relationship Id="rId6" Type="http://schemas.openxmlformats.org/officeDocument/2006/relationships/hyperlink" Target="https://maps.app.goo.gl/oBW7ijMcX7TVzG2X7" TargetMode="External"/><Relationship Id="rId11" Type="http://schemas.openxmlformats.org/officeDocument/2006/relationships/hyperlink" Target="https://www.google.com/maps/place/PPTQ+asy+Syadzili+4,+Putuk+Selatan,+Putukrejo,+Kec.+Gondanglegi,+Malang,+Jawa+Timur+65174/@-8.1315835,112.6294002,17z/data=!4m2!3m1!1s0x2dd6207b0fae7997:0xbe06bb26bb7f715e" TargetMode="External"/><Relationship Id="rId5" Type="http://schemas.openxmlformats.org/officeDocument/2006/relationships/hyperlink" Target="https://maps.app.goo.gl/kHtXkt2S9ezUauCz7" TargetMode="External"/><Relationship Id="rId15" Type="http://schemas.openxmlformats.org/officeDocument/2006/relationships/hyperlink" Target="https://goo.gl/maps/fvkB2vzKyxWKp1Ec8" TargetMode="External"/><Relationship Id="rId10" Type="http://schemas.openxmlformats.org/officeDocument/2006/relationships/hyperlink" Target="https://goo.gl/maps/MFkMFB9ftFX668yE9" TargetMode="External"/><Relationship Id="rId4" Type="http://schemas.openxmlformats.org/officeDocument/2006/relationships/hyperlink" Target="https://www.google.com/maps/place/Dar+Al-Hikmah/@-7.892007,112.663175,15z/data=!4m2!3m1!1s0x0:0x9c0f20a1a312efd6?sa=X&amp;ved=2ahUKEwjVrPre_KPoAhUy6XMBHXkuA3MQ_BIwDHoECBoQCA" TargetMode="External"/><Relationship Id="rId9" Type="http://schemas.openxmlformats.org/officeDocument/2006/relationships/hyperlink" Target="https://bit.ly/30Bst66" TargetMode="External"/><Relationship Id="rId14" Type="http://schemas.openxmlformats.org/officeDocument/2006/relationships/hyperlink" Target="https://maps.app.goo.gl/qoF5es6JACFpMFJ9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nTKsdbrp9aLMx3qo7" TargetMode="External"/><Relationship Id="rId3" Type="http://schemas.openxmlformats.org/officeDocument/2006/relationships/hyperlink" Target="https://maps.app.goo.gl/onaEaPeQfMfYHkRc7" TargetMode="External"/><Relationship Id="rId7" Type="http://schemas.openxmlformats.org/officeDocument/2006/relationships/hyperlink" Target="https://maps.app.goo.gl/unHGU2CwKH6C8mSw5" TargetMode="External"/><Relationship Id="rId2" Type="http://schemas.openxmlformats.org/officeDocument/2006/relationships/hyperlink" Target="https://maps.app.goo.gl/SRCfntXFSM9UedmC7" TargetMode="External"/><Relationship Id="rId1" Type="http://schemas.openxmlformats.org/officeDocument/2006/relationships/hyperlink" Target="https://goo.gl/maps/YM8w9MtNYwdfn1im9" TargetMode="External"/><Relationship Id="rId6" Type="http://schemas.openxmlformats.org/officeDocument/2006/relationships/hyperlink" Target="https://www.google.com/maps/place/Pondok+Pesantren+Mambaul+Falah+Lorejo+Bakung+Blitar/@-8.2329274,112.1225597,19.63z/data=!4m12!1m6!3m5!1s0x0:0x3a2f0c4f4d836876!2sPondok+Pesantren+Mambaul+Falah+Lorejo+Bakung+Blitar!8m2!3d-8.2327297!4d112.1223578!3m4!1s0x0" TargetMode="External"/><Relationship Id="rId5" Type="http://schemas.openxmlformats.org/officeDocument/2006/relationships/hyperlink" Target="https://maps.app.goo.gl/jXEwTND4BDgD2jtY6" TargetMode="External"/><Relationship Id="rId10" Type="http://schemas.openxmlformats.org/officeDocument/2006/relationships/hyperlink" Target="http://www.alfalahjeblog.com/" TargetMode="External"/><Relationship Id="rId4" Type="http://schemas.openxmlformats.org/officeDocument/2006/relationships/hyperlink" Target="https://maps.app.goo.gl/oryNdzGoJmGBAxkAA" TargetMode="External"/><Relationship Id="rId9" Type="http://schemas.openxmlformats.org/officeDocument/2006/relationships/hyperlink" Target="https://goo.gl/maps/mVfvEx7HLKp7FtoM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LJzQPTHQdECSKzHDA" TargetMode="External"/><Relationship Id="rId3" Type="http://schemas.openxmlformats.org/officeDocument/2006/relationships/hyperlink" Target="https://maps.app.goo.gl/4nSW4XXN8iUSJ3Ps8" TargetMode="External"/><Relationship Id="rId7" Type="http://schemas.openxmlformats.org/officeDocument/2006/relationships/hyperlink" Target="https://goo.gl/maps/zUDgdc9HhY4NG6rbA" TargetMode="External"/><Relationship Id="rId2" Type="http://schemas.openxmlformats.org/officeDocument/2006/relationships/hyperlink" Target="https://maps.app.goo.gl/GeM3YTwkrLeQ868GA" TargetMode="External"/><Relationship Id="rId1" Type="http://schemas.openxmlformats.org/officeDocument/2006/relationships/hyperlink" Target="https://maps.app.goo.gl/KDGJprsG6VGj6EHY6" TargetMode="External"/><Relationship Id="rId6" Type="http://schemas.openxmlformats.org/officeDocument/2006/relationships/hyperlink" Target="https://maps.app.goo.gl/vNii3myk6QfL8EN27" TargetMode="External"/><Relationship Id="rId11" Type="http://schemas.openxmlformats.org/officeDocument/2006/relationships/hyperlink" Target="http://www.hidayatulloh.or.id/" TargetMode="External"/><Relationship Id="rId5" Type="http://schemas.openxmlformats.org/officeDocument/2006/relationships/hyperlink" Target="https://www.glunis.com/ID/Trenggalek/1613605725529107/Pondok-Tengah" TargetMode="External"/><Relationship Id="rId10" Type="http://schemas.openxmlformats.org/officeDocument/2006/relationships/hyperlink" Target="https://maps.app.goo.gl/QfZBxtrcsS1rpecV9" TargetMode="External"/><Relationship Id="rId4" Type="http://schemas.openxmlformats.org/officeDocument/2006/relationships/hyperlink" Target="https://maps.app.goo.gl/YnH5qd7e3rcKbwkr8" TargetMode="External"/><Relationship Id="rId9" Type="http://schemas.openxmlformats.org/officeDocument/2006/relationships/hyperlink" Target="https://www.google.com/maps/place/Pondok+Pesantren+Anwarul+Haromain/@-8.0978827,111.8231416,18.02z/data=!4m5!3m4!1s0x2e791daa45d73621:0xab099dfc2f902a94!8m2!3d-8.0974718!4d111.822991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1DppcpT3hdxxUkAGA" TargetMode="External"/><Relationship Id="rId13" Type="http://schemas.openxmlformats.org/officeDocument/2006/relationships/hyperlink" Target="https://goo.gl/maps/U4EU2mQHaBHMq7Lj9" TargetMode="External"/><Relationship Id="rId3" Type="http://schemas.openxmlformats.org/officeDocument/2006/relationships/hyperlink" Target="https://www.google.com/Pondok%20Pesantren%20Darussalam%20Mekar%20AgungJalan%20Kali%20Buntung%20No.122,%20Ringinanom,%20Pucanganom,%20Kebonsari,%20Madiun,%20Jawa%20Timur%2063173(0351)%20367770https:/g.co/kgs/BmHRXC" TargetMode="External"/><Relationship Id="rId7" Type="http://schemas.openxmlformats.org/officeDocument/2006/relationships/hyperlink" Target="https://www.google.com/maps/@-7.7296013,111.2569249,3a,75y,323.9h,94.25t/data=!3m6!1e1!3m4!1saaCJZqQKk1ugJypL8Rhjsw!2e0!7i16384!8i8192" TargetMode="External"/><Relationship Id="rId12" Type="http://schemas.openxmlformats.org/officeDocument/2006/relationships/hyperlink" Target="https://maps.app.goo.gl/hJctp21mQbmV89CD7" TargetMode="External"/><Relationship Id="rId2" Type="http://schemas.openxmlformats.org/officeDocument/2006/relationships/hyperlink" Target="https://maps.app.goo.gl/7zR2D4AXRKobJcEa6" TargetMode="External"/><Relationship Id="rId1" Type="http://schemas.openxmlformats.org/officeDocument/2006/relationships/hyperlink" Target="https://maps.app.goo.gl/aEDufwJuXHfgXTMf7" TargetMode="External"/><Relationship Id="rId6" Type="http://schemas.openxmlformats.org/officeDocument/2006/relationships/hyperlink" Target="https://maps.app.goo.gl/VDkLCfwFEZcwownu5" TargetMode="External"/><Relationship Id="rId11" Type="http://schemas.openxmlformats.org/officeDocument/2006/relationships/hyperlink" Target="https://goo.gl/maps/nANeih3ttuEmSrUHA" TargetMode="External"/><Relationship Id="rId5" Type="http://schemas.openxmlformats.org/officeDocument/2006/relationships/hyperlink" Target="https://maps.app.goo.gl/MPeYRV7mskDTF42M8" TargetMode="External"/><Relationship Id="rId15" Type="http://schemas.openxmlformats.org/officeDocument/2006/relationships/hyperlink" Target="mailto:kamoelseventeen@gmail.com" TargetMode="External"/><Relationship Id="rId10" Type="http://schemas.openxmlformats.org/officeDocument/2006/relationships/hyperlink" Target="https://ponpesmambaulhikmahkertenonline.wordpress.com/" TargetMode="External"/><Relationship Id="rId4" Type="http://schemas.openxmlformats.org/officeDocument/2006/relationships/hyperlink" Target="https://g.co/kgs/uY9rPe" TargetMode="External"/><Relationship Id="rId9" Type="http://schemas.openxmlformats.org/officeDocument/2006/relationships/hyperlink" Target="https://maps.app.goo.gl/3NpyXSWmUBNR5Cwb8" TargetMode="External"/><Relationship Id="rId14" Type="http://schemas.openxmlformats.org/officeDocument/2006/relationships/hyperlink" Target="https://g.co/kgs/tjk1Z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krpT52pAnhq55tLy7" TargetMode="External"/><Relationship Id="rId7" Type="http://schemas.openxmlformats.org/officeDocument/2006/relationships/hyperlink" Target="https://goo.gl/maps/RKNEqGWvqnvxApbZ9" TargetMode="External"/><Relationship Id="rId2" Type="http://schemas.openxmlformats.org/officeDocument/2006/relationships/hyperlink" Target="https://www.google.com/maps/place/Pondok+Pesantren+Nurul+Abror+Al-Robbaniyyin/@-8.0093943,114.4199125,17z/data=!4m8!1m2!2m1!1snurul+abror+al+robbaniyin!3m4!1s0x2dd1392e90cfec35:0x7ff1418c0b4b43d5!8m2!3d-8.0095477!4d114.4223962" TargetMode="External"/><Relationship Id="rId1" Type="http://schemas.openxmlformats.org/officeDocument/2006/relationships/hyperlink" Target="https://maps.app.goo.gl/irQNPf1WWSoy7L9C9" TargetMode="External"/><Relationship Id="rId6" Type="http://schemas.openxmlformats.org/officeDocument/2006/relationships/hyperlink" Target="https://goo.gl/maps/gM62yrV3cm5MuUWC8" TargetMode="External"/><Relationship Id="rId5" Type="http://schemas.openxmlformats.org/officeDocument/2006/relationships/hyperlink" Target="https://goo.gl/maps/moG6FJVYtyD1ZDwq5" TargetMode="External"/><Relationship Id="rId4" Type="http://schemas.openxmlformats.org/officeDocument/2006/relationships/hyperlink" Target="https://www.google.co.id/maps/@-8.4254612,114.1568812,18.25z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lmusaaadah.blogspot.com/" TargetMode="External"/><Relationship Id="rId3" Type="http://schemas.openxmlformats.org/officeDocument/2006/relationships/hyperlink" Target="https://g.page/yppp-alrosyid?share" TargetMode="External"/><Relationship Id="rId7" Type="http://schemas.openxmlformats.org/officeDocument/2006/relationships/hyperlink" Target="https://goo.gl/maps/ipt8tQuQrezbLqdQ7" TargetMode="External"/><Relationship Id="rId2" Type="http://schemas.openxmlformats.org/officeDocument/2006/relationships/hyperlink" Target="https://maps.google.com/?cid=17196773838750989004" TargetMode="External"/><Relationship Id="rId1" Type="http://schemas.openxmlformats.org/officeDocument/2006/relationships/hyperlink" Target="https://goo.gl/maps/xux546AyQNoP6AXH9" TargetMode="External"/><Relationship Id="rId6" Type="http://schemas.openxmlformats.org/officeDocument/2006/relationships/hyperlink" Target="https://g.page/darulfiqhimirulamongan?share" TargetMode="External"/><Relationship Id="rId5" Type="http://schemas.openxmlformats.org/officeDocument/2006/relationships/hyperlink" Target="https://goo.gl/maps/BMTsphc6vviALvJy9" TargetMode="External"/><Relationship Id="rId4" Type="http://schemas.openxmlformats.org/officeDocument/2006/relationships/hyperlink" Target="https://goo.gl/maps/W9h7ED6nDTRZCFUQA" TargetMode="External"/><Relationship Id="rId9" Type="http://schemas.openxmlformats.org/officeDocument/2006/relationships/hyperlink" Target="http://langitan.net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CHPLUaj5EvTbXokS9" TargetMode="External"/><Relationship Id="rId3" Type="http://schemas.openxmlformats.org/officeDocument/2006/relationships/hyperlink" Target="https://maps.app.goo.gl/The8PBZ2yqCQRicQ6" TargetMode="External"/><Relationship Id="rId7" Type="http://schemas.openxmlformats.org/officeDocument/2006/relationships/hyperlink" Target="https://maps.app.goo.gl/C2ZCfo7BXf76siiK9" TargetMode="External"/><Relationship Id="rId12" Type="http://schemas.openxmlformats.org/officeDocument/2006/relationships/hyperlink" Target="https://mazroatullughoh.id/" TargetMode="External"/><Relationship Id="rId2" Type="http://schemas.openxmlformats.org/officeDocument/2006/relationships/hyperlink" Target="https://maps.app.goo.gl/mEehpyY1926b5NMYA" TargetMode="External"/><Relationship Id="rId1" Type="http://schemas.openxmlformats.org/officeDocument/2006/relationships/hyperlink" Target="https://maps.app.goo.gl/7JkELyU7dBUNjtBo9" TargetMode="External"/><Relationship Id="rId6" Type="http://schemas.openxmlformats.org/officeDocument/2006/relationships/hyperlink" Target="https://bit.ly/31VV2vU" TargetMode="External"/><Relationship Id="rId11" Type="http://schemas.openxmlformats.org/officeDocument/2006/relationships/hyperlink" Target="mailto:pplirboyocabangpagung@gmail.com" TargetMode="External"/><Relationship Id="rId5" Type="http://schemas.openxmlformats.org/officeDocument/2006/relationships/hyperlink" Target="https://bit.ly/2W3Er5E" TargetMode="External"/><Relationship Id="rId10" Type="http://schemas.openxmlformats.org/officeDocument/2006/relationships/hyperlink" Target="https://goo.gl/maps/JirakCVNf2y41BWAA" TargetMode="External"/><Relationship Id="rId4" Type="http://schemas.openxmlformats.org/officeDocument/2006/relationships/hyperlink" Target="https://maps.app.goo.gl/GAGqDHyeqmtDJPbr8" TargetMode="External"/><Relationship Id="rId9" Type="http://schemas.openxmlformats.org/officeDocument/2006/relationships/hyperlink" Target="https://maps.app.goo.gl/WUidqnEcNvVkK5AT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NN16" TargetMode="External"/><Relationship Id="rId2" Type="http://schemas.openxmlformats.org/officeDocument/2006/relationships/hyperlink" Target="https://maps.app.goo.gl/jGWdS3wr5yfz3so17" TargetMode="External"/><Relationship Id="rId1" Type="http://schemas.openxmlformats.org/officeDocument/2006/relationships/hyperlink" Target="https://maps.app.goo.gl/5oZVL1WqqkKssLRG8" TargetMode="External"/><Relationship Id="rId5" Type="http://schemas.openxmlformats.org/officeDocument/2006/relationships/hyperlink" Target="https://g.page/pesantrenattahdzib?share" TargetMode="External"/><Relationship Id="rId4" Type="http://schemas.openxmlformats.org/officeDocument/2006/relationships/hyperlink" Target="https://www.google.com/maps/place/PP+Al+Mardliyyah/@-7.5220965,112.2335891,19.59z/data=!4m8!1m2!2m1!1spondok+pesantren+al+mardliyah+bahrul+ulum!3m4!1s0x2e783f632853f14b:0x54e19aac47ff2fe6!8m2!3d-7.5219329!4d112.233729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iz8z51r7neD4MZsp7" TargetMode="External"/><Relationship Id="rId13" Type="http://schemas.openxmlformats.org/officeDocument/2006/relationships/hyperlink" Target="https://maps.google.com/?cid=18051274902928392049" TargetMode="External"/><Relationship Id="rId18" Type="http://schemas.openxmlformats.org/officeDocument/2006/relationships/hyperlink" Target="http://ponpesalhidayah.id/" TargetMode="External"/><Relationship Id="rId3" Type="http://schemas.openxmlformats.org/officeDocument/2006/relationships/hyperlink" Target="https://goo.gl/maps/e19Scf3QBciy9WY68" TargetMode="External"/><Relationship Id="rId7" Type="http://schemas.openxmlformats.org/officeDocument/2006/relationships/hyperlink" Target="https://maps.app.goo.gl/22mtjAeJ1Xc6cuqx5" TargetMode="External"/><Relationship Id="rId12" Type="http://schemas.openxmlformats.org/officeDocument/2006/relationships/hyperlink" Target="https://maps.google.com/?cid=18165262604339111950" TargetMode="External"/><Relationship Id="rId17" Type="http://schemas.openxmlformats.org/officeDocument/2006/relationships/hyperlink" Target="https://almaaba.pondokpesantren.id/admin.php" TargetMode="External"/><Relationship Id="rId2" Type="http://schemas.openxmlformats.org/officeDocument/2006/relationships/hyperlink" Target="https://maps.app.goo.gl/XVZBzvzGgmVa59qV8" TargetMode="External"/><Relationship Id="rId16" Type="http://schemas.openxmlformats.org/officeDocument/2006/relationships/hyperlink" Target="http://mambaulhikmahmedia.com/" TargetMode="External"/><Relationship Id="rId20" Type="http://schemas.openxmlformats.org/officeDocument/2006/relationships/hyperlink" Target="http://riyadlulquran.ponpes.id/" TargetMode="External"/><Relationship Id="rId1" Type="http://schemas.openxmlformats.org/officeDocument/2006/relationships/hyperlink" Target="https://www.google.com/maps/place/Pon+Pes+Fatchul+Ulum+Pacet/@-7.6657554,112.5419334,18z/data=!4m5!3m4!1s0x0:0x42cc7e1bc7847dc5!8m2!3d-7.665271!4d112.5405687" TargetMode="External"/><Relationship Id="rId6" Type="http://schemas.openxmlformats.org/officeDocument/2006/relationships/hyperlink" Target="https://maps.app.goo.gl/kGmrK1r53VNbBAyz6" TargetMode="External"/><Relationship Id="rId11" Type="http://schemas.openxmlformats.org/officeDocument/2006/relationships/hyperlink" Target="https://maps.google.com/?cid=16971337202220830132" TargetMode="External"/><Relationship Id="rId5" Type="http://schemas.openxmlformats.org/officeDocument/2006/relationships/hyperlink" Target="https://www.google.com/maps/uv?hl=jv&amp;pb=!1s0x2e781271aa0f41c9:0xb7e63626d2eb5ec!3m1!7e115!4s/maps/place/pondok%2Bpesantren%2Bsabilul%2Bmuttaqin%2Bkota%2Bmojokerto%2Bjawa%2Btimur/@-7.4715537,112.4295102,3a,75y,19.67h,90t/data%3D*213m4*211e1*213m2*211syFB_3" TargetMode="External"/><Relationship Id="rId15" Type="http://schemas.openxmlformats.org/officeDocument/2006/relationships/hyperlink" Target="https://maps.app.goo.gl/9jnjSyFnUPuFwwrZ9" TargetMode="External"/><Relationship Id="rId10" Type="http://schemas.openxmlformats.org/officeDocument/2006/relationships/hyperlink" Target="https://maps.app.goo.gl/3shkq4BfYFE7H9W56" TargetMode="External"/><Relationship Id="rId19" Type="http://schemas.openxmlformats.org/officeDocument/2006/relationships/hyperlink" Target="http://alhidayah.id/" TargetMode="External"/><Relationship Id="rId4" Type="http://schemas.openxmlformats.org/officeDocument/2006/relationships/hyperlink" Target="https://www.google.com/maps/place/YPP+NURIS/@-7.507792,112.581832,13z/data=!4m5!3m4!1s0x0:0xee0fc0572520ceac!8m2!3d-7.5077925!4d112.5818319?hl=id" TargetMode="External"/><Relationship Id="rId9" Type="http://schemas.openxmlformats.org/officeDocument/2006/relationships/hyperlink" Target="https://maps.app.goo.gl/CJsDrBbyPhmdkxXt8" TargetMode="External"/><Relationship Id="rId14" Type="http://schemas.openxmlformats.org/officeDocument/2006/relationships/hyperlink" Target="http://alizzahofficial2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pptqebqoryjember.com/" TargetMode="External"/><Relationship Id="rId3" Type="http://schemas.openxmlformats.org/officeDocument/2006/relationships/hyperlink" Target="https://goo.gl/maps/zxfYxnEoMnFgVGkH7" TargetMode="External"/><Relationship Id="rId7" Type="http://schemas.openxmlformats.org/officeDocument/2006/relationships/hyperlink" Target="http://nahdlatularifin.ponpes.id/" TargetMode="External"/><Relationship Id="rId2" Type="http://schemas.openxmlformats.org/officeDocument/2006/relationships/hyperlink" Target="https://goo.gl/maps/kgkHkoeuHf2FHjXSA" TargetMode="External"/><Relationship Id="rId1" Type="http://schemas.openxmlformats.org/officeDocument/2006/relationships/hyperlink" Target="https://www.google.com/maps/place/82004'55.22S+1132049'54.52E/@-8.1130583,113.8362812,17z" TargetMode="External"/><Relationship Id="rId6" Type="http://schemas.openxmlformats.org/officeDocument/2006/relationships/hyperlink" Target="http://yayasanmahadraudlatululum.com/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goo.gl/maps/WcjMH6FmVbGG5nyT8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google.co.id/maps/place/Pondok+Pesantren+Darut+Tholibin+AL+QODIRI+2/@-8.2952233,113.3969818,17z/data=!4m8!1m2!2m1!1salqodiri+02!3m4!1s0x2dd687ef45a4cd09:0x696a7eff4cdc9e4c!8m2!3d-8.294943!4d113.3989976?hl=id" TargetMode="External"/><Relationship Id="rId9" Type="http://schemas.openxmlformats.org/officeDocument/2006/relationships/hyperlink" Target="http://sysrifuddin.net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annurmediacemoro.net/" TargetMode="External"/><Relationship Id="rId1" Type="http://schemas.openxmlformats.org/officeDocument/2006/relationships/hyperlink" Target="https://goo.gl/maps/CqK9ev5xoyjzLnjn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pTQMQFUn25owh1nC9" TargetMode="External"/><Relationship Id="rId3" Type="http://schemas.openxmlformats.org/officeDocument/2006/relationships/hyperlink" Target="https://maps.app.goo.gl/TuYAMbBr1QKE7vNc7" TargetMode="External"/><Relationship Id="rId7" Type="http://schemas.openxmlformats.org/officeDocument/2006/relationships/hyperlink" Target="https://maps.app.goo.gl/AVZtwM6QKivnS7Ru7" TargetMode="External"/><Relationship Id="rId12" Type="http://schemas.openxmlformats.org/officeDocument/2006/relationships/hyperlink" Target="https://maps.app.goo.gl/GQ3PhZELZ2ZTM5sg6" TargetMode="External"/><Relationship Id="rId2" Type="http://schemas.openxmlformats.org/officeDocument/2006/relationships/hyperlink" Target="mailto:pp.almubaroklanbulan@gmail.com" TargetMode="External"/><Relationship Id="rId1" Type="http://schemas.openxmlformats.org/officeDocument/2006/relationships/hyperlink" Target="https://goo.gl/maps/NQiKDSJmbUNbia7Y8" TargetMode="External"/><Relationship Id="rId6" Type="http://schemas.openxmlformats.org/officeDocument/2006/relationships/hyperlink" Target="https://maps.app.goo.gl/2dz69faxAyozTzUX9" TargetMode="External"/><Relationship Id="rId11" Type="http://schemas.openxmlformats.org/officeDocument/2006/relationships/hyperlink" Target="https://goo.gl/maps/YALcx33sAThqznuR7" TargetMode="External"/><Relationship Id="rId5" Type="http://schemas.openxmlformats.org/officeDocument/2006/relationships/hyperlink" Target="https://goo.gl/maps/u5BCn1V8JB1GkrGZ9" TargetMode="External"/><Relationship Id="rId10" Type="http://schemas.openxmlformats.org/officeDocument/2006/relationships/hyperlink" Target="https://www.google.com/maps/place/Pondok+Pesantren+Miftahul+Ulum+Panyepen/@-7.0841127,113.453258,17z/data=!3m1!4b1!4m5!3m4!1s0x2dd9d414992a84f1:0xad2071915050a617!8m2!3d-7.0841176!4d113.4554436" TargetMode="External"/><Relationship Id="rId4" Type="http://schemas.openxmlformats.org/officeDocument/2006/relationships/hyperlink" Target="https://maps.google.com/maps?q=-6.9846557%2C113.0684614&amp;z=17&amp;hl=en" TargetMode="External"/><Relationship Id="rId9" Type="http://schemas.openxmlformats.org/officeDocument/2006/relationships/hyperlink" Target="https://goo.gl/maps/1d49ZFjggpC8JcPi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8nhVTizjnjFTFq3R7" TargetMode="External"/><Relationship Id="rId2" Type="http://schemas.openxmlformats.org/officeDocument/2006/relationships/hyperlink" Target="https://www.google.com/maps/place/Salafiyah+Syafi'iyah+Sukorejo+Boarding+School/@-7.7459752,114.2754953,17z/data=!3m1!4b1!4m5!3m4!1s0x2dd124ffffffffff:0x6235489c463838d4!8m2!3d-7.7459752!4d114.277684" TargetMode="External"/><Relationship Id="rId1" Type="http://schemas.openxmlformats.org/officeDocument/2006/relationships/hyperlink" Target="https://www.google.com/maps/place/Pesantren+Zainul+Hasan+Genggong/@-7.7903064,113.3747062,15z/data=!4m2!3m1!1s0x0:0xe84d43c739cb23e2?sa=X&amp;ved=2ahUKEwif_-Hag9H0AhUF1hoKHTPqDz8Q_BJ6BAhFEAU" TargetMode="External"/><Relationship Id="rId5" Type="http://schemas.openxmlformats.org/officeDocument/2006/relationships/hyperlink" Target="http://pzhgenggong.or.id/" TargetMode="External"/><Relationship Id="rId4" Type="http://schemas.openxmlformats.org/officeDocument/2006/relationships/hyperlink" Target="https://www.google.com/maps/place/Pondok+Pesantren+Al-Kholiliyah,+Unnamed+Road,+Ds.tengah,+Ds.tengah,+Brani+Kulon,+Maron,+Probolinggo,+Jawa+Timur+67276/@-7.8320092,113.3693051,16z/data=!4m2!3m1!1s0x2dd654fb72b1bc7f:0xf992a0c1c0eee2f2?hl=id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7bswzqs1QCcZCDKM6" TargetMode="External"/><Relationship Id="rId3" Type="http://schemas.openxmlformats.org/officeDocument/2006/relationships/hyperlink" Target="https://maps.app.goo.gl/wSeGKaATucf3Sxrz8" TargetMode="External"/><Relationship Id="rId7" Type="http://schemas.openxmlformats.org/officeDocument/2006/relationships/hyperlink" Target="http://www.darussalamkeputih.com/" TargetMode="External"/><Relationship Id="rId2" Type="http://schemas.openxmlformats.org/officeDocument/2006/relationships/hyperlink" Target="https://goo.gl/maps/tye3MqpHZjRDdsYB9" TargetMode="External"/><Relationship Id="rId1" Type="http://schemas.openxmlformats.org/officeDocument/2006/relationships/hyperlink" Target="https://www.google.com/maps/place/Pondok+Pesantren+Tahfidhul+Qur'an+Sunan+Giri/@-7.2197923,112.7499278,17z/data=!4m19!1m13!4m12!1m4!2m2!1d112.7521215!2d-7.219762!4e1!1m6!1m2!1s0x2dd7f8fb3f39e475:0xd4c5a38efb6f9858!2spptq+sunan+giri!2m2!1d112.7520596!2d-7." TargetMode="External"/><Relationship Id="rId6" Type="http://schemas.openxmlformats.org/officeDocument/2006/relationships/hyperlink" Target="https://maps.app.goo.gl/xVSKkX6s3nk3kb8S8" TargetMode="External"/><Relationship Id="rId5" Type="http://schemas.openxmlformats.org/officeDocument/2006/relationships/hyperlink" Target="https://maps.app.goo.gl/yHUH58be2YmjZEfX7" TargetMode="External"/><Relationship Id="rId10" Type="http://schemas.openxmlformats.org/officeDocument/2006/relationships/hyperlink" Target="http://www.pesantrenannur.com/" TargetMode="External"/><Relationship Id="rId4" Type="http://schemas.openxmlformats.org/officeDocument/2006/relationships/hyperlink" Target="https://g.page/ppqomaruddin?share" TargetMode="External"/><Relationship Id="rId9" Type="http://schemas.openxmlformats.org/officeDocument/2006/relationships/hyperlink" Target="https://pesantrenannur.com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Pondok+Pesantren+a+Krian/@-7.4147082,112.5806486,17z/data=!3m1!4b1!4m5!3m4!1s0x2e7809a2c33a3107:0x2a45b6bdcc397a3a!8m2!3d-7.4147135!4d112.5828373" TargetMode="External"/><Relationship Id="rId13" Type="http://schemas.openxmlformats.org/officeDocument/2006/relationships/hyperlink" Target="http://pondokpesantrenkramat.net/" TargetMode="External"/><Relationship Id="rId3" Type="http://schemas.openxmlformats.org/officeDocument/2006/relationships/hyperlink" Target="https://goo.gl/maps/RtHMHmFdbfwLoQrm7" TargetMode="External"/><Relationship Id="rId7" Type="http://schemas.openxmlformats.org/officeDocument/2006/relationships/hyperlink" Target="https://maps.app.goo.gl/ztER3qWX28YYNhxx7" TargetMode="External"/><Relationship Id="rId12" Type="http://schemas.openxmlformats.org/officeDocument/2006/relationships/hyperlink" Target="https://sabilurrosyad.n.nu/" TargetMode="External"/><Relationship Id="rId2" Type="http://schemas.openxmlformats.org/officeDocument/2006/relationships/hyperlink" Target="https://www.google.com/maps/place/SMP+Islam+Darul+Karomah/@-7.6370169,112.9175036,17z/data=!3m1!4b1!4m5!3m4!1s0x510067393a9a199:0xb29fa04415592a6b!8m2!3d-7.6370169!4d112.9196923" TargetMode="External"/><Relationship Id="rId16" Type="http://schemas.openxmlformats.org/officeDocument/2006/relationships/comments" Target="../comments2.xml"/><Relationship Id="rId1" Type="http://schemas.openxmlformats.org/officeDocument/2006/relationships/hyperlink" Target="https://www.google.com/maps/place/Sekolah+Progresif+Bumi+Shalawat/@-7.450984,112.6622843,17z/data=!3m1!4b1!4m5!3m4!1s0x2dd7e10b4a9c4e55:0x8b0dd9bf801cde43!8m2!3d-7.450984!4d112.664473" TargetMode="External"/><Relationship Id="rId6" Type="http://schemas.openxmlformats.org/officeDocument/2006/relationships/hyperlink" Target="https://maps.app.goo.gl/eikw8TkavxdwCV527" TargetMode="External"/><Relationship Id="rId11" Type="http://schemas.openxmlformats.org/officeDocument/2006/relationships/hyperlink" Target="mailto:rounamedia@gmail.com" TargetMode="External"/><Relationship Id="rId5" Type="http://schemas.openxmlformats.org/officeDocument/2006/relationships/hyperlink" Target="https://www.google.co.id/maps/place/Pondok+Pesantren+Darul+Karomah+Gunung+Jati/@-7.6133834,112.8558751,17z/data=!4m5!3m4!1s0x2dd7c4581041a3f3:0xf9ca4f403c43c94d!8m2!3d-7.613066!4d112.8590707?hl=id" TargetMode="External"/><Relationship Id="rId15" Type="http://schemas.openxmlformats.org/officeDocument/2006/relationships/vmlDrawing" Target="../drawings/vmlDrawing2.vml"/><Relationship Id="rId10" Type="http://schemas.openxmlformats.org/officeDocument/2006/relationships/hyperlink" Target="https://g.page/AlKhoziny?share" TargetMode="External"/><Relationship Id="rId4" Type="http://schemas.openxmlformats.org/officeDocument/2006/relationships/hyperlink" Target="https://maps.app.goo.gl/WniMDiBrsGDfQunH8" TargetMode="External"/><Relationship Id="rId9" Type="http://schemas.openxmlformats.org/officeDocument/2006/relationships/hyperlink" Target="https://www.google.co.id/maps/place/Wico+ponpes+gunung+jati+Pasuruan/@-7.6133367,112.8583533,18.5z/data=!4m5!3m4!1s0x2dd7c5c8e4147d0d:0xddc0b01bff95a331!8m2!3d-7.6130839!4d112.8591129" TargetMode="External"/><Relationship Id="rId14" Type="http://schemas.openxmlformats.org/officeDocument/2006/relationships/hyperlink" Target="https://www.ponpes-darululumtlasi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0"/>
  <sheetViews>
    <sheetView tabSelected="1" topLeftCell="A14" workbookViewId="0">
      <selection activeCell="B6" sqref="B6"/>
    </sheetView>
  </sheetViews>
  <sheetFormatPr baseColWidth="10" defaultColWidth="12.6640625" defaultRowHeight="15.75" customHeight="1" x14ac:dyDescent="0.15"/>
  <cols>
    <col min="1" max="1" width="15.83203125" customWidth="1"/>
    <col min="2" max="2" width="38.33203125" customWidth="1"/>
    <col min="3" max="3" width="52" customWidth="1"/>
    <col min="4" max="4" width="19.5" customWidth="1"/>
  </cols>
  <sheetData>
    <row r="1" spans="1:27" ht="16" x14ac:dyDescent="0.2">
      <c r="A1" s="238" t="s">
        <v>0</v>
      </c>
      <c r="B1" s="239"/>
      <c r="C1" s="239"/>
      <c r="D1" s="23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 x14ac:dyDescent="0.2">
      <c r="A2" s="238" t="s">
        <v>1</v>
      </c>
      <c r="B2" s="239"/>
      <c r="C2" s="239"/>
      <c r="D2" s="23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" x14ac:dyDescent="0.2">
      <c r="A3" s="2"/>
      <c r="B3" s="1"/>
      <c r="C3" s="3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51.7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x14ac:dyDescent="0.2">
      <c r="A5" s="5">
        <v>1</v>
      </c>
      <c r="B5" s="6" t="s">
        <v>6</v>
      </c>
      <c r="C5" s="7" t="s">
        <v>7</v>
      </c>
      <c r="D5" s="8">
        <v>111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" x14ac:dyDescent="0.2">
      <c r="A6" s="5">
        <v>2</v>
      </c>
      <c r="B6" s="6" t="s">
        <v>8</v>
      </c>
      <c r="C6" s="7" t="s">
        <v>9</v>
      </c>
      <c r="D6" s="8">
        <v>34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7" x14ac:dyDescent="0.2">
      <c r="A7" s="5">
        <v>3</v>
      </c>
      <c r="B7" s="6" t="s">
        <v>10</v>
      </c>
      <c r="C7" s="9" t="s">
        <v>11</v>
      </c>
      <c r="D7" s="8">
        <v>49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x14ac:dyDescent="0.2">
      <c r="A8" s="5">
        <v>4</v>
      </c>
      <c r="B8" s="6" t="s">
        <v>12</v>
      </c>
      <c r="C8" s="10" t="s">
        <v>13</v>
      </c>
      <c r="D8" s="8">
        <v>51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" x14ac:dyDescent="0.2">
      <c r="A9" s="5">
        <v>5</v>
      </c>
      <c r="B9" s="6" t="s">
        <v>14</v>
      </c>
      <c r="C9" s="7" t="s">
        <v>15</v>
      </c>
      <c r="D9" s="8">
        <v>28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" x14ac:dyDescent="0.2">
      <c r="A10" s="5">
        <v>6</v>
      </c>
      <c r="B10" s="6" t="s">
        <v>16</v>
      </c>
      <c r="C10" s="7" t="s">
        <v>17</v>
      </c>
      <c r="D10" s="8">
        <v>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" x14ac:dyDescent="0.2">
      <c r="A11" s="5">
        <v>7</v>
      </c>
      <c r="B11" s="6" t="s">
        <v>18</v>
      </c>
      <c r="C11" s="7" t="s">
        <v>19</v>
      </c>
      <c r="D11" s="8">
        <v>46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" x14ac:dyDescent="0.2">
      <c r="A12" s="5">
        <v>8</v>
      </c>
      <c r="B12" s="6" t="s">
        <v>20</v>
      </c>
      <c r="C12" s="7" t="s">
        <v>21</v>
      </c>
      <c r="D12" s="8">
        <v>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" x14ac:dyDescent="0.2">
      <c r="A13" s="5">
        <v>9</v>
      </c>
      <c r="B13" s="6" t="s">
        <v>22</v>
      </c>
      <c r="C13" s="7" t="s">
        <v>23</v>
      </c>
      <c r="D13" s="8">
        <v>57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" x14ac:dyDescent="0.2">
      <c r="A14" s="11">
        <v>10</v>
      </c>
      <c r="B14" s="6" t="s">
        <v>24</v>
      </c>
      <c r="C14" s="7" t="s">
        <v>25</v>
      </c>
      <c r="D14" s="8">
        <v>130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" x14ac:dyDescent="0.2">
      <c r="A15" s="11">
        <v>11</v>
      </c>
      <c r="B15" s="6" t="s">
        <v>26</v>
      </c>
      <c r="C15" s="7" t="s">
        <v>27</v>
      </c>
      <c r="D15" s="8">
        <v>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.75" customHeight="1" x14ac:dyDescent="0.2">
      <c r="A16" s="11">
        <v>12</v>
      </c>
      <c r="B16" s="6" t="s">
        <v>28</v>
      </c>
      <c r="C16" s="10" t="s">
        <v>29</v>
      </c>
      <c r="D16" s="8">
        <v>132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" x14ac:dyDescent="0.2">
      <c r="A17" s="11">
        <v>13</v>
      </c>
      <c r="B17" s="247" t="s">
        <v>30</v>
      </c>
      <c r="C17" s="7" t="s">
        <v>31</v>
      </c>
      <c r="D17" s="8">
        <v>36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" x14ac:dyDescent="0.2">
      <c r="A18" s="11">
        <v>14</v>
      </c>
      <c r="B18" s="6" t="s">
        <v>32</v>
      </c>
      <c r="C18" s="7" t="s">
        <v>33</v>
      </c>
      <c r="D18" s="8">
        <v>49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" x14ac:dyDescent="0.2">
      <c r="A19" s="11">
        <v>15</v>
      </c>
      <c r="B19" s="247" t="s">
        <v>5718</v>
      </c>
      <c r="C19" s="7" t="s">
        <v>34</v>
      </c>
      <c r="D19" s="8">
        <v>51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" x14ac:dyDescent="0.2">
      <c r="A20" s="11">
        <v>16</v>
      </c>
      <c r="B20" s="247" t="s">
        <v>5717</v>
      </c>
      <c r="C20" s="248" t="s">
        <v>5719</v>
      </c>
      <c r="D20" s="8">
        <v>26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" x14ac:dyDescent="0.2">
      <c r="A21" s="240" t="s">
        <v>35</v>
      </c>
      <c r="B21" s="241"/>
      <c r="C21" s="12"/>
      <c r="D21" s="13">
        <f>SUM(D5:D20)</f>
        <v>939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" x14ac:dyDescent="0.2">
      <c r="A22" s="2"/>
      <c r="B22" s="1"/>
      <c r="C22" s="3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" x14ac:dyDescent="0.2">
      <c r="A23" s="2"/>
      <c r="B23" s="1"/>
      <c r="C23" s="3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" x14ac:dyDescent="0.2">
      <c r="A24" s="2"/>
      <c r="B24" s="1"/>
      <c r="C24" s="3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" x14ac:dyDescent="0.2">
      <c r="A25" s="2"/>
      <c r="B25" s="1"/>
      <c r="C25" s="3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" x14ac:dyDescent="0.2">
      <c r="A26" s="2"/>
      <c r="B26" s="1"/>
      <c r="C26" s="3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" x14ac:dyDescent="0.2">
      <c r="A27" s="2"/>
      <c r="B27" s="1"/>
      <c r="C27" s="3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" x14ac:dyDescent="0.2">
      <c r="A28" s="2"/>
      <c r="B28" s="1"/>
      <c r="C28" s="3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" x14ac:dyDescent="0.2">
      <c r="A29" s="2"/>
      <c r="B29" s="1"/>
      <c r="C29" s="3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" x14ac:dyDescent="0.2">
      <c r="A30" s="2"/>
      <c r="B30" s="1"/>
      <c r="C30" s="3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" x14ac:dyDescent="0.2">
      <c r="A31" s="2"/>
      <c r="B31" s="1"/>
      <c r="C31" s="3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" x14ac:dyDescent="0.2">
      <c r="A32" s="2"/>
      <c r="B32" s="1"/>
      <c r="C32" s="3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" x14ac:dyDescent="0.2">
      <c r="A33" s="2"/>
      <c r="B33" s="1"/>
      <c r="C33" s="3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" x14ac:dyDescent="0.2">
      <c r="A34" s="2"/>
      <c r="B34" s="1"/>
      <c r="C34" s="3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" x14ac:dyDescent="0.2">
      <c r="A35" s="2"/>
      <c r="B35" s="1"/>
      <c r="C35" s="3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" x14ac:dyDescent="0.2">
      <c r="A36" s="2"/>
      <c r="B36" s="1"/>
      <c r="C36" s="3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" x14ac:dyDescent="0.2">
      <c r="A37" s="2"/>
      <c r="B37" s="1"/>
      <c r="C37" s="3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" x14ac:dyDescent="0.2">
      <c r="A38" s="2"/>
      <c r="B38" s="1"/>
      <c r="C38" s="3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" x14ac:dyDescent="0.2">
      <c r="A39" s="2"/>
      <c r="B39" s="1"/>
      <c r="C39" s="3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" x14ac:dyDescent="0.2">
      <c r="A40" s="2"/>
      <c r="B40" s="1"/>
      <c r="C40" s="3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" x14ac:dyDescent="0.2">
      <c r="A41" s="2"/>
      <c r="B41" s="1"/>
      <c r="C41" s="3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" x14ac:dyDescent="0.2">
      <c r="A42" s="2"/>
      <c r="B42" s="1"/>
      <c r="C42" s="3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" x14ac:dyDescent="0.2">
      <c r="A43" s="2"/>
      <c r="B43" s="1"/>
      <c r="C43" s="3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" x14ac:dyDescent="0.2">
      <c r="A44" s="2"/>
      <c r="B44" s="1"/>
      <c r="C44" s="3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" x14ac:dyDescent="0.2">
      <c r="A45" s="2"/>
      <c r="B45" s="1"/>
      <c r="C45" s="3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" x14ac:dyDescent="0.2">
      <c r="A46" s="2"/>
      <c r="B46" s="1"/>
      <c r="C46" s="3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" x14ac:dyDescent="0.2">
      <c r="A47" s="2"/>
      <c r="B47" s="1"/>
      <c r="C47" s="3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" x14ac:dyDescent="0.2">
      <c r="A48" s="2"/>
      <c r="B48" s="1"/>
      <c r="C48" s="3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" x14ac:dyDescent="0.2">
      <c r="A49" s="2"/>
      <c r="B49" s="1"/>
      <c r="C49" s="3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" x14ac:dyDescent="0.2">
      <c r="A50" s="2"/>
      <c r="B50" s="1"/>
      <c r="C50" s="3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" x14ac:dyDescent="0.2">
      <c r="A51" s="2"/>
      <c r="B51" s="1"/>
      <c r="C51" s="3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" x14ac:dyDescent="0.2">
      <c r="A52" s="2"/>
      <c r="B52" s="1"/>
      <c r="C52" s="3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" x14ac:dyDescent="0.2">
      <c r="A53" s="2"/>
      <c r="B53" s="1"/>
      <c r="C53" s="3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" x14ac:dyDescent="0.2">
      <c r="A54" s="2"/>
      <c r="B54" s="1"/>
      <c r="C54" s="3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 x14ac:dyDescent="0.2">
      <c r="A55" s="2"/>
      <c r="B55" s="1"/>
      <c r="C55" s="3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" x14ac:dyDescent="0.2">
      <c r="A56" s="2"/>
      <c r="B56" s="1"/>
      <c r="C56" s="3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" x14ac:dyDescent="0.2">
      <c r="A57" s="2"/>
      <c r="B57" s="1"/>
      <c r="C57" s="3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" x14ac:dyDescent="0.2">
      <c r="A58" s="2"/>
      <c r="B58" s="1"/>
      <c r="C58" s="3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" x14ac:dyDescent="0.2">
      <c r="A59" s="2"/>
      <c r="B59" s="1"/>
      <c r="C59" s="3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" x14ac:dyDescent="0.2">
      <c r="A60" s="2"/>
      <c r="B60" s="1"/>
      <c r="C60" s="3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" x14ac:dyDescent="0.2">
      <c r="A61" s="2"/>
      <c r="B61" s="1"/>
      <c r="C61" s="3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" x14ac:dyDescent="0.2">
      <c r="A62" s="2"/>
      <c r="B62" s="1"/>
      <c r="C62" s="3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" x14ac:dyDescent="0.2">
      <c r="A63" s="2"/>
      <c r="B63" s="1"/>
      <c r="C63" s="3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" x14ac:dyDescent="0.2">
      <c r="A64" s="2"/>
      <c r="B64" s="1"/>
      <c r="C64" s="3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" x14ac:dyDescent="0.2">
      <c r="A65" s="2"/>
      <c r="B65" s="1"/>
      <c r="C65" s="3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" x14ac:dyDescent="0.2">
      <c r="A66" s="2"/>
      <c r="B66" s="1"/>
      <c r="C66" s="3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" x14ac:dyDescent="0.2">
      <c r="A67" s="2"/>
      <c r="B67" s="1"/>
      <c r="C67" s="3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" x14ac:dyDescent="0.2">
      <c r="A68" s="2"/>
      <c r="B68" s="1"/>
      <c r="C68" s="3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" x14ac:dyDescent="0.2">
      <c r="A69" s="2"/>
      <c r="B69" s="1"/>
      <c r="C69" s="3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" x14ac:dyDescent="0.2">
      <c r="A70" s="2"/>
      <c r="B70" s="1"/>
      <c r="C70" s="3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" x14ac:dyDescent="0.2">
      <c r="A71" s="2"/>
      <c r="B71" s="1"/>
      <c r="C71" s="3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" x14ac:dyDescent="0.2">
      <c r="A72" s="2"/>
      <c r="B72" s="1"/>
      <c r="C72" s="3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" x14ac:dyDescent="0.2">
      <c r="A73" s="2"/>
      <c r="B73" s="1"/>
      <c r="C73" s="3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" x14ac:dyDescent="0.2">
      <c r="A74" s="2"/>
      <c r="B74" s="1"/>
      <c r="C74" s="3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" x14ac:dyDescent="0.2">
      <c r="A75" s="2"/>
      <c r="B75" s="1"/>
      <c r="C75" s="3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" x14ac:dyDescent="0.2">
      <c r="A76" s="2"/>
      <c r="B76" s="1"/>
      <c r="C76" s="3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" x14ac:dyDescent="0.2">
      <c r="A77" s="2"/>
      <c r="B77" s="1"/>
      <c r="C77" s="3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" x14ac:dyDescent="0.2">
      <c r="A78" s="2"/>
      <c r="B78" s="1"/>
      <c r="C78" s="3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" x14ac:dyDescent="0.2">
      <c r="A79" s="2"/>
      <c r="B79" s="1"/>
      <c r="C79" s="3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" x14ac:dyDescent="0.2">
      <c r="A80" s="2"/>
      <c r="B80" s="1"/>
      <c r="C80" s="3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" x14ac:dyDescent="0.2">
      <c r="A81" s="2"/>
      <c r="B81" s="1"/>
      <c r="C81" s="3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" x14ac:dyDescent="0.2">
      <c r="A82" s="2"/>
      <c r="B82" s="1"/>
      <c r="C82" s="3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" x14ac:dyDescent="0.2">
      <c r="A83" s="2"/>
      <c r="B83" s="1"/>
      <c r="C83" s="3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" x14ac:dyDescent="0.2">
      <c r="A84" s="2"/>
      <c r="B84" s="1"/>
      <c r="C84" s="3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" x14ac:dyDescent="0.2">
      <c r="A85" s="2"/>
      <c r="B85" s="1"/>
      <c r="C85" s="3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" x14ac:dyDescent="0.2">
      <c r="A86" s="2"/>
      <c r="B86" s="1"/>
      <c r="C86" s="3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" x14ac:dyDescent="0.2">
      <c r="A87" s="2"/>
      <c r="B87" s="1"/>
      <c r="C87" s="3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" x14ac:dyDescent="0.2">
      <c r="A88" s="2"/>
      <c r="B88" s="1"/>
      <c r="C88" s="3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" x14ac:dyDescent="0.2">
      <c r="A89" s="2"/>
      <c r="B89" s="1"/>
      <c r="C89" s="3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" x14ac:dyDescent="0.2">
      <c r="A90" s="2"/>
      <c r="B90" s="1"/>
      <c r="C90" s="3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" x14ac:dyDescent="0.2">
      <c r="A91" s="2"/>
      <c r="B91" s="1"/>
      <c r="C91" s="3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" x14ac:dyDescent="0.2">
      <c r="A92" s="2"/>
      <c r="B92" s="1"/>
      <c r="C92" s="3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" x14ac:dyDescent="0.2">
      <c r="A93" s="2"/>
      <c r="B93" s="1"/>
      <c r="C93" s="3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" x14ac:dyDescent="0.2">
      <c r="A94" s="2"/>
      <c r="B94" s="1"/>
      <c r="C94" s="3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" x14ac:dyDescent="0.2">
      <c r="A95" s="2"/>
      <c r="B95" s="1"/>
      <c r="C95" s="3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" x14ac:dyDescent="0.2">
      <c r="A96" s="2"/>
      <c r="B96" s="1"/>
      <c r="C96" s="3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" x14ac:dyDescent="0.2">
      <c r="A97" s="2"/>
      <c r="B97" s="1"/>
      <c r="C97" s="3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" x14ac:dyDescent="0.2">
      <c r="A98" s="2"/>
      <c r="B98" s="1"/>
      <c r="C98" s="3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" x14ac:dyDescent="0.2">
      <c r="A99" s="2"/>
      <c r="B99" s="1"/>
      <c r="C99" s="3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" x14ac:dyDescent="0.2">
      <c r="A100" s="2"/>
      <c r="B100" s="1"/>
      <c r="C100" s="3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" x14ac:dyDescent="0.2">
      <c r="A101" s="2"/>
      <c r="B101" s="1"/>
      <c r="C101" s="3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" x14ac:dyDescent="0.2">
      <c r="A102" s="2"/>
      <c r="B102" s="1"/>
      <c r="C102" s="3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" x14ac:dyDescent="0.2">
      <c r="A103" s="2"/>
      <c r="B103" s="1"/>
      <c r="C103" s="3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" x14ac:dyDescent="0.2">
      <c r="A104" s="2"/>
      <c r="B104" s="1"/>
      <c r="C104" s="3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" x14ac:dyDescent="0.2">
      <c r="A105" s="2"/>
      <c r="B105" s="1"/>
      <c r="C105" s="3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" x14ac:dyDescent="0.2">
      <c r="A106" s="2"/>
      <c r="B106" s="1"/>
      <c r="C106" s="3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" x14ac:dyDescent="0.2">
      <c r="A107" s="2"/>
      <c r="B107" s="1"/>
      <c r="C107" s="3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" x14ac:dyDescent="0.2">
      <c r="A108" s="2"/>
      <c r="B108" s="1"/>
      <c r="C108" s="3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" x14ac:dyDescent="0.2">
      <c r="A109" s="2"/>
      <c r="B109" s="1"/>
      <c r="C109" s="3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" x14ac:dyDescent="0.2">
      <c r="A110" s="2"/>
      <c r="B110" s="1"/>
      <c r="C110" s="3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" x14ac:dyDescent="0.2">
      <c r="A111" s="2"/>
      <c r="B111" s="1"/>
      <c r="C111" s="3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" x14ac:dyDescent="0.2">
      <c r="A112" s="2"/>
      <c r="B112" s="1"/>
      <c r="C112" s="3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" x14ac:dyDescent="0.2">
      <c r="A113" s="2"/>
      <c r="B113" s="1"/>
      <c r="C113" s="3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" x14ac:dyDescent="0.2">
      <c r="A114" s="2"/>
      <c r="B114" s="1"/>
      <c r="C114" s="3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" x14ac:dyDescent="0.2">
      <c r="A115" s="2"/>
      <c r="B115" s="1"/>
      <c r="C115" s="3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" x14ac:dyDescent="0.2">
      <c r="A116" s="2"/>
      <c r="B116" s="1"/>
      <c r="C116" s="3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" x14ac:dyDescent="0.2">
      <c r="A117" s="2"/>
      <c r="B117" s="1"/>
      <c r="C117" s="3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" x14ac:dyDescent="0.2">
      <c r="A118" s="2"/>
      <c r="B118" s="1"/>
      <c r="C118" s="3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" x14ac:dyDescent="0.2">
      <c r="A119" s="2"/>
      <c r="B119" s="1"/>
      <c r="C119" s="3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" x14ac:dyDescent="0.2">
      <c r="A120" s="2"/>
      <c r="B120" s="1"/>
      <c r="C120" s="3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" x14ac:dyDescent="0.2">
      <c r="A121" s="2"/>
      <c r="B121" s="1"/>
      <c r="C121" s="3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" x14ac:dyDescent="0.2">
      <c r="A122" s="2"/>
      <c r="B122" s="1"/>
      <c r="C122" s="3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" x14ac:dyDescent="0.2">
      <c r="A123" s="2"/>
      <c r="B123" s="1"/>
      <c r="C123" s="3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" x14ac:dyDescent="0.2">
      <c r="A124" s="2"/>
      <c r="B124" s="1"/>
      <c r="C124" s="3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" x14ac:dyDescent="0.2">
      <c r="A125" s="2"/>
      <c r="B125" s="1"/>
      <c r="C125" s="3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" x14ac:dyDescent="0.2">
      <c r="A126" s="2"/>
      <c r="B126" s="1"/>
      <c r="C126" s="3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" x14ac:dyDescent="0.2">
      <c r="A127" s="2"/>
      <c r="B127" s="1"/>
      <c r="C127" s="3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" x14ac:dyDescent="0.2">
      <c r="A128" s="2"/>
      <c r="B128" s="1"/>
      <c r="C128" s="3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" x14ac:dyDescent="0.2">
      <c r="A129" s="2"/>
      <c r="B129" s="1"/>
      <c r="C129" s="3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" x14ac:dyDescent="0.2">
      <c r="A130" s="2"/>
      <c r="B130" s="1"/>
      <c r="C130" s="3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" x14ac:dyDescent="0.2">
      <c r="A131" s="2"/>
      <c r="B131" s="1"/>
      <c r="C131" s="3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" x14ac:dyDescent="0.2">
      <c r="A132" s="2"/>
      <c r="B132" s="1"/>
      <c r="C132" s="3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" x14ac:dyDescent="0.2">
      <c r="A133" s="2"/>
      <c r="B133" s="1"/>
      <c r="C133" s="3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" x14ac:dyDescent="0.2">
      <c r="A134" s="2"/>
      <c r="B134" s="1"/>
      <c r="C134" s="3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" x14ac:dyDescent="0.2">
      <c r="A135" s="2"/>
      <c r="B135" s="1"/>
      <c r="C135" s="3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" x14ac:dyDescent="0.2">
      <c r="A136" s="2"/>
      <c r="B136" s="1"/>
      <c r="C136" s="3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" x14ac:dyDescent="0.2">
      <c r="A137" s="2"/>
      <c r="B137" s="1"/>
      <c r="C137" s="3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" x14ac:dyDescent="0.2">
      <c r="A138" s="2"/>
      <c r="B138" s="1"/>
      <c r="C138" s="3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" x14ac:dyDescent="0.2">
      <c r="A139" s="2"/>
      <c r="B139" s="1"/>
      <c r="C139" s="3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" x14ac:dyDescent="0.2">
      <c r="A140" s="2"/>
      <c r="B140" s="1"/>
      <c r="C140" s="3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" x14ac:dyDescent="0.2">
      <c r="A141" s="2"/>
      <c r="B141" s="1"/>
      <c r="C141" s="3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" x14ac:dyDescent="0.2">
      <c r="A142" s="2"/>
      <c r="B142" s="1"/>
      <c r="C142" s="3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" x14ac:dyDescent="0.2">
      <c r="A143" s="2"/>
      <c r="B143" s="1"/>
      <c r="C143" s="3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" x14ac:dyDescent="0.2">
      <c r="A144" s="2"/>
      <c r="B144" s="1"/>
      <c r="C144" s="3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" x14ac:dyDescent="0.2">
      <c r="A145" s="2"/>
      <c r="B145" s="1"/>
      <c r="C145" s="3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" x14ac:dyDescent="0.2">
      <c r="A146" s="2"/>
      <c r="B146" s="1"/>
      <c r="C146" s="3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" x14ac:dyDescent="0.2">
      <c r="A147" s="2"/>
      <c r="B147" s="1"/>
      <c r="C147" s="3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" x14ac:dyDescent="0.2">
      <c r="A148" s="2"/>
      <c r="B148" s="1"/>
      <c r="C148" s="3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" x14ac:dyDescent="0.2">
      <c r="A149" s="2"/>
      <c r="B149" s="1"/>
      <c r="C149" s="3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" x14ac:dyDescent="0.2">
      <c r="A150" s="2"/>
      <c r="B150" s="1"/>
      <c r="C150" s="3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" x14ac:dyDescent="0.2">
      <c r="A151" s="2"/>
      <c r="B151" s="1"/>
      <c r="C151" s="3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" x14ac:dyDescent="0.2">
      <c r="A152" s="2"/>
      <c r="B152" s="1"/>
      <c r="C152" s="3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" x14ac:dyDescent="0.2">
      <c r="A153" s="2"/>
      <c r="B153" s="1"/>
      <c r="C153" s="3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" x14ac:dyDescent="0.2">
      <c r="A154" s="2"/>
      <c r="B154" s="1"/>
      <c r="C154" s="3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" x14ac:dyDescent="0.2">
      <c r="A155" s="2"/>
      <c r="B155" s="1"/>
      <c r="C155" s="3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" x14ac:dyDescent="0.2">
      <c r="A156" s="2"/>
      <c r="B156" s="1"/>
      <c r="C156" s="3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" x14ac:dyDescent="0.2">
      <c r="A157" s="2"/>
      <c r="B157" s="1"/>
      <c r="C157" s="3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" x14ac:dyDescent="0.2">
      <c r="A158" s="2"/>
      <c r="B158" s="1"/>
      <c r="C158" s="3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" x14ac:dyDescent="0.2">
      <c r="A159" s="2"/>
      <c r="B159" s="1"/>
      <c r="C159" s="3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" x14ac:dyDescent="0.2">
      <c r="A160" s="2"/>
      <c r="B160" s="1"/>
      <c r="C160" s="3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" x14ac:dyDescent="0.2">
      <c r="A161" s="2"/>
      <c r="B161" s="1"/>
      <c r="C161" s="3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" x14ac:dyDescent="0.2">
      <c r="A162" s="2"/>
      <c r="B162" s="1"/>
      <c r="C162" s="3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" x14ac:dyDescent="0.2">
      <c r="A163" s="2"/>
      <c r="B163" s="1"/>
      <c r="C163" s="3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" x14ac:dyDescent="0.2">
      <c r="A164" s="2"/>
      <c r="B164" s="1"/>
      <c r="C164" s="3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" x14ac:dyDescent="0.2">
      <c r="A165" s="2"/>
      <c r="B165" s="1"/>
      <c r="C165" s="3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" x14ac:dyDescent="0.2">
      <c r="A166" s="2"/>
      <c r="B166" s="1"/>
      <c r="C166" s="3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" x14ac:dyDescent="0.2">
      <c r="A167" s="2"/>
      <c r="B167" s="1"/>
      <c r="C167" s="3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" x14ac:dyDescent="0.2">
      <c r="A168" s="2"/>
      <c r="B168" s="1"/>
      <c r="C168" s="3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" x14ac:dyDescent="0.2">
      <c r="A169" s="2"/>
      <c r="B169" s="1"/>
      <c r="C169" s="3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" x14ac:dyDescent="0.2">
      <c r="A170" s="2"/>
      <c r="B170" s="1"/>
      <c r="C170" s="3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" x14ac:dyDescent="0.2">
      <c r="A171" s="2"/>
      <c r="B171" s="1"/>
      <c r="C171" s="3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" x14ac:dyDescent="0.2">
      <c r="A172" s="2"/>
      <c r="B172" s="1"/>
      <c r="C172" s="3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" x14ac:dyDescent="0.2">
      <c r="A173" s="2"/>
      <c r="B173" s="1"/>
      <c r="C173" s="3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" x14ac:dyDescent="0.2">
      <c r="A174" s="2"/>
      <c r="B174" s="1"/>
      <c r="C174" s="3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" x14ac:dyDescent="0.2">
      <c r="A175" s="2"/>
      <c r="B175" s="1"/>
      <c r="C175" s="3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" x14ac:dyDescent="0.2">
      <c r="A176" s="2"/>
      <c r="B176" s="1"/>
      <c r="C176" s="3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" x14ac:dyDescent="0.2">
      <c r="A177" s="2"/>
      <c r="B177" s="1"/>
      <c r="C177" s="3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" x14ac:dyDescent="0.2">
      <c r="A178" s="2"/>
      <c r="B178" s="1"/>
      <c r="C178" s="3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" x14ac:dyDescent="0.2">
      <c r="A179" s="2"/>
      <c r="B179" s="1"/>
      <c r="C179" s="3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" x14ac:dyDescent="0.2">
      <c r="A180" s="2"/>
      <c r="B180" s="1"/>
      <c r="C180" s="3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" x14ac:dyDescent="0.2">
      <c r="A181" s="2"/>
      <c r="B181" s="1"/>
      <c r="C181" s="3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" x14ac:dyDescent="0.2">
      <c r="A182" s="2"/>
      <c r="B182" s="1"/>
      <c r="C182" s="3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" x14ac:dyDescent="0.2">
      <c r="A183" s="2"/>
      <c r="B183" s="1"/>
      <c r="C183" s="3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" x14ac:dyDescent="0.2">
      <c r="A184" s="2"/>
      <c r="B184" s="1"/>
      <c r="C184" s="3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" x14ac:dyDescent="0.2">
      <c r="A185" s="2"/>
      <c r="B185" s="1"/>
      <c r="C185" s="3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" x14ac:dyDescent="0.2">
      <c r="A186" s="2"/>
      <c r="B186" s="1"/>
      <c r="C186" s="3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" x14ac:dyDescent="0.2">
      <c r="A187" s="2"/>
      <c r="B187" s="1"/>
      <c r="C187" s="3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" x14ac:dyDescent="0.2">
      <c r="A188" s="2"/>
      <c r="B188" s="1"/>
      <c r="C188" s="3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" x14ac:dyDescent="0.2">
      <c r="A189" s="2"/>
      <c r="B189" s="1"/>
      <c r="C189" s="3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" x14ac:dyDescent="0.2">
      <c r="A190" s="2"/>
      <c r="B190" s="1"/>
      <c r="C190" s="3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" x14ac:dyDescent="0.2">
      <c r="A191" s="2"/>
      <c r="B191" s="1"/>
      <c r="C191" s="3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" x14ac:dyDescent="0.2">
      <c r="A192" s="2"/>
      <c r="B192" s="1"/>
      <c r="C192" s="3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" x14ac:dyDescent="0.2">
      <c r="A193" s="2"/>
      <c r="B193" s="1"/>
      <c r="C193" s="3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" x14ac:dyDescent="0.2">
      <c r="A194" s="2"/>
      <c r="B194" s="1"/>
      <c r="C194" s="3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" x14ac:dyDescent="0.2">
      <c r="A195" s="2"/>
      <c r="B195" s="1"/>
      <c r="C195" s="3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" x14ac:dyDescent="0.2">
      <c r="A196" s="2"/>
      <c r="B196" s="1"/>
      <c r="C196" s="3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" x14ac:dyDescent="0.2">
      <c r="A197" s="2"/>
      <c r="B197" s="1"/>
      <c r="C197" s="3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" x14ac:dyDescent="0.2">
      <c r="A198" s="2"/>
      <c r="B198" s="1"/>
      <c r="C198" s="3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" x14ac:dyDescent="0.2">
      <c r="A199" s="2"/>
      <c r="B199" s="1"/>
      <c r="C199" s="3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" x14ac:dyDescent="0.2">
      <c r="A200" s="2"/>
      <c r="B200" s="1"/>
      <c r="C200" s="3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" x14ac:dyDescent="0.2">
      <c r="A201" s="2"/>
      <c r="B201" s="1"/>
      <c r="C201" s="3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" x14ac:dyDescent="0.2">
      <c r="A202" s="2"/>
      <c r="B202" s="1"/>
      <c r="C202" s="3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" x14ac:dyDescent="0.2">
      <c r="A203" s="2"/>
      <c r="B203" s="1"/>
      <c r="C203" s="3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" x14ac:dyDescent="0.2">
      <c r="A204" s="2"/>
      <c r="B204" s="1"/>
      <c r="C204" s="3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" x14ac:dyDescent="0.2">
      <c r="A205" s="2"/>
      <c r="B205" s="1"/>
      <c r="C205" s="3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" x14ac:dyDescent="0.2">
      <c r="A206" s="2"/>
      <c r="B206" s="1"/>
      <c r="C206" s="3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" x14ac:dyDescent="0.2">
      <c r="A207" s="2"/>
      <c r="B207" s="1"/>
      <c r="C207" s="3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" x14ac:dyDescent="0.2">
      <c r="A208" s="2"/>
      <c r="B208" s="1"/>
      <c r="C208" s="3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" x14ac:dyDescent="0.2">
      <c r="A209" s="2"/>
      <c r="B209" s="1"/>
      <c r="C209" s="3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" x14ac:dyDescent="0.2">
      <c r="A210" s="2"/>
      <c r="B210" s="1"/>
      <c r="C210" s="3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" x14ac:dyDescent="0.2">
      <c r="A211" s="2"/>
      <c r="B211" s="1"/>
      <c r="C211" s="3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" x14ac:dyDescent="0.2">
      <c r="A212" s="2"/>
      <c r="B212" s="1"/>
      <c r="C212" s="3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" x14ac:dyDescent="0.2">
      <c r="A213" s="2"/>
      <c r="B213" s="1"/>
      <c r="C213" s="3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" x14ac:dyDescent="0.2">
      <c r="A214" s="2"/>
      <c r="B214" s="1"/>
      <c r="C214" s="3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" x14ac:dyDescent="0.2">
      <c r="A215" s="2"/>
      <c r="B215" s="1"/>
      <c r="C215" s="3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" x14ac:dyDescent="0.2">
      <c r="A216" s="2"/>
      <c r="B216" s="1"/>
      <c r="C216" s="3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" x14ac:dyDescent="0.2">
      <c r="A217" s="2"/>
      <c r="B217" s="1"/>
      <c r="C217" s="3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" x14ac:dyDescent="0.2">
      <c r="A218" s="2"/>
      <c r="B218" s="1"/>
      <c r="C218" s="3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" x14ac:dyDescent="0.2">
      <c r="A219" s="2"/>
      <c r="B219" s="1"/>
      <c r="C219" s="3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" x14ac:dyDescent="0.2">
      <c r="A220" s="2"/>
      <c r="B220" s="1"/>
      <c r="C220" s="3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" x14ac:dyDescent="0.2">
      <c r="A221" s="2"/>
      <c r="B221" s="1"/>
      <c r="C221" s="3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" x14ac:dyDescent="0.2">
      <c r="A222" s="2"/>
      <c r="B222" s="1"/>
      <c r="C222" s="3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" x14ac:dyDescent="0.2">
      <c r="A223" s="2"/>
      <c r="B223" s="1"/>
      <c r="C223" s="3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" x14ac:dyDescent="0.2">
      <c r="A224" s="2"/>
      <c r="B224" s="1"/>
      <c r="C224" s="3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" x14ac:dyDescent="0.2">
      <c r="A225" s="2"/>
      <c r="B225" s="1"/>
      <c r="C225" s="3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" x14ac:dyDescent="0.2">
      <c r="A226" s="2"/>
      <c r="B226" s="1"/>
      <c r="C226" s="3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" x14ac:dyDescent="0.2">
      <c r="A227" s="2"/>
      <c r="B227" s="1"/>
      <c r="C227" s="3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" x14ac:dyDescent="0.2">
      <c r="A228" s="2"/>
      <c r="B228" s="1"/>
      <c r="C228" s="3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" x14ac:dyDescent="0.2">
      <c r="A229" s="2"/>
      <c r="B229" s="1"/>
      <c r="C229" s="3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" x14ac:dyDescent="0.2">
      <c r="A230" s="2"/>
      <c r="B230" s="1"/>
      <c r="C230" s="3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" x14ac:dyDescent="0.2">
      <c r="A231" s="2"/>
      <c r="B231" s="1"/>
      <c r="C231" s="3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" x14ac:dyDescent="0.2">
      <c r="A232" s="2"/>
      <c r="B232" s="1"/>
      <c r="C232" s="3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" x14ac:dyDescent="0.2">
      <c r="A233" s="2"/>
      <c r="B233" s="1"/>
      <c r="C233" s="3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" x14ac:dyDescent="0.2">
      <c r="A234" s="2"/>
      <c r="B234" s="1"/>
      <c r="C234" s="3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" x14ac:dyDescent="0.2">
      <c r="A235" s="2"/>
      <c r="B235" s="1"/>
      <c r="C235" s="3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" x14ac:dyDescent="0.2">
      <c r="A236" s="2"/>
      <c r="B236" s="1"/>
      <c r="C236" s="3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" x14ac:dyDescent="0.2">
      <c r="A237" s="2"/>
      <c r="B237" s="1"/>
      <c r="C237" s="3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" x14ac:dyDescent="0.2">
      <c r="A238" s="2"/>
      <c r="B238" s="1"/>
      <c r="C238" s="3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" x14ac:dyDescent="0.2">
      <c r="A239" s="2"/>
      <c r="B239" s="1"/>
      <c r="C239" s="3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" x14ac:dyDescent="0.2">
      <c r="A240" s="2"/>
      <c r="B240" s="1"/>
      <c r="C240" s="3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" x14ac:dyDescent="0.2">
      <c r="A241" s="2"/>
      <c r="B241" s="1"/>
      <c r="C241" s="3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" x14ac:dyDescent="0.2">
      <c r="A242" s="2"/>
      <c r="B242" s="1"/>
      <c r="C242" s="3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" x14ac:dyDescent="0.2">
      <c r="A243" s="2"/>
      <c r="B243" s="1"/>
      <c r="C243" s="3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" x14ac:dyDescent="0.2">
      <c r="A244" s="2"/>
      <c r="B244" s="1"/>
      <c r="C244" s="3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" x14ac:dyDescent="0.2">
      <c r="A245" s="2"/>
      <c r="B245" s="1"/>
      <c r="C245" s="3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" x14ac:dyDescent="0.2">
      <c r="A246" s="2"/>
      <c r="B246" s="1"/>
      <c r="C246" s="3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" x14ac:dyDescent="0.2">
      <c r="A247" s="2"/>
      <c r="B247" s="1"/>
      <c r="C247" s="3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" x14ac:dyDescent="0.2">
      <c r="A248" s="2"/>
      <c r="B248" s="1"/>
      <c r="C248" s="3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" x14ac:dyDescent="0.2">
      <c r="A249" s="2"/>
      <c r="B249" s="1"/>
      <c r="C249" s="3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" x14ac:dyDescent="0.2">
      <c r="A250" s="2"/>
      <c r="B250" s="1"/>
      <c r="C250" s="3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" x14ac:dyDescent="0.2">
      <c r="A251" s="2"/>
      <c r="B251" s="1"/>
      <c r="C251" s="3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" x14ac:dyDescent="0.2">
      <c r="A252" s="2"/>
      <c r="B252" s="1"/>
      <c r="C252" s="3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" x14ac:dyDescent="0.2">
      <c r="A253" s="2"/>
      <c r="B253" s="1"/>
      <c r="C253" s="3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" x14ac:dyDescent="0.2">
      <c r="A254" s="2"/>
      <c r="B254" s="1"/>
      <c r="C254" s="3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" x14ac:dyDescent="0.2">
      <c r="A255" s="2"/>
      <c r="B255" s="1"/>
      <c r="C255" s="3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" x14ac:dyDescent="0.2">
      <c r="A256" s="2"/>
      <c r="B256" s="1"/>
      <c r="C256" s="3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" x14ac:dyDescent="0.2">
      <c r="A257" s="2"/>
      <c r="B257" s="1"/>
      <c r="C257" s="3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" x14ac:dyDescent="0.2">
      <c r="A258" s="2"/>
      <c r="B258" s="1"/>
      <c r="C258" s="3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" x14ac:dyDescent="0.2">
      <c r="A259" s="2"/>
      <c r="B259" s="1"/>
      <c r="C259" s="3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" x14ac:dyDescent="0.2">
      <c r="A260" s="2"/>
      <c r="B260" s="1"/>
      <c r="C260" s="3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" x14ac:dyDescent="0.2">
      <c r="A261" s="2"/>
      <c r="B261" s="1"/>
      <c r="C261" s="3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" x14ac:dyDescent="0.2">
      <c r="A262" s="2"/>
      <c r="B262" s="1"/>
      <c r="C262" s="3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" x14ac:dyDescent="0.2">
      <c r="A263" s="2"/>
      <c r="B263" s="1"/>
      <c r="C263" s="3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" x14ac:dyDescent="0.2">
      <c r="A264" s="2"/>
      <c r="B264" s="1"/>
      <c r="C264" s="3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" x14ac:dyDescent="0.2">
      <c r="A265" s="2"/>
      <c r="B265" s="1"/>
      <c r="C265" s="3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" x14ac:dyDescent="0.2">
      <c r="A266" s="2"/>
      <c r="B266" s="1"/>
      <c r="C266" s="3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" x14ac:dyDescent="0.2">
      <c r="A267" s="2"/>
      <c r="B267" s="1"/>
      <c r="C267" s="3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" x14ac:dyDescent="0.2">
      <c r="A268" s="2"/>
      <c r="B268" s="1"/>
      <c r="C268" s="3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" x14ac:dyDescent="0.2">
      <c r="A269" s="2"/>
      <c r="B269" s="1"/>
      <c r="C269" s="3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" x14ac:dyDescent="0.2">
      <c r="A270" s="2"/>
      <c r="B270" s="1"/>
      <c r="C270" s="3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" x14ac:dyDescent="0.2">
      <c r="A271" s="2"/>
      <c r="B271" s="1"/>
      <c r="C271" s="3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" x14ac:dyDescent="0.2">
      <c r="A272" s="2"/>
      <c r="B272" s="1"/>
      <c r="C272" s="3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" x14ac:dyDescent="0.2">
      <c r="A273" s="2"/>
      <c r="B273" s="1"/>
      <c r="C273" s="3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" x14ac:dyDescent="0.2">
      <c r="A274" s="2"/>
      <c r="B274" s="1"/>
      <c r="C274" s="3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" x14ac:dyDescent="0.2">
      <c r="A275" s="2"/>
      <c r="B275" s="1"/>
      <c r="C275" s="3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" x14ac:dyDescent="0.2">
      <c r="A276" s="2"/>
      <c r="B276" s="1"/>
      <c r="C276" s="3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" x14ac:dyDescent="0.2">
      <c r="A277" s="2"/>
      <c r="B277" s="1"/>
      <c r="C277" s="3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" x14ac:dyDescent="0.2">
      <c r="A278" s="2"/>
      <c r="B278" s="1"/>
      <c r="C278" s="3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" x14ac:dyDescent="0.2">
      <c r="A279" s="2"/>
      <c r="B279" s="1"/>
      <c r="C279" s="3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" x14ac:dyDescent="0.2">
      <c r="A280" s="2"/>
      <c r="B280" s="1"/>
      <c r="C280" s="3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" x14ac:dyDescent="0.2">
      <c r="A281" s="2"/>
      <c r="B281" s="1"/>
      <c r="C281" s="3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" x14ac:dyDescent="0.2">
      <c r="A282" s="2"/>
      <c r="B282" s="1"/>
      <c r="C282" s="3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" x14ac:dyDescent="0.2">
      <c r="A283" s="2"/>
      <c r="B283" s="1"/>
      <c r="C283" s="3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" x14ac:dyDescent="0.2">
      <c r="A284" s="2"/>
      <c r="B284" s="1"/>
      <c r="C284" s="3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" x14ac:dyDescent="0.2">
      <c r="A285" s="2"/>
      <c r="B285" s="1"/>
      <c r="C285" s="3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" x14ac:dyDescent="0.2">
      <c r="A286" s="2"/>
      <c r="B286" s="1"/>
      <c r="C286" s="3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" x14ac:dyDescent="0.2">
      <c r="A287" s="2"/>
      <c r="B287" s="1"/>
      <c r="C287" s="3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" x14ac:dyDescent="0.2">
      <c r="A288" s="2"/>
      <c r="B288" s="1"/>
      <c r="C288" s="3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" x14ac:dyDescent="0.2">
      <c r="A289" s="2"/>
      <c r="B289" s="1"/>
      <c r="C289" s="3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" x14ac:dyDescent="0.2">
      <c r="A290" s="2"/>
      <c r="B290" s="1"/>
      <c r="C290" s="3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" x14ac:dyDescent="0.2">
      <c r="A291" s="2"/>
      <c r="B291" s="1"/>
      <c r="C291" s="3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" x14ac:dyDescent="0.2">
      <c r="A292" s="2"/>
      <c r="B292" s="1"/>
      <c r="C292" s="3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" x14ac:dyDescent="0.2">
      <c r="A293" s="2"/>
      <c r="B293" s="1"/>
      <c r="C293" s="3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" x14ac:dyDescent="0.2">
      <c r="A294" s="2"/>
      <c r="B294" s="1"/>
      <c r="C294" s="3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" x14ac:dyDescent="0.2">
      <c r="A295" s="2"/>
      <c r="B295" s="1"/>
      <c r="C295" s="3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" x14ac:dyDescent="0.2">
      <c r="A296" s="2"/>
      <c r="B296" s="1"/>
      <c r="C296" s="3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" x14ac:dyDescent="0.2">
      <c r="A297" s="2"/>
      <c r="B297" s="1"/>
      <c r="C297" s="3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" x14ac:dyDescent="0.2">
      <c r="A298" s="2"/>
      <c r="B298" s="1"/>
      <c r="C298" s="3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" x14ac:dyDescent="0.2">
      <c r="A299" s="2"/>
      <c r="B299" s="1"/>
      <c r="C299" s="3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" x14ac:dyDescent="0.2">
      <c r="A300" s="2"/>
      <c r="B300" s="1"/>
      <c r="C300" s="3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" x14ac:dyDescent="0.2">
      <c r="A301" s="2"/>
      <c r="B301" s="1"/>
      <c r="C301" s="3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" x14ac:dyDescent="0.2">
      <c r="A302" s="2"/>
      <c r="B302" s="1"/>
      <c r="C302" s="3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" x14ac:dyDescent="0.2">
      <c r="A303" s="2"/>
      <c r="B303" s="1"/>
      <c r="C303" s="3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" x14ac:dyDescent="0.2">
      <c r="A304" s="2"/>
      <c r="B304" s="1"/>
      <c r="C304" s="3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" x14ac:dyDescent="0.2">
      <c r="A305" s="2"/>
      <c r="B305" s="1"/>
      <c r="C305" s="3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" x14ac:dyDescent="0.2">
      <c r="A306" s="2"/>
      <c r="B306" s="1"/>
      <c r="C306" s="3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" x14ac:dyDescent="0.2">
      <c r="A307" s="2"/>
      <c r="B307" s="1"/>
      <c r="C307" s="3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" x14ac:dyDescent="0.2">
      <c r="A308" s="2"/>
      <c r="B308" s="1"/>
      <c r="C308" s="3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" x14ac:dyDescent="0.2">
      <c r="A309" s="2"/>
      <c r="B309" s="1"/>
      <c r="C309" s="3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" x14ac:dyDescent="0.2">
      <c r="A310" s="2"/>
      <c r="B310" s="1"/>
      <c r="C310" s="3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" x14ac:dyDescent="0.2">
      <c r="A311" s="2"/>
      <c r="B311" s="1"/>
      <c r="C311" s="3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" x14ac:dyDescent="0.2">
      <c r="A312" s="2"/>
      <c r="B312" s="1"/>
      <c r="C312" s="3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" x14ac:dyDescent="0.2">
      <c r="A313" s="2"/>
      <c r="B313" s="1"/>
      <c r="C313" s="3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" x14ac:dyDescent="0.2">
      <c r="A314" s="2"/>
      <c r="B314" s="1"/>
      <c r="C314" s="3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" x14ac:dyDescent="0.2">
      <c r="A315" s="2"/>
      <c r="B315" s="1"/>
      <c r="C315" s="3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" x14ac:dyDescent="0.2">
      <c r="A316" s="2"/>
      <c r="B316" s="1"/>
      <c r="C316" s="3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" x14ac:dyDescent="0.2">
      <c r="A317" s="2"/>
      <c r="B317" s="1"/>
      <c r="C317" s="3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" x14ac:dyDescent="0.2">
      <c r="A318" s="2"/>
      <c r="B318" s="1"/>
      <c r="C318" s="3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" x14ac:dyDescent="0.2">
      <c r="A319" s="2"/>
      <c r="B319" s="1"/>
      <c r="C319" s="3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" x14ac:dyDescent="0.2">
      <c r="A320" s="2"/>
      <c r="B320" s="1"/>
      <c r="C320" s="3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" x14ac:dyDescent="0.2">
      <c r="A321" s="2"/>
      <c r="B321" s="1"/>
      <c r="C321" s="3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" x14ac:dyDescent="0.2">
      <c r="A322" s="2"/>
      <c r="B322" s="1"/>
      <c r="C322" s="3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" x14ac:dyDescent="0.2">
      <c r="A323" s="2"/>
      <c r="B323" s="1"/>
      <c r="C323" s="3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" x14ac:dyDescent="0.2">
      <c r="A324" s="2"/>
      <c r="B324" s="1"/>
      <c r="C324" s="3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" x14ac:dyDescent="0.2">
      <c r="A325" s="2"/>
      <c r="B325" s="1"/>
      <c r="C325" s="3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" x14ac:dyDescent="0.2">
      <c r="A326" s="2"/>
      <c r="B326" s="1"/>
      <c r="C326" s="3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" x14ac:dyDescent="0.2">
      <c r="A327" s="2"/>
      <c r="B327" s="1"/>
      <c r="C327" s="3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" x14ac:dyDescent="0.2">
      <c r="A328" s="2"/>
      <c r="B328" s="1"/>
      <c r="C328" s="3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" x14ac:dyDescent="0.2">
      <c r="A329" s="2"/>
      <c r="B329" s="1"/>
      <c r="C329" s="3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" x14ac:dyDescent="0.2">
      <c r="A330" s="2"/>
      <c r="B330" s="1"/>
      <c r="C330" s="3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" x14ac:dyDescent="0.2">
      <c r="A331" s="2"/>
      <c r="B331" s="1"/>
      <c r="C331" s="3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" x14ac:dyDescent="0.2">
      <c r="A332" s="2"/>
      <c r="B332" s="1"/>
      <c r="C332" s="3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" x14ac:dyDescent="0.2">
      <c r="A333" s="2"/>
      <c r="B333" s="1"/>
      <c r="C333" s="3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" x14ac:dyDescent="0.2">
      <c r="A334" s="2"/>
      <c r="B334" s="1"/>
      <c r="C334" s="3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" x14ac:dyDescent="0.2">
      <c r="A335" s="2"/>
      <c r="B335" s="1"/>
      <c r="C335" s="3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" x14ac:dyDescent="0.2">
      <c r="A336" s="2"/>
      <c r="B336" s="1"/>
      <c r="C336" s="3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" x14ac:dyDescent="0.2">
      <c r="A337" s="2"/>
      <c r="B337" s="1"/>
      <c r="C337" s="3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" x14ac:dyDescent="0.2">
      <c r="A338" s="2"/>
      <c r="B338" s="1"/>
      <c r="C338" s="3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" x14ac:dyDescent="0.2">
      <c r="A339" s="2"/>
      <c r="B339" s="1"/>
      <c r="C339" s="3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" x14ac:dyDescent="0.2">
      <c r="A340" s="2"/>
      <c r="B340" s="1"/>
      <c r="C340" s="3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" x14ac:dyDescent="0.2">
      <c r="A341" s="2"/>
      <c r="B341" s="1"/>
      <c r="C341" s="3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" x14ac:dyDescent="0.2">
      <c r="A342" s="2"/>
      <c r="B342" s="1"/>
      <c r="C342" s="3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" x14ac:dyDescent="0.2">
      <c r="A343" s="2"/>
      <c r="B343" s="1"/>
      <c r="C343" s="3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" x14ac:dyDescent="0.2">
      <c r="A344" s="2"/>
      <c r="B344" s="1"/>
      <c r="C344" s="3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" x14ac:dyDescent="0.2">
      <c r="A345" s="2"/>
      <c r="B345" s="1"/>
      <c r="C345" s="3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" x14ac:dyDescent="0.2">
      <c r="A346" s="2"/>
      <c r="B346" s="1"/>
      <c r="C346" s="3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" x14ac:dyDescent="0.2">
      <c r="A347" s="2"/>
      <c r="B347" s="1"/>
      <c r="C347" s="3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" x14ac:dyDescent="0.2">
      <c r="A348" s="2"/>
      <c r="B348" s="1"/>
      <c r="C348" s="3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" x14ac:dyDescent="0.2">
      <c r="A349" s="2"/>
      <c r="B349" s="1"/>
      <c r="C349" s="3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" x14ac:dyDescent="0.2">
      <c r="A350" s="2"/>
      <c r="B350" s="1"/>
      <c r="C350" s="3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" x14ac:dyDescent="0.2">
      <c r="A351" s="2"/>
      <c r="B351" s="1"/>
      <c r="C351" s="3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" x14ac:dyDescent="0.2">
      <c r="A352" s="2"/>
      <c r="B352" s="1"/>
      <c r="C352" s="3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" x14ac:dyDescent="0.2">
      <c r="A353" s="2"/>
      <c r="B353" s="1"/>
      <c r="C353" s="3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" x14ac:dyDescent="0.2">
      <c r="A354" s="2"/>
      <c r="B354" s="1"/>
      <c r="C354" s="3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" x14ac:dyDescent="0.2">
      <c r="A355" s="2"/>
      <c r="B355" s="1"/>
      <c r="C355" s="3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" x14ac:dyDescent="0.2">
      <c r="A356" s="2"/>
      <c r="B356" s="1"/>
      <c r="C356" s="3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" x14ac:dyDescent="0.2">
      <c r="A357" s="2"/>
      <c r="B357" s="1"/>
      <c r="C357" s="3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" x14ac:dyDescent="0.2">
      <c r="A358" s="2"/>
      <c r="B358" s="1"/>
      <c r="C358" s="3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" x14ac:dyDescent="0.2">
      <c r="A359" s="2"/>
      <c r="B359" s="1"/>
      <c r="C359" s="3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" x14ac:dyDescent="0.2">
      <c r="A360" s="2"/>
      <c r="B360" s="1"/>
      <c r="C360" s="3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" x14ac:dyDescent="0.2">
      <c r="A361" s="2"/>
      <c r="B361" s="1"/>
      <c r="C361" s="3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" x14ac:dyDescent="0.2">
      <c r="A362" s="2"/>
      <c r="B362" s="1"/>
      <c r="C362" s="3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" x14ac:dyDescent="0.2">
      <c r="A363" s="2"/>
      <c r="B363" s="1"/>
      <c r="C363" s="3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" x14ac:dyDescent="0.2">
      <c r="A364" s="2"/>
      <c r="B364" s="1"/>
      <c r="C364" s="3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" x14ac:dyDescent="0.2">
      <c r="A365" s="2"/>
      <c r="B365" s="1"/>
      <c r="C365" s="3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" x14ac:dyDescent="0.2">
      <c r="A366" s="2"/>
      <c r="B366" s="1"/>
      <c r="C366" s="3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" x14ac:dyDescent="0.2">
      <c r="A367" s="2"/>
      <c r="B367" s="1"/>
      <c r="C367" s="3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" x14ac:dyDescent="0.2">
      <c r="A368" s="2"/>
      <c r="B368" s="1"/>
      <c r="C368" s="3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" x14ac:dyDescent="0.2">
      <c r="A369" s="2"/>
      <c r="B369" s="1"/>
      <c r="C369" s="3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" x14ac:dyDescent="0.2">
      <c r="A370" s="2"/>
      <c r="B370" s="1"/>
      <c r="C370" s="3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" x14ac:dyDescent="0.2">
      <c r="A371" s="2"/>
      <c r="B371" s="1"/>
      <c r="C371" s="3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" x14ac:dyDescent="0.2">
      <c r="A372" s="2"/>
      <c r="B372" s="1"/>
      <c r="C372" s="3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" x14ac:dyDescent="0.2">
      <c r="A373" s="2"/>
      <c r="B373" s="1"/>
      <c r="C373" s="3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" x14ac:dyDescent="0.2">
      <c r="A374" s="2"/>
      <c r="B374" s="1"/>
      <c r="C374" s="3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" x14ac:dyDescent="0.2">
      <c r="A375" s="2"/>
      <c r="B375" s="1"/>
      <c r="C375" s="3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" x14ac:dyDescent="0.2">
      <c r="A376" s="2"/>
      <c r="B376" s="1"/>
      <c r="C376" s="3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" x14ac:dyDescent="0.2">
      <c r="A377" s="2"/>
      <c r="B377" s="1"/>
      <c r="C377" s="3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" x14ac:dyDescent="0.2">
      <c r="A378" s="2"/>
      <c r="B378" s="1"/>
      <c r="C378" s="3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" x14ac:dyDescent="0.2">
      <c r="A379" s="2"/>
      <c r="B379" s="1"/>
      <c r="C379" s="3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" x14ac:dyDescent="0.2">
      <c r="A380" s="2"/>
      <c r="B380" s="1"/>
      <c r="C380" s="3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" x14ac:dyDescent="0.2">
      <c r="A381" s="2"/>
      <c r="B381" s="1"/>
      <c r="C381" s="3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" x14ac:dyDescent="0.2">
      <c r="A382" s="2"/>
      <c r="B382" s="1"/>
      <c r="C382" s="3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" x14ac:dyDescent="0.2">
      <c r="A383" s="2"/>
      <c r="B383" s="1"/>
      <c r="C383" s="3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" x14ac:dyDescent="0.2">
      <c r="A384" s="2"/>
      <c r="B384" s="1"/>
      <c r="C384" s="3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" x14ac:dyDescent="0.2">
      <c r="A385" s="2"/>
      <c r="B385" s="1"/>
      <c r="C385" s="3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" x14ac:dyDescent="0.2">
      <c r="A386" s="2"/>
      <c r="B386" s="1"/>
      <c r="C386" s="3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" x14ac:dyDescent="0.2">
      <c r="A387" s="2"/>
      <c r="B387" s="1"/>
      <c r="C387" s="3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" x14ac:dyDescent="0.2">
      <c r="A388" s="2"/>
      <c r="B388" s="1"/>
      <c r="C388" s="3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" x14ac:dyDescent="0.2">
      <c r="A389" s="2"/>
      <c r="B389" s="1"/>
      <c r="C389" s="3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" x14ac:dyDescent="0.2">
      <c r="A390" s="2"/>
      <c r="B390" s="1"/>
      <c r="C390" s="3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" x14ac:dyDescent="0.2">
      <c r="A391" s="2"/>
      <c r="B391" s="1"/>
      <c r="C391" s="3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" x14ac:dyDescent="0.2">
      <c r="A392" s="2"/>
      <c r="B392" s="1"/>
      <c r="C392" s="3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" x14ac:dyDescent="0.2">
      <c r="A393" s="2"/>
      <c r="B393" s="1"/>
      <c r="C393" s="3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" x14ac:dyDescent="0.2">
      <c r="A394" s="2"/>
      <c r="B394" s="1"/>
      <c r="C394" s="3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" x14ac:dyDescent="0.2">
      <c r="A395" s="2"/>
      <c r="B395" s="1"/>
      <c r="C395" s="3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" x14ac:dyDescent="0.2">
      <c r="A396" s="2"/>
      <c r="B396" s="1"/>
      <c r="C396" s="3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" x14ac:dyDescent="0.2">
      <c r="A397" s="2"/>
      <c r="B397" s="1"/>
      <c r="C397" s="3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" x14ac:dyDescent="0.2">
      <c r="A398" s="2"/>
      <c r="B398" s="1"/>
      <c r="C398" s="3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" x14ac:dyDescent="0.2">
      <c r="A399" s="2"/>
      <c r="B399" s="1"/>
      <c r="C399" s="3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" x14ac:dyDescent="0.2">
      <c r="A400" s="2"/>
      <c r="B400" s="1"/>
      <c r="C400" s="3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" x14ac:dyDescent="0.2">
      <c r="A401" s="2"/>
      <c r="B401" s="1"/>
      <c r="C401" s="3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" x14ac:dyDescent="0.2">
      <c r="A402" s="2"/>
      <c r="B402" s="1"/>
      <c r="C402" s="3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" x14ac:dyDescent="0.2">
      <c r="A403" s="2"/>
      <c r="B403" s="1"/>
      <c r="C403" s="3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" x14ac:dyDescent="0.2">
      <c r="A404" s="2"/>
      <c r="B404" s="1"/>
      <c r="C404" s="3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" x14ac:dyDescent="0.2">
      <c r="A405" s="2"/>
      <c r="B405" s="1"/>
      <c r="C405" s="3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" x14ac:dyDescent="0.2">
      <c r="A406" s="2"/>
      <c r="B406" s="1"/>
      <c r="C406" s="3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" x14ac:dyDescent="0.2">
      <c r="A407" s="2"/>
      <c r="B407" s="1"/>
      <c r="C407" s="3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" x14ac:dyDescent="0.2">
      <c r="A408" s="2"/>
      <c r="B408" s="1"/>
      <c r="C408" s="3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" x14ac:dyDescent="0.2">
      <c r="A409" s="2"/>
      <c r="B409" s="1"/>
      <c r="C409" s="3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" x14ac:dyDescent="0.2">
      <c r="A410" s="2"/>
      <c r="B410" s="1"/>
      <c r="C410" s="3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" x14ac:dyDescent="0.2">
      <c r="A411" s="2"/>
      <c r="B411" s="1"/>
      <c r="C411" s="3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" x14ac:dyDescent="0.2">
      <c r="A412" s="2"/>
      <c r="B412" s="1"/>
      <c r="C412" s="3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" x14ac:dyDescent="0.2">
      <c r="A413" s="2"/>
      <c r="B413" s="1"/>
      <c r="C413" s="3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" x14ac:dyDescent="0.2">
      <c r="A414" s="2"/>
      <c r="B414" s="1"/>
      <c r="C414" s="3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" x14ac:dyDescent="0.2">
      <c r="A415" s="2"/>
      <c r="B415" s="1"/>
      <c r="C415" s="3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" x14ac:dyDescent="0.2">
      <c r="A416" s="2"/>
      <c r="B416" s="1"/>
      <c r="C416" s="3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" x14ac:dyDescent="0.2">
      <c r="A417" s="2"/>
      <c r="B417" s="1"/>
      <c r="C417" s="3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" x14ac:dyDescent="0.2">
      <c r="A418" s="2"/>
      <c r="B418" s="1"/>
      <c r="C418" s="3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" x14ac:dyDescent="0.2">
      <c r="A419" s="2"/>
      <c r="B419" s="1"/>
      <c r="C419" s="3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" x14ac:dyDescent="0.2">
      <c r="A420" s="2"/>
      <c r="B420" s="1"/>
      <c r="C420" s="3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" x14ac:dyDescent="0.2">
      <c r="A421" s="2"/>
      <c r="B421" s="1"/>
      <c r="C421" s="3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" x14ac:dyDescent="0.2">
      <c r="A422" s="2"/>
      <c r="B422" s="1"/>
      <c r="C422" s="3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" x14ac:dyDescent="0.2">
      <c r="A423" s="2"/>
      <c r="B423" s="1"/>
      <c r="C423" s="3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" x14ac:dyDescent="0.2">
      <c r="A424" s="2"/>
      <c r="B424" s="1"/>
      <c r="C424" s="3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" x14ac:dyDescent="0.2">
      <c r="A425" s="2"/>
      <c r="B425" s="1"/>
      <c r="C425" s="3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" x14ac:dyDescent="0.2">
      <c r="A426" s="2"/>
      <c r="B426" s="1"/>
      <c r="C426" s="3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" x14ac:dyDescent="0.2">
      <c r="A427" s="2"/>
      <c r="B427" s="1"/>
      <c r="C427" s="3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" x14ac:dyDescent="0.2">
      <c r="A428" s="2"/>
      <c r="B428" s="1"/>
      <c r="C428" s="3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" x14ac:dyDescent="0.2">
      <c r="A429" s="2"/>
      <c r="B429" s="1"/>
      <c r="C429" s="3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" x14ac:dyDescent="0.2">
      <c r="A430" s="2"/>
      <c r="B430" s="1"/>
      <c r="C430" s="3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" x14ac:dyDescent="0.2">
      <c r="A431" s="2"/>
      <c r="B431" s="1"/>
      <c r="C431" s="3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" x14ac:dyDescent="0.2">
      <c r="A432" s="2"/>
      <c r="B432" s="1"/>
      <c r="C432" s="3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" x14ac:dyDescent="0.2">
      <c r="A433" s="2"/>
      <c r="B433" s="1"/>
      <c r="C433" s="3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" x14ac:dyDescent="0.2">
      <c r="A434" s="2"/>
      <c r="B434" s="1"/>
      <c r="C434" s="3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" x14ac:dyDescent="0.2">
      <c r="A435" s="2"/>
      <c r="B435" s="1"/>
      <c r="C435" s="3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" x14ac:dyDescent="0.2">
      <c r="A436" s="2"/>
      <c r="B436" s="1"/>
      <c r="C436" s="3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" x14ac:dyDescent="0.2">
      <c r="A437" s="2"/>
      <c r="B437" s="1"/>
      <c r="C437" s="3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" x14ac:dyDescent="0.2">
      <c r="A438" s="2"/>
      <c r="B438" s="1"/>
      <c r="C438" s="3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" x14ac:dyDescent="0.2">
      <c r="A439" s="2"/>
      <c r="B439" s="1"/>
      <c r="C439" s="3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" x14ac:dyDescent="0.2">
      <c r="A440" s="2"/>
      <c r="B440" s="1"/>
      <c r="C440" s="3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" x14ac:dyDescent="0.2">
      <c r="A441" s="2"/>
      <c r="B441" s="1"/>
      <c r="C441" s="3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" x14ac:dyDescent="0.2">
      <c r="A442" s="2"/>
      <c r="B442" s="1"/>
      <c r="C442" s="3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" x14ac:dyDescent="0.2">
      <c r="A443" s="2"/>
      <c r="B443" s="1"/>
      <c r="C443" s="3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" x14ac:dyDescent="0.2">
      <c r="A444" s="2"/>
      <c r="B444" s="1"/>
      <c r="C444" s="3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" x14ac:dyDescent="0.2">
      <c r="A445" s="2"/>
      <c r="B445" s="1"/>
      <c r="C445" s="3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" x14ac:dyDescent="0.2">
      <c r="A446" s="2"/>
      <c r="B446" s="1"/>
      <c r="C446" s="3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" x14ac:dyDescent="0.2">
      <c r="A447" s="2"/>
      <c r="B447" s="1"/>
      <c r="C447" s="3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" x14ac:dyDescent="0.2">
      <c r="A448" s="2"/>
      <c r="B448" s="1"/>
      <c r="C448" s="3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" x14ac:dyDescent="0.2">
      <c r="A449" s="2"/>
      <c r="B449" s="1"/>
      <c r="C449" s="3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" x14ac:dyDescent="0.2">
      <c r="A450" s="2"/>
      <c r="B450" s="1"/>
      <c r="C450" s="3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" x14ac:dyDescent="0.2">
      <c r="A451" s="2"/>
      <c r="B451" s="1"/>
      <c r="C451" s="3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" x14ac:dyDescent="0.2">
      <c r="A452" s="2"/>
      <c r="B452" s="1"/>
      <c r="C452" s="3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" x14ac:dyDescent="0.2">
      <c r="A453" s="2"/>
      <c r="B453" s="1"/>
      <c r="C453" s="3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" x14ac:dyDescent="0.2">
      <c r="A454" s="2"/>
      <c r="B454" s="1"/>
      <c r="C454" s="3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" x14ac:dyDescent="0.2">
      <c r="A455" s="2"/>
      <c r="B455" s="1"/>
      <c r="C455" s="3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" x14ac:dyDescent="0.2">
      <c r="A456" s="2"/>
      <c r="B456" s="1"/>
      <c r="C456" s="3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" x14ac:dyDescent="0.2">
      <c r="A457" s="2"/>
      <c r="B457" s="1"/>
      <c r="C457" s="3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" x14ac:dyDescent="0.2">
      <c r="A458" s="2"/>
      <c r="B458" s="1"/>
      <c r="C458" s="3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" x14ac:dyDescent="0.2">
      <c r="A459" s="2"/>
      <c r="B459" s="1"/>
      <c r="C459" s="3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" x14ac:dyDescent="0.2">
      <c r="A460" s="2"/>
      <c r="B460" s="1"/>
      <c r="C460" s="3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" x14ac:dyDescent="0.2">
      <c r="A461" s="2"/>
      <c r="B461" s="1"/>
      <c r="C461" s="3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" x14ac:dyDescent="0.2">
      <c r="A462" s="2"/>
      <c r="B462" s="1"/>
      <c r="C462" s="3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" x14ac:dyDescent="0.2">
      <c r="A463" s="2"/>
      <c r="B463" s="1"/>
      <c r="C463" s="3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" x14ac:dyDescent="0.2">
      <c r="A464" s="2"/>
      <c r="B464" s="1"/>
      <c r="C464" s="3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" x14ac:dyDescent="0.2">
      <c r="A465" s="2"/>
      <c r="B465" s="1"/>
      <c r="C465" s="3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" x14ac:dyDescent="0.2">
      <c r="A466" s="2"/>
      <c r="B466" s="1"/>
      <c r="C466" s="3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" x14ac:dyDescent="0.2">
      <c r="A467" s="2"/>
      <c r="B467" s="1"/>
      <c r="C467" s="3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" x14ac:dyDescent="0.2">
      <c r="A468" s="2"/>
      <c r="B468" s="1"/>
      <c r="C468" s="3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" x14ac:dyDescent="0.2">
      <c r="A469" s="2"/>
      <c r="B469" s="1"/>
      <c r="C469" s="3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" x14ac:dyDescent="0.2">
      <c r="A470" s="2"/>
      <c r="B470" s="1"/>
      <c r="C470" s="3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" x14ac:dyDescent="0.2">
      <c r="A471" s="2"/>
      <c r="B471" s="1"/>
      <c r="C471" s="3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" x14ac:dyDescent="0.2">
      <c r="A472" s="2"/>
      <c r="B472" s="1"/>
      <c r="C472" s="3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" x14ac:dyDescent="0.2">
      <c r="A473" s="2"/>
      <c r="B473" s="1"/>
      <c r="C473" s="3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" x14ac:dyDescent="0.2">
      <c r="A474" s="2"/>
      <c r="B474" s="1"/>
      <c r="C474" s="3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" x14ac:dyDescent="0.2">
      <c r="A475" s="2"/>
      <c r="B475" s="1"/>
      <c r="C475" s="3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" x14ac:dyDescent="0.2">
      <c r="A476" s="2"/>
      <c r="B476" s="1"/>
      <c r="C476" s="3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" x14ac:dyDescent="0.2">
      <c r="A477" s="2"/>
      <c r="B477" s="1"/>
      <c r="C477" s="3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" x14ac:dyDescent="0.2">
      <c r="A478" s="2"/>
      <c r="B478" s="1"/>
      <c r="C478" s="3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" x14ac:dyDescent="0.2">
      <c r="A479" s="2"/>
      <c r="B479" s="1"/>
      <c r="C479" s="3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" x14ac:dyDescent="0.2">
      <c r="A480" s="2"/>
      <c r="B480" s="1"/>
      <c r="C480" s="3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" x14ac:dyDescent="0.2">
      <c r="A481" s="2"/>
      <c r="B481" s="1"/>
      <c r="C481" s="3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" x14ac:dyDescent="0.2">
      <c r="A482" s="2"/>
      <c r="B482" s="1"/>
      <c r="C482" s="3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" x14ac:dyDescent="0.2">
      <c r="A483" s="2"/>
      <c r="B483" s="1"/>
      <c r="C483" s="3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" x14ac:dyDescent="0.2">
      <c r="A484" s="2"/>
      <c r="B484" s="1"/>
      <c r="C484" s="3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" x14ac:dyDescent="0.2">
      <c r="A485" s="2"/>
      <c r="B485" s="1"/>
      <c r="C485" s="3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" x14ac:dyDescent="0.2">
      <c r="A486" s="2"/>
      <c r="B486" s="1"/>
      <c r="C486" s="3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" x14ac:dyDescent="0.2">
      <c r="A487" s="2"/>
      <c r="B487" s="1"/>
      <c r="C487" s="3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" x14ac:dyDescent="0.2">
      <c r="A488" s="2"/>
      <c r="B488" s="1"/>
      <c r="C488" s="3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" x14ac:dyDescent="0.2">
      <c r="A489" s="2"/>
      <c r="B489" s="1"/>
      <c r="C489" s="3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" x14ac:dyDescent="0.2">
      <c r="A490" s="2"/>
      <c r="B490" s="1"/>
      <c r="C490" s="3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" x14ac:dyDescent="0.2">
      <c r="A491" s="2"/>
      <c r="B491" s="1"/>
      <c r="C491" s="3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" x14ac:dyDescent="0.2">
      <c r="A492" s="2"/>
      <c r="B492" s="1"/>
      <c r="C492" s="3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" x14ac:dyDescent="0.2">
      <c r="A493" s="2"/>
      <c r="B493" s="1"/>
      <c r="C493" s="3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" x14ac:dyDescent="0.2">
      <c r="A494" s="2"/>
      <c r="B494" s="1"/>
      <c r="C494" s="3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" x14ac:dyDescent="0.2">
      <c r="A495" s="2"/>
      <c r="B495" s="1"/>
      <c r="C495" s="3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" x14ac:dyDescent="0.2">
      <c r="A496" s="2"/>
      <c r="B496" s="1"/>
      <c r="C496" s="3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" x14ac:dyDescent="0.2">
      <c r="A497" s="2"/>
      <c r="B497" s="1"/>
      <c r="C497" s="3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" x14ac:dyDescent="0.2">
      <c r="A498" s="2"/>
      <c r="B498" s="1"/>
      <c r="C498" s="3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" x14ac:dyDescent="0.2">
      <c r="A499" s="2"/>
      <c r="B499" s="1"/>
      <c r="C499" s="3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" x14ac:dyDescent="0.2">
      <c r="A500" s="2"/>
      <c r="B500" s="1"/>
      <c r="C500" s="3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" x14ac:dyDescent="0.2">
      <c r="A501" s="2"/>
      <c r="B501" s="1"/>
      <c r="C501" s="3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" x14ac:dyDescent="0.2">
      <c r="A502" s="2"/>
      <c r="B502" s="1"/>
      <c r="C502" s="3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" x14ac:dyDescent="0.2">
      <c r="A503" s="2"/>
      <c r="B503" s="1"/>
      <c r="C503" s="3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" x14ac:dyDescent="0.2">
      <c r="A504" s="2"/>
      <c r="B504" s="1"/>
      <c r="C504" s="3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" x14ac:dyDescent="0.2">
      <c r="A505" s="2"/>
      <c r="B505" s="1"/>
      <c r="C505" s="3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" x14ac:dyDescent="0.2">
      <c r="A506" s="2"/>
      <c r="B506" s="1"/>
      <c r="C506" s="3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" x14ac:dyDescent="0.2">
      <c r="A507" s="2"/>
      <c r="B507" s="1"/>
      <c r="C507" s="3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" x14ac:dyDescent="0.2">
      <c r="A508" s="2"/>
      <c r="B508" s="1"/>
      <c r="C508" s="3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" x14ac:dyDescent="0.2">
      <c r="A509" s="2"/>
      <c r="B509" s="1"/>
      <c r="C509" s="3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" x14ac:dyDescent="0.2">
      <c r="A510" s="2"/>
      <c r="B510" s="1"/>
      <c r="C510" s="3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" x14ac:dyDescent="0.2">
      <c r="A511" s="2"/>
      <c r="B511" s="1"/>
      <c r="C511" s="3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" x14ac:dyDescent="0.2">
      <c r="A512" s="2"/>
      <c r="B512" s="1"/>
      <c r="C512" s="3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" x14ac:dyDescent="0.2">
      <c r="A513" s="2"/>
      <c r="B513" s="1"/>
      <c r="C513" s="3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" x14ac:dyDescent="0.2">
      <c r="A514" s="2"/>
      <c r="B514" s="1"/>
      <c r="C514" s="3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" x14ac:dyDescent="0.2">
      <c r="A515" s="2"/>
      <c r="B515" s="1"/>
      <c r="C515" s="3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" x14ac:dyDescent="0.2">
      <c r="A516" s="2"/>
      <c r="B516" s="1"/>
      <c r="C516" s="3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" x14ac:dyDescent="0.2">
      <c r="A517" s="2"/>
      <c r="B517" s="1"/>
      <c r="C517" s="3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" x14ac:dyDescent="0.2">
      <c r="A518" s="2"/>
      <c r="B518" s="1"/>
      <c r="C518" s="3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" x14ac:dyDescent="0.2">
      <c r="A519" s="2"/>
      <c r="B519" s="1"/>
      <c r="C519" s="3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" x14ac:dyDescent="0.2">
      <c r="A520" s="2"/>
      <c r="B520" s="1"/>
      <c r="C520" s="3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" x14ac:dyDescent="0.2">
      <c r="A521" s="2"/>
      <c r="B521" s="1"/>
      <c r="C521" s="3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" x14ac:dyDescent="0.2">
      <c r="A522" s="2"/>
      <c r="B522" s="1"/>
      <c r="C522" s="3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" x14ac:dyDescent="0.2">
      <c r="A523" s="2"/>
      <c r="B523" s="1"/>
      <c r="C523" s="3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" x14ac:dyDescent="0.2">
      <c r="A524" s="2"/>
      <c r="B524" s="1"/>
      <c r="C524" s="3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" x14ac:dyDescent="0.2">
      <c r="A525" s="2"/>
      <c r="B525" s="1"/>
      <c r="C525" s="3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" x14ac:dyDescent="0.2">
      <c r="A526" s="2"/>
      <c r="B526" s="1"/>
      <c r="C526" s="3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" x14ac:dyDescent="0.2">
      <c r="A527" s="2"/>
      <c r="B527" s="1"/>
      <c r="C527" s="3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" x14ac:dyDescent="0.2">
      <c r="A528" s="2"/>
      <c r="B528" s="1"/>
      <c r="C528" s="3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" x14ac:dyDescent="0.2">
      <c r="A529" s="2"/>
      <c r="B529" s="1"/>
      <c r="C529" s="3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" x14ac:dyDescent="0.2">
      <c r="A530" s="2"/>
      <c r="B530" s="1"/>
      <c r="C530" s="3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" x14ac:dyDescent="0.2">
      <c r="A531" s="2"/>
      <c r="B531" s="1"/>
      <c r="C531" s="3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" x14ac:dyDescent="0.2">
      <c r="A532" s="2"/>
      <c r="B532" s="1"/>
      <c r="C532" s="3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" x14ac:dyDescent="0.2">
      <c r="A533" s="2"/>
      <c r="B533" s="1"/>
      <c r="C533" s="3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" x14ac:dyDescent="0.2">
      <c r="A534" s="2"/>
      <c r="B534" s="1"/>
      <c r="C534" s="3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" x14ac:dyDescent="0.2">
      <c r="A535" s="2"/>
      <c r="B535" s="1"/>
      <c r="C535" s="3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" x14ac:dyDescent="0.2">
      <c r="A536" s="2"/>
      <c r="B536" s="1"/>
      <c r="C536" s="3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" x14ac:dyDescent="0.2">
      <c r="A537" s="2"/>
      <c r="B537" s="1"/>
      <c r="C537" s="3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" x14ac:dyDescent="0.2">
      <c r="A538" s="2"/>
      <c r="B538" s="1"/>
      <c r="C538" s="3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" x14ac:dyDescent="0.2">
      <c r="A539" s="2"/>
      <c r="B539" s="1"/>
      <c r="C539" s="3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" x14ac:dyDescent="0.2">
      <c r="A540" s="2"/>
      <c r="B540" s="1"/>
      <c r="C540" s="3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" x14ac:dyDescent="0.2">
      <c r="A541" s="2"/>
      <c r="B541" s="1"/>
      <c r="C541" s="3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" x14ac:dyDescent="0.2">
      <c r="A542" s="2"/>
      <c r="B542" s="1"/>
      <c r="C542" s="3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" x14ac:dyDescent="0.2">
      <c r="A543" s="2"/>
      <c r="B543" s="1"/>
      <c r="C543" s="3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" x14ac:dyDescent="0.2">
      <c r="A544" s="2"/>
      <c r="B544" s="1"/>
      <c r="C544" s="3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" x14ac:dyDescent="0.2">
      <c r="A545" s="2"/>
      <c r="B545" s="1"/>
      <c r="C545" s="3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" x14ac:dyDescent="0.2">
      <c r="A546" s="2"/>
      <c r="B546" s="1"/>
      <c r="C546" s="3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" x14ac:dyDescent="0.2">
      <c r="A547" s="2"/>
      <c r="B547" s="1"/>
      <c r="C547" s="3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" x14ac:dyDescent="0.2">
      <c r="A548" s="2"/>
      <c r="B548" s="1"/>
      <c r="C548" s="3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" x14ac:dyDescent="0.2">
      <c r="A549" s="2"/>
      <c r="B549" s="1"/>
      <c r="C549" s="3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" x14ac:dyDescent="0.2">
      <c r="A550" s="2"/>
      <c r="B550" s="1"/>
      <c r="C550" s="3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" x14ac:dyDescent="0.2">
      <c r="A551" s="2"/>
      <c r="B551" s="1"/>
      <c r="C551" s="3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" x14ac:dyDescent="0.2">
      <c r="A552" s="2"/>
      <c r="B552" s="1"/>
      <c r="C552" s="3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" x14ac:dyDescent="0.2">
      <c r="A553" s="2"/>
      <c r="B553" s="1"/>
      <c r="C553" s="3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" x14ac:dyDescent="0.2">
      <c r="A554" s="2"/>
      <c r="B554" s="1"/>
      <c r="C554" s="3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" x14ac:dyDescent="0.2">
      <c r="A555" s="2"/>
      <c r="B555" s="1"/>
      <c r="C555" s="3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" x14ac:dyDescent="0.2">
      <c r="A556" s="2"/>
      <c r="B556" s="1"/>
      <c r="C556" s="3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" x14ac:dyDescent="0.2">
      <c r="A557" s="2"/>
      <c r="B557" s="1"/>
      <c r="C557" s="3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" x14ac:dyDescent="0.2">
      <c r="A558" s="2"/>
      <c r="B558" s="1"/>
      <c r="C558" s="3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" x14ac:dyDescent="0.2">
      <c r="A559" s="2"/>
      <c r="B559" s="1"/>
      <c r="C559" s="3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" x14ac:dyDescent="0.2">
      <c r="A560" s="2"/>
      <c r="B560" s="1"/>
      <c r="C560" s="3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" x14ac:dyDescent="0.2">
      <c r="A561" s="2"/>
      <c r="B561" s="1"/>
      <c r="C561" s="3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" x14ac:dyDescent="0.2">
      <c r="A562" s="2"/>
      <c r="B562" s="1"/>
      <c r="C562" s="3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" x14ac:dyDescent="0.2">
      <c r="A563" s="2"/>
      <c r="B563" s="1"/>
      <c r="C563" s="3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" x14ac:dyDescent="0.2">
      <c r="A564" s="2"/>
      <c r="B564" s="1"/>
      <c r="C564" s="3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" x14ac:dyDescent="0.2">
      <c r="A565" s="2"/>
      <c r="B565" s="1"/>
      <c r="C565" s="3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" x14ac:dyDescent="0.2">
      <c r="A566" s="2"/>
      <c r="B566" s="1"/>
      <c r="C566" s="3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" x14ac:dyDescent="0.2">
      <c r="A567" s="2"/>
      <c r="B567" s="1"/>
      <c r="C567" s="3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" x14ac:dyDescent="0.2">
      <c r="A568" s="2"/>
      <c r="B568" s="1"/>
      <c r="C568" s="3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" x14ac:dyDescent="0.2">
      <c r="A569" s="2"/>
      <c r="B569" s="1"/>
      <c r="C569" s="3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" x14ac:dyDescent="0.2">
      <c r="A570" s="2"/>
      <c r="B570" s="1"/>
      <c r="C570" s="3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" x14ac:dyDescent="0.2">
      <c r="A571" s="2"/>
      <c r="B571" s="1"/>
      <c r="C571" s="3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" x14ac:dyDescent="0.2">
      <c r="A572" s="2"/>
      <c r="B572" s="1"/>
      <c r="C572" s="3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" x14ac:dyDescent="0.2">
      <c r="A573" s="2"/>
      <c r="B573" s="1"/>
      <c r="C573" s="3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" x14ac:dyDescent="0.2">
      <c r="A574" s="2"/>
      <c r="B574" s="1"/>
      <c r="C574" s="3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" x14ac:dyDescent="0.2">
      <c r="A575" s="2"/>
      <c r="B575" s="1"/>
      <c r="C575" s="3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" x14ac:dyDescent="0.2">
      <c r="A576" s="2"/>
      <c r="B576" s="1"/>
      <c r="C576" s="3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" x14ac:dyDescent="0.2">
      <c r="A577" s="2"/>
      <c r="B577" s="1"/>
      <c r="C577" s="3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" x14ac:dyDescent="0.2">
      <c r="A578" s="2"/>
      <c r="B578" s="1"/>
      <c r="C578" s="3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" x14ac:dyDescent="0.2">
      <c r="A579" s="2"/>
      <c r="B579" s="1"/>
      <c r="C579" s="3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" x14ac:dyDescent="0.2">
      <c r="A580" s="2"/>
      <c r="B580" s="1"/>
      <c r="C580" s="3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" x14ac:dyDescent="0.2">
      <c r="A581" s="2"/>
      <c r="B581" s="1"/>
      <c r="C581" s="3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" x14ac:dyDescent="0.2">
      <c r="A582" s="2"/>
      <c r="B582" s="1"/>
      <c r="C582" s="3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" x14ac:dyDescent="0.2">
      <c r="A583" s="2"/>
      <c r="B583" s="1"/>
      <c r="C583" s="3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" x14ac:dyDescent="0.2">
      <c r="A584" s="2"/>
      <c r="B584" s="1"/>
      <c r="C584" s="3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" x14ac:dyDescent="0.2">
      <c r="A585" s="2"/>
      <c r="B585" s="1"/>
      <c r="C585" s="3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" x14ac:dyDescent="0.2">
      <c r="A586" s="2"/>
      <c r="B586" s="1"/>
      <c r="C586" s="3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" x14ac:dyDescent="0.2">
      <c r="A587" s="2"/>
      <c r="B587" s="1"/>
      <c r="C587" s="3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" x14ac:dyDescent="0.2">
      <c r="A588" s="2"/>
      <c r="B588" s="1"/>
      <c r="C588" s="3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" x14ac:dyDescent="0.2">
      <c r="A589" s="2"/>
      <c r="B589" s="1"/>
      <c r="C589" s="3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" x14ac:dyDescent="0.2">
      <c r="A590" s="2"/>
      <c r="B590" s="1"/>
      <c r="C590" s="3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" x14ac:dyDescent="0.2">
      <c r="A591" s="2"/>
      <c r="B591" s="1"/>
      <c r="C591" s="3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" x14ac:dyDescent="0.2">
      <c r="A592" s="2"/>
      <c r="B592" s="1"/>
      <c r="C592" s="3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" x14ac:dyDescent="0.2">
      <c r="A593" s="2"/>
      <c r="B593" s="1"/>
      <c r="C593" s="3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" x14ac:dyDescent="0.2">
      <c r="A594" s="2"/>
      <c r="B594" s="1"/>
      <c r="C594" s="3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" x14ac:dyDescent="0.2">
      <c r="A595" s="2"/>
      <c r="B595" s="1"/>
      <c r="C595" s="3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" x14ac:dyDescent="0.2">
      <c r="A596" s="2"/>
      <c r="B596" s="1"/>
      <c r="C596" s="3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" x14ac:dyDescent="0.2">
      <c r="A597" s="2"/>
      <c r="B597" s="1"/>
      <c r="C597" s="3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" x14ac:dyDescent="0.2">
      <c r="A598" s="2"/>
      <c r="B598" s="1"/>
      <c r="C598" s="3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" x14ac:dyDescent="0.2">
      <c r="A599" s="2"/>
      <c r="B599" s="1"/>
      <c r="C599" s="3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" x14ac:dyDescent="0.2">
      <c r="A600" s="2"/>
      <c r="B600" s="1"/>
      <c r="C600" s="3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" x14ac:dyDescent="0.2">
      <c r="A601" s="2"/>
      <c r="B601" s="1"/>
      <c r="C601" s="3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" x14ac:dyDescent="0.2">
      <c r="A602" s="2"/>
      <c r="B602" s="1"/>
      <c r="C602" s="3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" x14ac:dyDescent="0.2">
      <c r="A603" s="2"/>
      <c r="B603" s="1"/>
      <c r="C603" s="3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" x14ac:dyDescent="0.2">
      <c r="A604" s="2"/>
      <c r="B604" s="1"/>
      <c r="C604" s="3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" x14ac:dyDescent="0.2">
      <c r="A605" s="2"/>
      <c r="B605" s="1"/>
      <c r="C605" s="3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" x14ac:dyDescent="0.2">
      <c r="A606" s="2"/>
      <c r="B606" s="1"/>
      <c r="C606" s="3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" x14ac:dyDescent="0.2">
      <c r="A607" s="2"/>
      <c r="B607" s="1"/>
      <c r="C607" s="3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" x14ac:dyDescent="0.2">
      <c r="A608" s="2"/>
      <c r="B608" s="1"/>
      <c r="C608" s="3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" x14ac:dyDescent="0.2">
      <c r="A609" s="2"/>
      <c r="B609" s="1"/>
      <c r="C609" s="3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" x14ac:dyDescent="0.2">
      <c r="A610" s="2"/>
      <c r="B610" s="1"/>
      <c r="C610" s="3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" x14ac:dyDescent="0.2">
      <c r="A611" s="2"/>
      <c r="B611" s="1"/>
      <c r="C611" s="3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" x14ac:dyDescent="0.2">
      <c r="A612" s="2"/>
      <c r="B612" s="1"/>
      <c r="C612" s="3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" x14ac:dyDescent="0.2">
      <c r="A613" s="2"/>
      <c r="B613" s="1"/>
      <c r="C613" s="3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" x14ac:dyDescent="0.2">
      <c r="A614" s="2"/>
      <c r="B614" s="1"/>
      <c r="C614" s="3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" x14ac:dyDescent="0.2">
      <c r="A615" s="2"/>
      <c r="B615" s="1"/>
      <c r="C615" s="3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" x14ac:dyDescent="0.2">
      <c r="A616" s="2"/>
      <c r="B616" s="1"/>
      <c r="C616" s="3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" x14ac:dyDescent="0.2">
      <c r="A617" s="2"/>
      <c r="B617" s="1"/>
      <c r="C617" s="3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" x14ac:dyDescent="0.2">
      <c r="A618" s="2"/>
      <c r="B618" s="1"/>
      <c r="C618" s="3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" x14ac:dyDescent="0.2">
      <c r="A619" s="2"/>
      <c r="B619" s="1"/>
      <c r="C619" s="3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" x14ac:dyDescent="0.2">
      <c r="A620" s="2"/>
      <c r="B620" s="1"/>
      <c r="C620" s="3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" x14ac:dyDescent="0.2">
      <c r="A621" s="2"/>
      <c r="B621" s="1"/>
      <c r="C621" s="3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" x14ac:dyDescent="0.2">
      <c r="A622" s="2"/>
      <c r="B622" s="1"/>
      <c r="C622" s="3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" x14ac:dyDescent="0.2">
      <c r="A623" s="2"/>
      <c r="B623" s="1"/>
      <c r="C623" s="3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" x14ac:dyDescent="0.2">
      <c r="A624" s="2"/>
      <c r="B624" s="1"/>
      <c r="C624" s="3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" x14ac:dyDescent="0.2">
      <c r="A625" s="2"/>
      <c r="B625" s="1"/>
      <c r="C625" s="3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" x14ac:dyDescent="0.2">
      <c r="A626" s="2"/>
      <c r="B626" s="1"/>
      <c r="C626" s="3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" x14ac:dyDescent="0.2">
      <c r="A627" s="2"/>
      <c r="B627" s="1"/>
      <c r="C627" s="3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" x14ac:dyDescent="0.2">
      <c r="A628" s="2"/>
      <c r="B628" s="1"/>
      <c r="C628" s="3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" x14ac:dyDescent="0.2">
      <c r="A629" s="2"/>
      <c r="B629" s="1"/>
      <c r="C629" s="3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" x14ac:dyDescent="0.2">
      <c r="A630" s="2"/>
      <c r="B630" s="1"/>
      <c r="C630" s="3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" x14ac:dyDescent="0.2">
      <c r="A631" s="2"/>
      <c r="B631" s="1"/>
      <c r="C631" s="3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" x14ac:dyDescent="0.2">
      <c r="A632" s="2"/>
      <c r="B632" s="1"/>
      <c r="C632" s="3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" x14ac:dyDescent="0.2">
      <c r="A633" s="2"/>
      <c r="B633" s="1"/>
      <c r="C633" s="3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" x14ac:dyDescent="0.2">
      <c r="A634" s="2"/>
      <c r="B634" s="1"/>
      <c r="C634" s="3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" x14ac:dyDescent="0.2">
      <c r="A635" s="2"/>
      <c r="B635" s="1"/>
      <c r="C635" s="3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" x14ac:dyDescent="0.2">
      <c r="A636" s="2"/>
      <c r="B636" s="1"/>
      <c r="C636" s="3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" x14ac:dyDescent="0.2">
      <c r="A637" s="2"/>
      <c r="B637" s="1"/>
      <c r="C637" s="3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" x14ac:dyDescent="0.2">
      <c r="A638" s="2"/>
      <c r="B638" s="1"/>
      <c r="C638" s="3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" x14ac:dyDescent="0.2">
      <c r="A639" s="2"/>
      <c r="B639" s="1"/>
      <c r="C639" s="3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" x14ac:dyDescent="0.2">
      <c r="A640" s="2"/>
      <c r="B640" s="1"/>
      <c r="C640" s="3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" x14ac:dyDescent="0.2">
      <c r="A641" s="2"/>
      <c r="B641" s="1"/>
      <c r="C641" s="3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" x14ac:dyDescent="0.2">
      <c r="A642" s="2"/>
      <c r="B642" s="1"/>
      <c r="C642" s="3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" x14ac:dyDescent="0.2">
      <c r="A643" s="2"/>
      <c r="B643" s="1"/>
      <c r="C643" s="3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" x14ac:dyDescent="0.2">
      <c r="A644" s="2"/>
      <c r="B644" s="1"/>
      <c r="C644" s="3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" x14ac:dyDescent="0.2">
      <c r="A645" s="2"/>
      <c r="B645" s="1"/>
      <c r="C645" s="3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" x14ac:dyDescent="0.2">
      <c r="A646" s="2"/>
      <c r="B646" s="1"/>
      <c r="C646" s="3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" x14ac:dyDescent="0.2">
      <c r="A647" s="2"/>
      <c r="B647" s="1"/>
      <c r="C647" s="3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" x14ac:dyDescent="0.2">
      <c r="A648" s="2"/>
      <c r="B648" s="1"/>
      <c r="C648" s="3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" x14ac:dyDescent="0.2">
      <c r="A649" s="2"/>
      <c r="B649" s="1"/>
      <c r="C649" s="3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" x14ac:dyDescent="0.2">
      <c r="A650" s="2"/>
      <c r="B650" s="1"/>
      <c r="C650" s="3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" x14ac:dyDescent="0.2">
      <c r="A651" s="2"/>
      <c r="B651" s="1"/>
      <c r="C651" s="3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" x14ac:dyDescent="0.2">
      <c r="A652" s="2"/>
      <c r="B652" s="1"/>
      <c r="C652" s="3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" x14ac:dyDescent="0.2">
      <c r="A653" s="2"/>
      <c r="B653" s="1"/>
      <c r="C653" s="3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" x14ac:dyDescent="0.2">
      <c r="A654" s="2"/>
      <c r="B654" s="1"/>
      <c r="C654" s="3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" x14ac:dyDescent="0.2">
      <c r="A655" s="2"/>
      <c r="B655" s="1"/>
      <c r="C655" s="3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" x14ac:dyDescent="0.2">
      <c r="A656" s="2"/>
      <c r="B656" s="1"/>
      <c r="C656" s="3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" x14ac:dyDescent="0.2">
      <c r="A657" s="2"/>
      <c r="B657" s="1"/>
      <c r="C657" s="3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" x14ac:dyDescent="0.2">
      <c r="A658" s="2"/>
      <c r="B658" s="1"/>
      <c r="C658" s="3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" x14ac:dyDescent="0.2">
      <c r="A659" s="2"/>
      <c r="B659" s="1"/>
      <c r="C659" s="3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" x14ac:dyDescent="0.2">
      <c r="A660" s="2"/>
      <c r="B660" s="1"/>
      <c r="C660" s="3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" x14ac:dyDescent="0.2">
      <c r="A661" s="2"/>
      <c r="B661" s="1"/>
      <c r="C661" s="3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" x14ac:dyDescent="0.2">
      <c r="A662" s="2"/>
      <c r="B662" s="1"/>
      <c r="C662" s="3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" x14ac:dyDescent="0.2">
      <c r="A663" s="2"/>
      <c r="B663" s="1"/>
      <c r="C663" s="3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" x14ac:dyDescent="0.2">
      <c r="A664" s="2"/>
      <c r="B664" s="1"/>
      <c r="C664" s="3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" x14ac:dyDescent="0.2">
      <c r="A665" s="2"/>
      <c r="B665" s="1"/>
      <c r="C665" s="3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" x14ac:dyDescent="0.2">
      <c r="A666" s="2"/>
      <c r="B666" s="1"/>
      <c r="C666" s="3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" x14ac:dyDescent="0.2">
      <c r="A667" s="2"/>
      <c r="B667" s="1"/>
      <c r="C667" s="3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" x14ac:dyDescent="0.2">
      <c r="A668" s="2"/>
      <c r="B668" s="1"/>
      <c r="C668" s="3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" x14ac:dyDescent="0.2">
      <c r="A669" s="2"/>
      <c r="B669" s="1"/>
      <c r="C669" s="3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" x14ac:dyDescent="0.2">
      <c r="A670" s="2"/>
      <c r="B670" s="1"/>
      <c r="C670" s="3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" x14ac:dyDescent="0.2">
      <c r="A671" s="2"/>
      <c r="B671" s="1"/>
      <c r="C671" s="3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" x14ac:dyDescent="0.2">
      <c r="A672" s="2"/>
      <c r="B672" s="1"/>
      <c r="C672" s="3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" x14ac:dyDescent="0.2">
      <c r="A673" s="2"/>
      <c r="B673" s="1"/>
      <c r="C673" s="3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" x14ac:dyDescent="0.2">
      <c r="A674" s="2"/>
      <c r="B674" s="1"/>
      <c r="C674" s="3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" x14ac:dyDescent="0.2">
      <c r="A675" s="2"/>
      <c r="B675" s="1"/>
      <c r="C675" s="3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" x14ac:dyDescent="0.2">
      <c r="A676" s="2"/>
      <c r="B676" s="1"/>
      <c r="C676" s="3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" x14ac:dyDescent="0.2">
      <c r="A677" s="2"/>
      <c r="B677" s="1"/>
      <c r="C677" s="3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" x14ac:dyDescent="0.2">
      <c r="A678" s="2"/>
      <c r="B678" s="1"/>
      <c r="C678" s="3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" x14ac:dyDescent="0.2">
      <c r="A679" s="2"/>
      <c r="B679" s="1"/>
      <c r="C679" s="3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" x14ac:dyDescent="0.2">
      <c r="A680" s="2"/>
      <c r="B680" s="1"/>
      <c r="C680" s="3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" x14ac:dyDescent="0.2">
      <c r="A681" s="2"/>
      <c r="B681" s="1"/>
      <c r="C681" s="3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" x14ac:dyDescent="0.2">
      <c r="A682" s="2"/>
      <c r="B682" s="1"/>
      <c r="C682" s="3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" x14ac:dyDescent="0.2">
      <c r="A683" s="2"/>
      <c r="B683" s="1"/>
      <c r="C683" s="3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" x14ac:dyDescent="0.2">
      <c r="A684" s="2"/>
      <c r="B684" s="1"/>
      <c r="C684" s="3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" x14ac:dyDescent="0.2">
      <c r="A685" s="2"/>
      <c r="B685" s="1"/>
      <c r="C685" s="3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" x14ac:dyDescent="0.2">
      <c r="A686" s="2"/>
      <c r="B686" s="1"/>
      <c r="C686" s="3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" x14ac:dyDescent="0.2">
      <c r="A687" s="2"/>
      <c r="B687" s="1"/>
      <c r="C687" s="3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" x14ac:dyDescent="0.2">
      <c r="A688" s="2"/>
      <c r="B688" s="1"/>
      <c r="C688" s="3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" x14ac:dyDescent="0.2">
      <c r="A689" s="2"/>
      <c r="B689" s="1"/>
      <c r="C689" s="3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" x14ac:dyDescent="0.2">
      <c r="A690" s="2"/>
      <c r="B690" s="1"/>
      <c r="C690" s="3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" x14ac:dyDescent="0.2">
      <c r="A691" s="2"/>
      <c r="B691" s="1"/>
      <c r="C691" s="3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" x14ac:dyDescent="0.2">
      <c r="A692" s="2"/>
      <c r="B692" s="1"/>
      <c r="C692" s="3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" x14ac:dyDescent="0.2">
      <c r="A693" s="2"/>
      <c r="B693" s="1"/>
      <c r="C693" s="3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" x14ac:dyDescent="0.2">
      <c r="A694" s="2"/>
      <c r="B694" s="1"/>
      <c r="C694" s="3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" x14ac:dyDescent="0.2">
      <c r="A695" s="2"/>
      <c r="B695" s="1"/>
      <c r="C695" s="3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" x14ac:dyDescent="0.2">
      <c r="A696" s="2"/>
      <c r="B696" s="1"/>
      <c r="C696" s="3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" x14ac:dyDescent="0.2">
      <c r="A697" s="2"/>
      <c r="B697" s="1"/>
      <c r="C697" s="3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" x14ac:dyDescent="0.2">
      <c r="A698" s="2"/>
      <c r="B698" s="1"/>
      <c r="C698" s="3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" x14ac:dyDescent="0.2">
      <c r="A699" s="2"/>
      <c r="B699" s="1"/>
      <c r="C699" s="3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" x14ac:dyDescent="0.2">
      <c r="A700" s="2"/>
      <c r="B700" s="1"/>
      <c r="C700" s="3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" x14ac:dyDescent="0.2">
      <c r="A701" s="2"/>
      <c r="B701" s="1"/>
      <c r="C701" s="3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" x14ac:dyDescent="0.2">
      <c r="A702" s="2"/>
      <c r="B702" s="1"/>
      <c r="C702" s="3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" x14ac:dyDescent="0.2">
      <c r="A703" s="2"/>
      <c r="B703" s="1"/>
      <c r="C703" s="3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" x14ac:dyDescent="0.2">
      <c r="A704" s="2"/>
      <c r="B704" s="1"/>
      <c r="C704" s="3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" x14ac:dyDescent="0.2">
      <c r="A705" s="2"/>
      <c r="B705" s="1"/>
      <c r="C705" s="3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" x14ac:dyDescent="0.2">
      <c r="A706" s="2"/>
      <c r="B706" s="1"/>
      <c r="C706" s="3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" x14ac:dyDescent="0.2">
      <c r="A707" s="2"/>
      <c r="B707" s="1"/>
      <c r="C707" s="3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" x14ac:dyDescent="0.2">
      <c r="A708" s="2"/>
      <c r="B708" s="1"/>
      <c r="C708" s="3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" x14ac:dyDescent="0.2">
      <c r="A709" s="2"/>
      <c r="B709" s="1"/>
      <c r="C709" s="3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" x14ac:dyDescent="0.2">
      <c r="A710" s="2"/>
      <c r="B710" s="1"/>
      <c r="C710" s="3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" x14ac:dyDescent="0.2">
      <c r="A711" s="2"/>
      <c r="B711" s="1"/>
      <c r="C711" s="3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" x14ac:dyDescent="0.2">
      <c r="A712" s="2"/>
      <c r="B712" s="1"/>
      <c r="C712" s="3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" x14ac:dyDescent="0.2">
      <c r="A713" s="2"/>
      <c r="B713" s="1"/>
      <c r="C713" s="3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" x14ac:dyDescent="0.2">
      <c r="A714" s="2"/>
      <c r="B714" s="1"/>
      <c r="C714" s="3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" x14ac:dyDescent="0.2">
      <c r="A715" s="2"/>
      <c r="B715" s="1"/>
      <c r="C715" s="3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" x14ac:dyDescent="0.2">
      <c r="A716" s="2"/>
      <c r="B716" s="1"/>
      <c r="C716" s="3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" x14ac:dyDescent="0.2">
      <c r="A717" s="2"/>
      <c r="B717" s="1"/>
      <c r="C717" s="3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" x14ac:dyDescent="0.2">
      <c r="A718" s="2"/>
      <c r="B718" s="1"/>
      <c r="C718" s="3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" x14ac:dyDescent="0.2">
      <c r="A719" s="2"/>
      <c r="B719" s="1"/>
      <c r="C719" s="3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" x14ac:dyDescent="0.2">
      <c r="A720" s="2"/>
      <c r="B720" s="1"/>
      <c r="C720" s="3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" x14ac:dyDescent="0.2">
      <c r="A721" s="2"/>
      <c r="B721" s="1"/>
      <c r="C721" s="3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" x14ac:dyDescent="0.2">
      <c r="A722" s="2"/>
      <c r="B722" s="1"/>
      <c r="C722" s="3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" x14ac:dyDescent="0.2">
      <c r="A723" s="2"/>
      <c r="B723" s="1"/>
      <c r="C723" s="3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" x14ac:dyDescent="0.2">
      <c r="A724" s="2"/>
      <c r="B724" s="1"/>
      <c r="C724" s="3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" x14ac:dyDescent="0.2">
      <c r="A725" s="2"/>
      <c r="B725" s="1"/>
      <c r="C725" s="3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" x14ac:dyDescent="0.2">
      <c r="A726" s="2"/>
      <c r="B726" s="1"/>
      <c r="C726" s="3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" x14ac:dyDescent="0.2">
      <c r="A727" s="2"/>
      <c r="B727" s="1"/>
      <c r="C727" s="3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" x14ac:dyDescent="0.2">
      <c r="A728" s="2"/>
      <c r="B728" s="1"/>
      <c r="C728" s="3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" x14ac:dyDescent="0.2">
      <c r="A729" s="2"/>
      <c r="B729" s="1"/>
      <c r="C729" s="3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" x14ac:dyDescent="0.2">
      <c r="A730" s="2"/>
      <c r="B730" s="1"/>
      <c r="C730" s="3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" x14ac:dyDescent="0.2">
      <c r="A731" s="2"/>
      <c r="B731" s="1"/>
      <c r="C731" s="3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" x14ac:dyDescent="0.2">
      <c r="A732" s="2"/>
      <c r="B732" s="1"/>
      <c r="C732" s="3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" x14ac:dyDescent="0.2">
      <c r="A733" s="2"/>
      <c r="B733" s="1"/>
      <c r="C733" s="3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" x14ac:dyDescent="0.2">
      <c r="A734" s="2"/>
      <c r="B734" s="1"/>
      <c r="C734" s="3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" x14ac:dyDescent="0.2">
      <c r="A735" s="2"/>
      <c r="B735" s="1"/>
      <c r="C735" s="3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" x14ac:dyDescent="0.2">
      <c r="A736" s="2"/>
      <c r="B736" s="1"/>
      <c r="C736" s="3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" x14ac:dyDescent="0.2">
      <c r="A737" s="2"/>
      <c r="B737" s="1"/>
      <c r="C737" s="3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" x14ac:dyDescent="0.2">
      <c r="A738" s="2"/>
      <c r="B738" s="1"/>
      <c r="C738" s="3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" x14ac:dyDescent="0.2">
      <c r="A739" s="2"/>
      <c r="B739" s="1"/>
      <c r="C739" s="3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" x14ac:dyDescent="0.2">
      <c r="A740" s="2"/>
      <c r="B740" s="1"/>
      <c r="C740" s="3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" x14ac:dyDescent="0.2">
      <c r="A741" s="2"/>
      <c r="B741" s="1"/>
      <c r="C741" s="3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" x14ac:dyDescent="0.2">
      <c r="A742" s="2"/>
      <c r="B742" s="1"/>
      <c r="C742" s="3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" x14ac:dyDescent="0.2">
      <c r="A743" s="2"/>
      <c r="B743" s="1"/>
      <c r="C743" s="3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" x14ac:dyDescent="0.2">
      <c r="A744" s="2"/>
      <c r="B744" s="1"/>
      <c r="C744" s="3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" x14ac:dyDescent="0.2">
      <c r="A745" s="2"/>
      <c r="B745" s="1"/>
      <c r="C745" s="3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" x14ac:dyDescent="0.2">
      <c r="A746" s="2"/>
      <c r="B746" s="1"/>
      <c r="C746" s="3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" x14ac:dyDescent="0.2">
      <c r="A747" s="2"/>
      <c r="B747" s="1"/>
      <c r="C747" s="3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" x14ac:dyDescent="0.2">
      <c r="A748" s="2"/>
      <c r="B748" s="1"/>
      <c r="C748" s="3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" x14ac:dyDescent="0.2">
      <c r="A749" s="2"/>
      <c r="B749" s="1"/>
      <c r="C749" s="3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" x14ac:dyDescent="0.2">
      <c r="A750" s="2"/>
      <c r="B750" s="1"/>
      <c r="C750" s="3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" x14ac:dyDescent="0.2">
      <c r="A751" s="2"/>
      <c r="B751" s="1"/>
      <c r="C751" s="3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" x14ac:dyDescent="0.2">
      <c r="A752" s="2"/>
      <c r="B752" s="1"/>
      <c r="C752" s="3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" x14ac:dyDescent="0.2">
      <c r="A753" s="2"/>
      <c r="B753" s="1"/>
      <c r="C753" s="3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" x14ac:dyDescent="0.2">
      <c r="A754" s="2"/>
      <c r="B754" s="1"/>
      <c r="C754" s="3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" x14ac:dyDescent="0.2">
      <c r="A755" s="2"/>
      <c r="B755" s="1"/>
      <c r="C755" s="3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" x14ac:dyDescent="0.2">
      <c r="A756" s="2"/>
      <c r="B756" s="1"/>
      <c r="C756" s="3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" x14ac:dyDescent="0.2">
      <c r="A757" s="2"/>
      <c r="B757" s="1"/>
      <c r="C757" s="3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" x14ac:dyDescent="0.2">
      <c r="A758" s="2"/>
      <c r="B758" s="1"/>
      <c r="C758" s="3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" x14ac:dyDescent="0.2">
      <c r="A759" s="2"/>
      <c r="B759" s="1"/>
      <c r="C759" s="3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" x14ac:dyDescent="0.2">
      <c r="A760" s="2"/>
      <c r="B760" s="1"/>
      <c r="C760" s="3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" x14ac:dyDescent="0.2">
      <c r="A761" s="2"/>
      <c r="B761" s="1"/>
      <c r="C761" s="3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" x14ac:dyDescent="0.2">
      <c r="A762" s="2"/>
      <c r="B762" s="1"/>
      <c r="C762" s="3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" x14ac:dyDescent="0.2">
      <c r="A763" s="2"/>
      <c r="B763" s="1"/>
      <c r="C763" s="3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" x14ac:dyDescent="0.2">
      <c r="A764" s="2"/>
      <c r="B764" s="1"/>
      <c r="C764" s="3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" x14ac:dyDescent="0.2">
      <c r="A765" s="2"/>
      <c r="B765" s="1"/>
      <c r="C765" s="3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" x14ac:dyDescent="0.2">
      <c r="A766" s="2"/>
      <c r="B766" s="1"/>
      <c r="C766" s="3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" x14ac:dyDescent="0.2">
      <c r="A767" s="2"/>
      <c r="B767" s="1"/>
      <c r="C767" s="3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" x14ac:dyDescent="0.2">
      <c r="A768" s="2"/>
      <c r="B768" s="1"/>
      <c r="C768" s="3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" x14ac:dyDescent="0.2">
      <c r="A769" s="2"/>
      <c r="B769" s="1"/>
      <c r="C769" s="3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" x14ac:dyDescent="0.2">
      <c r="A770" s="2"/>
      <c r="B770" s="1"/>
      <c r="C770" s="3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" x14ac:dyDescent="0.2">
      <c r="A771" s="2"/>
      <c r="B771" s="1"/>
      <c r="C771" s="3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" x14ac:dyDescent="0.2">
      <c r="A772" s="2"/>
      <c r="B772" s="1"/>
      <c r="C772" s="3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" x14ac:dyDescent="0.2">
      <c r="A773" s="2"/>
      <c r="B773" s="1"/>
      <c r="C773" s="3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" x14ac:dyDescent="0.2">
      <c r="A774" s="2"/>
      <c r="B774" s="1"/>
      <c r="C774" s="3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" x14ac:dyDescent="0.2">
      <c r="A775" s="2"/>
      <c r="B775" s="1"/>
      <c r="C775" s="3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" x14ac:dyDescent="0.2">
      <c r="A776" s="2"/>
      <c r="B776" s="1"/>
      <c r="C776" s="3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" x14ac:dyDescent="0.2">
      <c r="A777" s="2"/>
      <c r="B777" s="1"/>
      <c r="C777" s="3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" x14ac:dyDescent="0.2">
      <c r="A778" s="2"/>
      <c r="B778" s="1"/>
      <c r="C778" s="3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" x14ac:dyDescent="0.2">
      <c r="A779" s="2"/>
      <c r="B779" s="1"/>
      <c r="C779" s="3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" x14ac:dyDescent="0.2">
      <c r="A780" s="2"/>
      <c r="B780" s="1"/>
      <c r="C780" s="3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" x14ac:dyDescent="0.2">
      <c r="A781" s="2"/>
      <c r="B781" s="1"/>
      <c r="C781" s="3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" x14ac:dyDescent="0.2">
      <c r="A782" s="2"/>
      <c r="B782" s="1"/>
      <c r="C782" s="3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" x14ac:dyDescent="0.2">
      <c r="A783" s="2"/>
      <c r="B783" s="1"/>
      <c r="C783" s="3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" x14ac:dyDescent="0.2">
      <c r="A784" s="2"/>
      <c r="B784" s="1"/>
      <c r="C784" s="3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" x14ac:dyDescent="0.2">
      <c r="A785" s="2"/>
      <c r="B785" s="1"/>
      <c r="C785" s="3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" x14ac:dyDescent="0.2">
      <c r="A786" s="2"/>
      <c r="B786" s="1"/>
      <c r="C786" s="3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" x14ac:dyDescent="0.2">
      <c r="A787" s="2"/>
      <c r="B787" s="1"/>
      <c r="C787" s="3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" x14ac:dyDescent="0.2">
      <c r="A788" s="2"/>
      <c r="B788" s="1"/>
      <c r="C788" s="3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" x14ac:dyDescent="0.2">
      <c r="A789" s="2"/>
      <c r="B789" s="1"/>
      <c r="C789" s="3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" x14ac:dyDescent="0.2">
      <c r="A790" s="2"/>
      <c r="B790" s="1"/>
      <c r="C790" s="3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" x14ac:dyDescent="0.2">
      <c r="A791" s="2"/>
      <c r="B791" s="1"/>
      <c r="C791" s="3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" x14ac:dyDescent="0.2">
      <c r="A792" s="2"/>
      <c r="B792" s="1"/>
      <c r="C792" s="3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" x14ac:dyDescent="0.2">
      <c r="A793" s="2"/>
      <c r="B793" s="1"/>
      <c r="C793" s="3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" x14ac:dyDescent="0.2">
      <c r="A794" s="2"/>
      <c r="B794" s="1"/>
      <c r="C794" s="3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" x14ac:dyDescent="0.2">
      <c r="A795" s="2"/>
      <c r="B795" s="1"/>
      <c r="C795" s="3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" x14ac:dyDescent="0.2">
      <c r="A796" s="2"/>
      <c r="B796" s="1"/>
      <c r="C796" s="3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" x14ac:dyDescent="0.2">
      <c r="A797" s="2"/>
      <c r="B797" s="1"/>
      <c r="C797" s="3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" x14ac:dyDescent="0.2">
      <c r="A798" s="2"/>
      <c r="B798" s="1"/>
      <c r="C798" s="3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" x14ac:dyDescent="0.2">
      <c r="A799" s="2"/>
      <c r="B799" s="1"/>
      <c r="C799" s="3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" x14ac:dyDescent="0.2">
      <c r="A800" s="2"/>
      <c r="B800" s="1"/>
      <c r="C800" s="3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" x14ac:dyDescent="0.2">
      <c r="A801" s="2"/>
      <c r="B801" s="1"/>
      <c r="C801" s="3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" x14ac:dyDescent="0.2">
      <c r="A802" s="2"/>
      <c r="B802" s="1"/>
      <c r="C802" s="3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" x14ac:dyDescent="0.2">
      <c r="A803" s="2"/>
      <c r="B803" s="1"/>
      <c r="C803" s="3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" x14ac:dyDescent="0.2">
      <c r="A804" s="2"/>
      <c r="B804" s="1"/>
      <c r="C804" s="3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" x14ac:dyDescent="0.2">
      <c r="A805" s="2"/>
      <c r="B805" s="1"/>
      <c r="C805" s="3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" x14ac:dyDescent="0.2">
      <c r="A806" s="2"/>
      <c r="B806" s="1"/>
      <c r="C806" s="3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" x14ac:dyDescent="0.2">
      <c r="A807" s="2"/>
      <c r="B807" s="1"/>
      <c r="C807" s="3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" x14ac:dyDescent="0.2">
      <c r="A808" s="2"/>
      <c r="B808" s="1"/>
      <c r="C808" s="3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" x14ac:dyDescent="0.2">
      <c r="A809" s="2"/>
      <c r="B809" s="1"/>
      <c r="C809" s="3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" x14ac:dyDescent="0.2">
      <c r="A810" s="2"/>
      <c r="B810" s="1"/>
      <c r="C810" s="3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" x14ac:dyDescent="0.2">
      <c r="A811" s="2"/>
      <c r="B811" s="1"/>
      <c r="C811" s="3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" x14ac:dyDescent="0.2">
      <c r="A812" s="2"/>
      <c r="B812" s="1"/>
      <c r="C812" s="3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" x14ac:dyDescent="0.2">
      <c r="A813" s="2"/>
      <c r="B813" s="1"/>
      <c r="C813" s="3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" x14ac:dyDescent="0.2">
      <c r="A814" s="2"/>
      <c r="B814" s="1"/>
      <c r="C814" s="3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" x14ac:dyDescent="0.2">
      <c r="A815" s="2"/>
      <c r="B815" s="1"/>
      <c r="C815" s="3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" x14ac:dyDescent="0.2">
      <c r="A816" s="2"/>
      <c r="B816" s="1"/>
      <c r="C816" s="3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" x14ac:dyDescent="0.2">
      <c r="A817" s="2"/>
      <c r="B817" s="1"/>
      <c r="C817" s="3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" x14ac:dyDescent="0.2">
      <c r="A818" s="2"/>
      <c r="B818" s="1"/>
      <c r="C818" s="3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" x14ac:dyDescent="0.2">
      <c r="A819" s="2"/>
      <c r="B819" s="1"/>
      <c r="C819" s="3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" x14ac:dyDescent="0.2">
      <c r="A820" s="2"/>
      <c r="B820" s="1"/>
      <c r="C820" s="3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" x14ac:dyDescent="0.2">
      <c r="A821" s="2"/>
      <c r="B821" s="1"/>
      <c r="C821" s="3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" x14ac:dyDescent="0.2">
      <c r="A822" s="2"/>
      <c r="B822" s="1"/>
      <c r="C822" s="3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" x14ac:dyDescent="0.2">
      <c r="A823" s="2"/>
      <c r="B823" s="1"/>
      <c r="C823" s="3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" x14ac:dyDescent="0.2">
      <c r="A824" s="2"/>
      <c r="B824" s="1"/>
      <c r="C824" s="3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" x14ac:dyDescent="0.2">
      <c r="A825" s="2"/>
      <c r="B825" s="1"/>
      <c r="C825" s="3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" x14ac:dyDescent="0.2">
      <c r="A826" s="2"/>
      <c r="B826" s="1"/>
      <c r="C826" s="3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" x14ac:dyDescent="0.2">
      <c r="A827" s="2"/>
      <c r="B827" s="1"/>
      <c r="C827" s="3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" x14ac:dyDescent="0.2">
      <c r="A828" s="2"/>
      <c r="B828" s="1"/>
      <c r="C828" s="3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" x14ac:dyDescent="0.2">
      <c r="A829" s="2"/>
      <c r="B829" s="1"/>
      <c r="C829" s="3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" x14ac:dyDescent="0.2">
      <c r="A830" s="2"/>
      <c r="B830" s="1"/>
      <c r="C830" s="3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" x14ac:dyDescent="0.2">
      <c r="A831" s="2"/>
      <c r="B831" s="1"/>
      <c r="C831" s="3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" x14ac:dyDescent="0.2">
      <c r="A832" s="2"/>
      <c r="B832" s="1"/>
      <c r="C832" s="3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" x14ac:dyDescent="0.2">
      <c r="A833" s="2"/>
      <c r="B833" s="1"/>
      <c r="C833" s="3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" x14ac:dyDescent="0.2">
      <c r="A834" s="2"/>
      <c r="B834" s="1"/>
      <c r="C834" s="3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" x14ac:dyDescent="0.2">
      <c r="A835" s="2"/>
      <c r="B835" s="1"/>
      <c r="C835" s="3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" x14ac:dyDescent="0.2">
      <c r="A836" s="2"/>
      <c r="B836" s="1"/>
      <c r="C836" s="3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" x14ac:dyDescent="0.2">
      <c r="A837" s="2"/>
      <c r="B837" s="1"/>
      <c r="C837" s="3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" x14ac:dyDescent="0.2">
      <c r="A838" s="2"/>
      <c r="B838" s="1"/>
      <c r="C838" s="3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" x14ac:dyDescent="0.2">
      <c r="A839" s="2"/>
      <c r="B839" s="1"/>
      <c r="C839" s="3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" x14ac:dyDescent="0.2">
      <c r="A840" s="2"/>
      <c r="B840" s="1"/>
      <c r="C840" s="3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" x14ac:dyDescent="0.2">
      <c r="A841" s="2"/>
      <c r="B841" s="1"/>
      <c r="C841" s="3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" x14ac:dyDescent="0.2">
      <c r="A842" s="2"/>
      <c r="B842" s="1"/>
      <c r="C842" s="3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" x14ac:dyDescent="0.2">
      <c r="A843" s="2"/>
      <c r="B843" s="1"/>
      <c r="C843" s="3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" x14ac:dyDescent="0.2">
      <c r="A844" s="2"/>
      <c r="B844" s="1"/>
      <c r="C844" s="3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" x14ac:dyDescent="0.2">
      <c r="A845" s="2"/>
      <c r="B845" s="1"/>
      <c r="C845" s="3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" x14ac:dyDescent="0.2">
      <c r="A846" s="2"/>
      <c r="B846" s="1"/>
      <c r="C846" s="3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" x14ac:dyDescent="0.2">
      <c r="A847" s="2"/>
      <c r="B847" s="1"/>
      <c r="C847" s="3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" x14ac:dyDescent="0.2">
      <c r="A848" s="2"/>
      <c r="B848" s="1"/>
      <c r="C848" s="3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" x14ac:dyDescent="0.2">
      <c r="A849" s="2"/>
      <c r="B849" s="1"/>
      <c r="C849" s="3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" x14ac:dyDescent="0.2">
      <c r="A850" s="2"/>
      <c r="B850" s="1"/>
      <c r="C850" s="3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" x14ac:dyDescent="0.2">
      <c r="A851" s="2"/>
      <c r="B851" s="1"/>
      <c r="C851" s="3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" x14ac:dyDescent="0.2">
      <c r="A852" s="2"/>
      <c r="B852" s="1"/>
      <c r="C852" s="3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" x14ac:dyDescent="0.2">
      <c r="A853" s="2"/>
      <c r="B853" s="1"/>
      <c r="C853" s="3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" x14ac:dyDescent="0.2">
      <c r="A854" s="2"/>
      <c r="B854" s="1"/>
      <c r="C854" s="3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" x14ac:dyDescent="0.2">
      <c r="A855" s="2"/>
      <c r="B855" s="1"/>
      <c r="C855" s="3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" x14ac:dyDescent="0.2">
      <c r="A856" s="2"/>
      <c r="B856" s="1"/>
      <c r="C856" s="3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" x14ac:dyDescent="0.2">
      <c r="A857" s="2"/>
      <c r="B857" s="1"/>
      <c r="C857" s="3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" x14ac:dyDescent="0.2">
      <c r="A858" s="2"/>
      <c r="B858" s="1"/>
      <c r="C858" s="3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" x14ac:dyDescent="0.2">
      <c r="A859" s="2"/>
      <c r="B859" s="1"/>
      <c r="C859" s="3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" x14ac:dyDescent="0.2">
      <c r="A860" s="2"/>
      <c r="B860" s="1"/>
      <c r="C860" s="3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" x14ac:dyDescent="0.2">
      <c r="A861" s="2"/>
      <c r="B861" s="1"/>
      <c r="C861" s="3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" x14ac:dyDescent="0.2">
      <c r="A862" s="2"/>
      <c r="B862" s="1"/>
      <c r="C862" s="3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" x14ac:dyDescent="0.2">
      <c r="A863" s="2"/>
      <c r="B863" s="1"/>
      <c r="C863" s="3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" x14ac:dyDescent="0.2">
      <c r="A864" s="2"/>
      <c r="B864" s="1"/>
      <c r="C864" s="3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" x14ac:dyDescent="0.2">
      <c r="A865" s="2"/>
      <c r="B865" s="1"/>
      <c r="C865" s="3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" x14ac:dyDescent="0.2">
      <c r="A866" s="2"/>
      <c r="B866" s="1"/>
      <c r="C866" s="3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" x14ac:dyDescent="0.2">
      <c r="A867" s="2"/>
      <c r="B867" s="1"/>
      <c r="C867" s="3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" x14ac:dyDescent="0.2">
      <c r="A868" s="2"/>
      <c r="B868" s="1"/>
      <c r="C868" s="3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" x14ac:dyDescent="0.2">
      <c r="A869" s="2"/>
      <c r="B869" s="1"/>
      <c r="C869" s="3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" x14ac:dyDescent="0.2">
      <c r="A870" s="2"/>
      <c r="B870" s="1"/>
      <c r="C870" s="3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" x14ac:dyDescent="0.2">
      <c r="A871" s="2"/>
      <c r="B871" s="1"/>
      <c r="C871" s="3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" x14ac:dyDescent="0.2">
      <c r="A872" s="2"/>
      <c r="B872" s="1"/>
      <c r="C872" s="3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" x14ac:dyDescent="0.2">
      <c r="A873" s="2"/>
      <c r="B873" s="1"/>
      <c r="C873" s="3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" x14ac:dyDescent="0.2">
      <c r="A874" s="2"/>
      <c r="B874" s="1"/>
      <c r="C874" s="3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" x14ac:dyDescent="0.2">
      <c r="A875" s="2"/>
      <c r="B875" s="1"/>
      <c r="C875" s="3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" x14ac:dyDescent="0.2">
      <c r="A876" s="2"/>
      <c r="B876" s="1"/>
      <c r="C876" s="3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" x14ac:dyDescent="0.2">
      <c r="A877" s="2"/>
      <c r="B877" s="1"/>
      <c r="C877" s="3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" x14ac:dyDescent="0.2">
      <c r="A878" s="2"/>
      <c r="B878" s="1"/>
      <c r="C878" s="3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" x14ac:dyDescent="0.2">
      <c r="A879" s="2"/>
      <c r="B879" s="1"/>
      <c r="C879" s="3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" x14ac:dyDescent="0.2">
      <c r="A880" s="2"/>
      <c r="B880" s="1"/>
      <c r="C880" s="3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" x14ac:dyDescent="0.2">
      <c r="A881" s="2"/>
      <c r="B881" s="1"/>
      <c r="C881" s="3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" x14ac:dyDescent="0.2">
      <c r="A882" s="2"/>
      <c r="B882" s="1"/>
      <c r="C882" s="3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" x14ac:dyDescent="0.2">
      <c r="A883" s="2"/>
      <c r="B883" s="1"/>
      <c r="C883" s="3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" x14ac:dyDescent="0.2">
      <c r="A884" s="2"/>
      <c r="B884" s="1"/>
      <c r="C884" s="3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" x14ac:dyDescent="0.2">
      <c r="A885" s="2"/>
      <c r="B885" s="1"/>
      <c r="C885" s="3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" x14ac:dyDescent="0.2">
      <c r="A886" s="2"/>
      <c r="B886" s="1"/>
      <c r="C886" s="3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" x14ac:dyDescent="0.2">
      <c r="A887" s="2"/>
      <c r="B887" s="1"/>
      <c r="C887" s="3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" x14ac:dyDescent="0.2">
      <c r="A888" s="2"/>
      <c r="B888" s="1"/>
      <c r="C888" s="3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" x14ac:dyDescent="0.2">
      <c r="A889" s="2"/>
      <c r="B889" s="1"/>
      <c r="C889" s="3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" x14ac:dyDescent="0.2">
      <c r="A890" s="2"/>
      <c r="B890" s="1"/>
      <c r="C890" s="3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" x14ac:dyDescent="0.2">
      <c r="A891" s="2"/>
      <c r="B891" s="1"/>
      <c r="C891" s="3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" x14ac:dyDescent="0.2">
      <c r="A892" s="2"/>
      <c r="B892" s="1"/>
      <c r="C892" s="3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" x14ac:dyDescent="0.2">
      <c r="A893" s="2"/>
      <c r="B893" s="1"/>
      <c r="C893" s="3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" x14ac:dyDescent="0.2">
      <c r="A894" s="2"/>
      <c r="B894" s="1"/>
      <c r="C894" s="3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" x14ac:dyDescent="0.2">
      <c r="A895" s="2"/>
      <c r="B895" s="1"/>
      <c r="C895" s="3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" x14ac:dyDescent="0.2">
      <c r="A896" s="2"/>
      <c r="B896" s="1"/>
      <c r="C896" s="3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" x14ac:dyDescent="0.2">
      <c r="A897" s="2"/>
      <c r="B897" s="1"/>
      <c r="C897" s="3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" x14ac:dyDescent="0.2">
      <c r="A898" s="2"/>
      <c r="B898" s="1"/>
      <c r="C898" s="3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" x14ac:dyDescent="0.2">
      <c r="A899" s="2"/>
      <c r="B899" s="1"/>
      <c r="C899" s="3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" x14ac:dyDescent="0.2">
      <c r="A900" s="2"/>
      <c r="B900" s="1"/>
      <c r="C900" s="3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" x14ac:dyDescent="0.2">
      <c r="A901" s="2"/>
      <c r="B901" s="1"/>
      <c r="C901" s="3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" x14ac:dyDescent="0.2">
      <c r="A902" s="2"/>
      <c r="B902" s="1"/>
      <c r="C902" s="3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" x14ac:dyDescent="0.2">
      <c r="A903" s="2"/>
      <c r="B903" s="1"/>
      <c r="C903" s="3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" x14ac:dyDescent="0.2">
      <c r="A904" s="2"/>
      <c r="B904" s="1"/>
      <c r="C904" s="3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" x14ac:dyDescent="0.2">
      <c r="A905" s="2"/>
      <c r="B905" s="1"/>
      <c r="C905" s="3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" x14ac:dyDescent="0.2">
      <c r="A906" s="2"/>
      <c r="B906" s="1"/>
      <c r="C906" s="3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" x14ac:dyDescent="0.2">
      <c r="A907" s="2"/>
      <c r="B907" s="1"/>
      <c r="C907" s="3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" x14ac:dyDescent="0.2">
      <c r="A908" s="2"/>
      <c r="B908" s="1"/>
      <c r="C908" s="3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" x14ac:dyDescent="0.2">
      <c r="A909" s="2"/>
      <c r="B909" s="1"/>
      <c r="C909" s="3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" x14ac:dyDescent="0.2">
      <c r="A910" s="2"/>
      <c r="B910" s="1"/>
      <c r="C910" s="3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" x14ac:dyDescent="0.2">
      <c r="A911" s="2"/>
      <c r="B911" s="1"/>
      <c r="C911" s="3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" x14ac:dyDescent="0.2">
      <c r="A912" s="2"/>
      <c r="B912" s="1"/>
      <c r="C912" s="3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" x14ac:dyDescent="0.2">
      <c r="A913" s="2"/>
      <c r="B913" s="1"/>
      <c r="C913" s="3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" x14ac:dyDescent="0.2">
      <c r="A914" s="2"/>
      <c r="B914" s="1"/>
      <c r="C914" s="3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" x14ac:dyDescent="0.2">
      <c r="A915" s="2"/>
      <c r="B915" s="1"/>
      <c r="C915" s="3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" x14ac:dyDescent="0.2">
      <c r="A916" s="2"/>
      <c r="B916" s="1"/>
      <c r="C916" s="3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" x14ac:dyDescent="0.2">
      <c r="A917" s="2"/>
      <c r="B917" s="1"/>
      <c r="C917" s="3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" x14ac:dyDescent="0.2">
      <c r="A918" s="2"/>
      <c r="B918" s="1"/>
      <c r="C918" s="3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" x14ac:dyDescent="0.2">
      <c r="A919" s="2"/>
      <c r="B919" s="1"/>
      <c r="C919" s="3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" x14ac:dyDescent="0.2">
      <c r="A920" s="2"/>
      <c r="B920" s="1"/>
      <c r="C920" s="3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" x14ac:dyDescent="0.2">
      <c r="A921" s="2"/>
      <c r="B921" s="1"/>
      <c r="C921" s="3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" x14ac:dyDescent="0.2">
      <c r="A922" s="2"/>
      <c r="B922" s="1"/>
      <c r="C922" s="3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" x14ac:dyDescent="0.2">
      <c r="A923" s="2"/>
      <c r="B923" s="1"/>
      <c r="C923" s="3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" x14ac:dyDescent="0.2">
      <c r="A924" s="2"/>
      <c r="B924" s="1"/>
      <c r="C924" s="3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" x14ac:dyDescent="0.2">
      <c r="A925" s="2"/>
      <c r="B925" s="1"/>
      <c r="C925" s="3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" x14ac:dyDescent="0.2">
      <c r="A926" s="2"/>
      <c r="B926" s="1"/>
      <c r="C926" s="3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" x14ac:dyDescent="0.2">
      <c r="A927" s="2"/>
      <c r="B927" s="1"/>
      <c r="C927" s="3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" x14ac:dyDescent="0.2">
      <c r="A928" s="2"/>
      <c r="B928" s="1"/>
      <c r="C928" s="3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" x14ac:dyDescent="0.2">
      <c r="A929" s="2"/>
      <c r="B929" s="1"/>
      <c r="C929" s="3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" x14ac:dyDescent="0.2">
      <c r="A930" s="2"/>
      <c r="B930" s="1"/>
      <c r="C930" s="3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" x14ac:dyDescent="0.2">
      <c r="A931" s="2"/>
      <c r="B931" s="1"/>
      <c r="C931" s="3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" x14ac:dyDescent="0.2">
      <c r="A932" s="2"/>
      <c r="B932" s="1"/>
      <c r="C932" s="3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" x14ac:dyDescent="0.2">
      <c r="A933" s="2"/>
      <c r="B933" s="1"/>
      <c r="C933" s="3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" x14ac:dyDescent="0.2">
      <c r="A934" s="2"/>
      <c r="B934" s="1"/>
      <c r="C934" s="3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" x14ac:dyDescent="0.2">
      <c r="A935" s="2"/>
      <c r="B935" s="1"/>
      <c r="C935" s="3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" x14ac:dyDescent="0.2">
      <c r="A936" s="2"/>
      <c r="B936" s="1"/>
      <c r="C936" s="3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" x14ac:dyDescent="0.2">
      <c r="A937" s="2"/>
      <c r="B937" s="1"/>
      <c r="C937" s="3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" x14ac:dyDescent="0.2">
      <c r="A938" s="2"/>
      <c r="B938" s="1"/>
      <c r="C938" s="3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" x14ac:dyDescent="0.2">
      <c r="A939" s="2"/>
      <c r="B939" s="1"/>
      <c r="C939" s="3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" x14ac:dyDescent="0.2">
      <c r="A940" s="2"/>
      <c r="B940" s="1"/>
      <c r="C940" s="3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" x14ac:dyDescent="0.2">
      <c r="A941" s="2"/>
      <c r="B941" s="1"/>
      <c r="C941" s="3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" x14ac:dyDescent="0.2">
      <c r="A942" s="2"/>
      <c r="B942" s="1"/>
      <c r="C942" s="3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" x14ac:dyDescent="0.2">
      <c r="A943" s="2"/>
      <c r="B943" s="1"/>
      <c r="C943" s="3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" x14ac:dyDescent="0.2">
      <c r="A944" s="2"/>
      <c r="B944" s="1"/>
      <c r="C944" s="3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" x14ac:dyDescent="0.2">
      <c r="A945" s="2"/>
      <c r="B945" s="1"/>
      <c r="C945" s="3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" x14ac:dyDescent="0.2">
      <c r="A946" s="2"/>
      <c r="B946" s="1"/>
      <c r="C946" s="3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" x14ac:dyDescent="0.2">
      <c r="A947" s="2"/>
      <c r="B947" s="1"/>
      <c r="C947" s="3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" x14ac:dyDescent="0.2">
      <c r="A948" s="2"/>
      <c r="B948" s="1"/>
      <c r="C948" s="3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" x14ac:dyDescent="0.2">
      <c r="A949" s="2"/>
      <c r="B949" s="1"/>
      <c r="C949" s="3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" x14ac:dyDescent="0.2">
      <c r="A950" s="2"/>
      <c r="B950" s="1"/>
      <c r="C950" s="3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" x14ac:dyDescent="0.2">
      <c r="A951" s="2"/>
      <c r="B951" s="1"/>
      <c r="C951" s="3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" x14ac:dyDescent="0.2">
      <c r="A952" s="2"/>
      <c r="B952" s="1"/>
      <c r="C952" s="3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" x14ac:dyDescent="0.2">
      <c r="A953" s="2"/>
      <c r="B953" s="1"/>
      <c r="C953" s="3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" x14ac:dyDescent="0.2">
      <c r="A954" s="2"/>
      <c r="B954" s="1"/>
      <c r="C954" s="3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" x14ac:dyDescent="0.2">
      <c r="A955" s="2"/>
      <c r="B955" s="1"/>
      <c r="C955" s="3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" x14ac:dyDescent="0.2">
      <c r="A956" s="2"/>
      <c r="B956" s="1"/>
      <c r="C956" s="3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" x14ac:dyDescent="0.2">
      <c r="A957" s="2"/>
      <c r="B957" s="1"/>
      <c r="C957" s="3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" x14ac:dyDescent="0.2">
      <c r="A958" s="2"/>
      <c r="B958" s="1"/>
      <c r="C958" s="3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" x14ac:dyDescent="0.2">
      <c r="A959" s="2"/>
      <c r="B959" s="1"/>
      <c r="C959" s="3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" x14ac:dyDescent="0.2">
      <c r="A960" s="2"/>
      <c r="B960" s="1"/>
      <c r="C960" s="3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" x14ac:dyDescent="0.2">
      <c r="A961" s="2"/>
      <c r="B961" s="1"/>
      <c r="C961" s="3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" x14ac:dyDescent="0.2">
      <c r="A962" s="2"/>
      <c r="B962" s="1"/>
      <c r="C962" s="3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" x14ac:dyDescent="0.2">
      <c r="A963" s="2"/>
      <c r="B963" s="1"/>
      <c r="C963" s="3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" x14ac:dyDescent="0.2">
      <c r="A964" s="2"/>
      <c r="B964" s="1"/>
      <c r="C964" s="3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" x14ac:dyDescent="0.2">
      <c r="A965" s="2"/>
      <c r="B965" s="1"/>
      <c r="C965" s="3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" x14ac:dyDescent="0.2">
      <c r="A966" s="2"/>
      <c r="B966" s="1"/>
      <c r="C966" s="3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" x14ac:dyDescent="0.2">
      <c r="A967" s="2"/>
      <c r="B967" s="1"/>
      <c r="C967" s="3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" x14ac:dyDescent="0.2">
      <c r="A968" s="2"/>
      <c r="B968" s="1"/>
      <c r="C968" s="3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" x14ac:dyDescent="0.2">
      <c r="A969" s="2"/>
      <c r="B969" s="1"/>
      <c r="C969" s="3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" x14ac:dyDescent="0.2">
      <c r="A970" s="2"/>
      <c r="B970" s="1"/>
      <c r="C970" s="3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" x14ac:dyDescent="0.2">
      <c r="A971" s="2"/>
      <c r="B971" s="1"/>
      <c r="C971" s="3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" x14ac:dyDescent="0.2">
      <c r="A972" s="2"/>
      <c r="B972" s="1"/>
      <c r="C972" s="3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" x14ac:dyDescent="0.2">
      <c r="A973" s="2"/>
      <c r="B973" s="1"/>
      <c r="C973" s="3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" x14ac:dyDescent="0.2">
      <c r="A974" s="2"/>
      <c r="B974" s="1"/>
      <c r="C974" s="3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" x14ac:dyDescent="0.2">
      <c r="A975" s="2"/>
      <c r="B975" s="1"/>
      <c r="C975" s="3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" x14ac:dyDescent="0.2">
      <c r="A976" s="2"/>
      <c r="B976" s="1"/>
      <c r="C976" s="3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" x14ac:dyDescent="0.2">
      <c r="A977" s="2"/>
      <c r="B977" s="1"/>
      <c r="C977" s="3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" x14ac:dyDescent="0.2">
      <c r="A978" s="2"/>
      <c r="B978" s="1"/>
      <c r="C978" s="3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" x14ac:dyDescent="0.2">
      <c r="A979" s="2"/>
      <c r="B979" s="1"/>
      <c r="C979" s="3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" x14ac:dyDescent="0.2">
      <c r="A980" s="2"/>
      <c r="B980" s="1"/>
      <c r="C980" s="3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" x14ac:dyDescent="0.2">
      <c r="A981" s="2"/>
      <c r="B981" s="1"/>
      <c r="C981" s="3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" x14ac:dyDescent="0.2">
      <c r="A982" s="2"/>
      <c r="B982" s="1"/>
      <c r="C982" s="3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" x14ac:dyDescent="0.2">
      <c r="A983" s="2"/>
      <c r="B983" s="1"/>
      <c r="C983" s="3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" x14ac:dyDescent="0.2">
      <c r="A984" s="2"/>
      <c r="B984" s="1"/>
      <c r="C984" s="3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" x14ac:dyDescent="0.2">
      <c r="A985" s="2"/>
      <c r="B985" s="1"/>
      <c r="C985" s="3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" x14ac:dyDescent="0.2">
      <c r="A986" s="2"/>
      <c r="B986" s="1"/>
      <c r="C986" s="3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" x14ac:dyDescent="0.2">
      <c r="A987" s="2"/>
      <c r="B987" s="1"/>
      <c r="C987" s="3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" x14ac:dyDescent="0.2">
      <c r="A988" s="2"/>
      <c r="B988" s="1"/>
      <c r="C988" s="3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" x14ac:dyDescent="0.2">
      <c r="A989" s="2"/>
      <c r="B989" s="1"/>
      <c r="C989" s="3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" x14ac:dyDescent="0.2">
      <c r="A990" s="2"/>
      <c r="B990" s="1"/>
      <c r="C990" s="3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" x14ac:dyDescent="0.2">
      <c r="A991" s="2"/>
      <c r="B991" s="1"/>
      <c r="C991" s="3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" x14ac:dyDescent="0.2">
      <c r="A992" s="2"/>
      <c r="B992" s="1"/>
      <c r="C992" s="3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" x14ac:dyDescent="0.2">
      <c r="A993" s="2"/>
      <c r="B993" s="1"/>
      <c r="C993" s="3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" x14ac:dyDescent="0.2">
      <c r="A994" s="2"/>
      <c r="B994" s="1"/>
      <c r="C994" s="3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" x14ac:dyDescent="0.2">
      <c r="A995" s="2"/>
      <c r="B995" s="1"/>
      <c r="C995" s="3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" x14ac:dyDescent="0.2">
      <c r="A996" s="2"/>
      <c r="B996" s="1"/>
      <c r="C996" s="3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" x14ac:dyDescent="0.2">
      <c r="A997" s="2"/>
      <c r="B997" s="1"/>
      <c r="C997" s="3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" x14ac:dyDescent="0.2">
      <c r="A998" s="2"/>
      <c r="B998" s="1"/>
      <c r="C998" s="3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" x14ac:dyDescent="0.2">
      <c r="A999" s="2"/>
      <c r="B999" s="1"/>
      <c r="C999" s="3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" x14ac:dyDescent="0.2">
      <c r="A1000" s="2"/>
      <c r="B1000" s="1"/>
      <c r="C1000" s="3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A1:D1"/>
    <mergeCell ref="A2:D2"/>
    <mergeCell ref="A21:B2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69"/>
  <sheetViews>
    <sheetView topLeftCell="B1" workbookViewId="0">
      <pane ySplit="1" topLeftCell="A2" activePane="bottomLeft" state="frozen"/>
      <selection pane="bottomLeft" activeCell="B20" sqref="B20"/>
    </sheetView>
  </sheetViews>
  <sheetFormatPr baseColWidth="10" defaultColWidth="12.6640625" defaultRowHeight="15.75" customHeight="1" x14ac:dyDescent="0.15"/>
  <cols>
    <col min="1" max="1" width="12.1640625" customWidth="1"/>
    <col min="2" max="2" width="16.5" customWidth="1"/>
    <col min="3" max="3" width="9.6640625" customWidth="1"/>
    <col min="4" max="4" width="10.6640625" customWidth="1"/>
    <col min="5" max="5" width="55" customWidth="1"/>
    <col min="6" max="6" width="103.1640625" customWidth="1"/>
    <col min="7" max="7" width="25.1640625" customWidth="1"/>
    <col min="8" max="8" width="53.1640625" customWidth="1"/>
    <col min="9" max="9" width="37.33203125" customWidth="1"/>
    <col min="10" max="10" width="27.1640625" customWidth="1"/>
    <col min="11" max="11" width="24" customWidth="1"/>
    <col min="12" max="12" width="20.83203125" customWidth="1"/>
    <col min="13" max="13" width="28.5" customWidth="1"/>
    <col min="14" max="14" width="40.1640625" customWidth="1"/>
    <col min="15" max="15" width="15.83203125" customWidth="1"/>
    <col min="16" max="16" width="8.6640625" customWidth="1"/>
    <col min="17" max="17" width="32.5" customWidth="1"/>
    <col min="18" max="18" width="17.33203125" customWidth="1"/>
    <col min="19" max="19" width="31.6640625" customWidth="1"/>
    <col min="20" max="20" width="8.6640625" customWidth="1"/>
    <col min="21" max="21" width="39.1640625" customWidth="1"/>
    <col min="22" max="28" width="8.6640625" customWidth="1"/>
  </cols>
  <sheetData>
    <row r="1" spans="1:28" ht="26.25" customHeight="1" x14ac:dyDescent="0.15">
      <c r="A1" s="14" t="s">
        <v>36</v>
      </c>
      <c r="B1" s="14" t="s">
        <v>37</v>
      </c>
      <c r="C1" s="14" t="s">
        <v>38</v>
      </c>
      <c r="D1" s="249" t="s">
        <v>5720</v>
      </c>
      <c r="E1" s="15" t="s">
        <v>39</v>
      </c>
      <c r="F1" s="15" t="s">
        <v>40</v>
      </c>
      <c r="G1" s="15" t="s">
        <v>41</v>
      </c>
      <c r="H1" s="15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6" t="s">
        <v>49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ht="15.75" customHeight="1" x14ac:dyDescent="0.2">
      <c r="A2" s="18">
        <v>20</v>
      </c>
      <c r="B2" s="18" t="s">
        <v>50</v>
      </c>
      <c r="C2" s="18" t="s">
        <v>51</v>
      </c>
      <c r="D2" s="18" t="str">
        <f t="shared" ref="D2:D112" si="0">A2&amp;B2&amp;C2</f>
        <v>2001001</v>
      </c>
      <c r="E2" s="19" t="s">
        <v>52</v>
      </c>
      <c r="F2" s="19" t="s">
        <v>53</v>
      </c>
      <c r="G2" s="19" t="s">
        <v>54</v>
      </c>
      <c r="H2" s="19" t="s">
        <v>55</v>
      </c>
      <c r="I2" s="20" t="s">
        <v>56</v>
      </c>
      <c r="J2" s="19"/>
      <c r="K2" s="21" t="s">
        <v>57</v>
      </c>
      <c r="L2" s="18">
        <v>81216501220</v>
      </c>
      <c r="M2" s="22" t="s">
        <v>58</v>
      </c>
      <c r="N2" s="19" t="s">
        <v>59</v>
      </c>
      <c r="O2" s="18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 x14ac:dyDescent="0.2">
      <c r="A3" s="18">
        <v>20</v>
      </c>
      <c r="B3" s="18" t="s">
        <v>50</v>
      </c>
      <c r="C3" s="18" t="s">
        <v>60</v>
      </c>
      <c r="D3" s="18" t="str">
        <f t="shared" si="0"/>
        <v>2001002</v>
      </c>
      <c r="E3" s="19" t="s">
        <v>61</v>
      </c>
      <c r="F3" s="19" t="s">
        <v>62</v>
      </c>
      <c r="G3" s="19" t="s">
        <v>63</v>
      </c>
      <c r="H3" s="19" t="s">
        <v>64</v>
      </c>
      <c r="I3" s="20" t="s">
        <v>65</v>
      </c>
      <c r="J3" s="19"/>
      <c r="K3" s="24" t="s">
        <v>66</v>
      </c>
      <c r="L3" s="18"/>
      <c r="M3" s="25"/>
      <c r="N3" s="20" t="s">
        <v>67</v>
      </c>
      <c r="O3" s="21">
        <v>18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ht="15.75" customHeight="1" x14ac:dyDescent="0.2">
      <c r="A4" s="18">
        <v>20</v>
      </c>
      <c r="B4" s="18" t="s">
        <v>50</v>
      </c>
      <c r="C4" s="18" t="s">
        <v>68</v>
      </c>
      <c r="D4" s="18" t="str">
        <f t="shared" si="0"/>
        <v>2001003</v>
      </c>
      <c r="E4" s="19" t="s">
        <v>69</v>
      </c>
      <c r="F4" s="19" t="s">
        <v>70</v>
      </c>
      <c r="G4" s="19" t="s">
        <v>63</v>
      </c>
      <c r="H4" s="19" t="s">
        <v>71</v>
      </c>
      <c r="I4" s="19" t="s">
        <v>72</v>
      </c>
      <c r="J4" s="19" t="s">
        <v>73</v>
      </c>
      <c r="K4" s="18">
        <v>81357563030</v>
      </c>
      <c r="L4" s="18">
        <v>81392213454</v>
      </c>
      <c r="M4" s="22" t="s">
        <v>74</v>
      </c>
      <c r="N4" s="19" t="s">
        <v>75</v>
      </c>
      <c r="O4" s="18">
        <v>5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t="15.75" customHeight="1" x14ac:dyDescent="0.2">
      <c r="A5" s="18">
        <v>20</v>
      </c>
      <c r="B5" s="18" t="s">
        <v>50</v>
      </c>
      <c r="C5" s="18" t="s">
        <v>76</v>
      </c>
      <c r="D5" s="18" t="str">
        <f t="shared" si="0"/>
        <v>2001004</v>
      </c>
      <c r="E5" s="19" t="s">
        <v>77</v>
      </c>
      <c r="F5" s="19" t="s">
        <v>78</v>
      </c>
      <c r="G5" s="19" t="s">
        <v>54</v>
      </c>
      <c r="H5" s="19" t="s">
        <v>79</v>
      </c>
      <c r="I5" s="19" t="s">
        <v>80</v>
      </c>
      <c r="J5" s="19"/>
      <c r="K5" s="18" t="s">
        <v>81</v>
      </c>
      <c r="L5" s="18">
        <v>85785575638</v>
      </c>
      <c r="M5" s="22" t="s">
        <v>82</v>
      </c>
      <c r="N5" s="19" t="s">
        <v>83</v>
      </c>
      <c r="O5" s="18">
        <v>15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ht="15.75" customHeight="1" x14ac:dyDescent="0.2">
      <c r="A6" s="18">
        <v>20</v>
      </c>
      <c r="B6" s="18" t="s">
        <v>50</v>
      </c>
      <c r="C6" s="18" t="s">
        <v>84</v>
      </c>
      <c r="D6" s="18" t="str">
        <f t="shared" si="0"/>
        <v>2001005</v>
      </c>
      <c r="E6" s="19" t="s">
        <v>85</v>
      </c>
      <c r="F6" s="19" t="s">
        <v>86</v>
      </c>
      <c r="G6" s="19" t="s">
        <v>63</v>
      </c>
      <c r="H6" s="19" t="s">
        <v>87</v>
      </c>
      <c r="I6" s="19" t="s">
        <v>88</v>
      </c>
      <c r="J6" s="19" t="s">
        <v>89</v>
      </c>
      <c r="K6" s="18">
        <v>85755633710</v>
      </c>
      <c r="L6" s="18">
        <v>85785765702</v>
      </c>
      <c r="M6" s="22" t="s">
        <v>90</v>
      </c>
      <c r="N6" s="19" t="s">
        <v>91</v>
      </c>
      <c r="O6" s="1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t="15.75" customHeight="1" x14ac:dyDescent="0.2">
      <c r="A7" s="18">
        <v>20</v>
      </c>
      <c r="B7" s="18" t="s">
        <v>50</v>
      </c>
      <c r="C7" s="18" t="s">
        <v>92</v>
      </c>
      <c r="D7" s="18" t="str">
        <f t="shared" si="0"/>
        <v>2001006</v>
      </c>
      <c r="E7" s="19" t="s">
        <v>93</v>
      </c>
      <c r="F7" s="19" t="s">
        <v>94</v>
      </c>
      <c r="G7" s="19" t="s">
        <v>54</v>
      </c>
      <c r="H7" s="19" t="s">
        <v>95</v>
      </c>
      <c r="I7" s="19" t="s">
        <v>96</v>
      </c>
      <c r="J7" s="19" t="s">
        <v>97</v>
      </c>
      <c r="K7" s="18">
        <v>85732690996</v>
      </c>
      <c r="L7" s="18">
        <v>85731567074</v>
      </c>
      <c r="M7" s="22" t="s">
        <v>98</v>
      </c>
      <c r="N7" s="19" t="s">
        <v>99</v>
      </c>
      <c r="O7" s="1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t="15.75" customHeight="1" x14ac:dyDescent="0.2">
      <c r="A8" s="18">
        <v>20</v>
      </c>
      <c r="B8" s="18" t="s">
        <v>50</v>
      </c>
      <c r="C8" s="18" t="s">
        <v>100</v>
      </c>
      <c r="D8" s="18" t="str">
        <f t="shared" si="0"/>
        <v>2001007</v>
      </c>
      <c r="E8" s="19" t="s">
        <v>101</v>
      </c>
      <c r="F8" s="19" t="s">
        <v>102</v>
      </c>
      <c r="G8" s="19" t="s">
        <v>54</v>
      </c>
      <c r="H8" s="19" t="s">
        <v>103</v>
      </c>
      <c r="I8" s="19" t="s">
        <v>104</v>
      </c>
      <c r="J8" s="19" t="s">
        <v>105</v>
      </c>
      <c r="K8" s="18">
        <v>85745674715</v>
      </c>
      <c r="L8" s="18">
        <v>85815628978</v>
      </c>
      <c r="M8" s="22" t="s">
        <v>106</v>
      </c>
      <c r="N8" s="19" t="s">
        <v>107</v>
      </c>
      <c r="O8" s="1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t="15.75" customHeight="1" x14ac:dyDescent="0.2">
      <c r="A9" s="18">
        <v>20</v>
      </c>
      <c r="B9" s="18" t="s">
        <v>50</v>
      </c>
      <c r="C9" s="18" t="s">
        <v>108</v>
      </c>
      <c r="D9" s="18" t="str">
        <f t="shared" si="0"/>
        <v>2001008</v>
      </c>
      <c r="E9" s="19" t="s">
        <v>109</v>
      </c>
      <c r="F9" s="19" t="s">
        <v>110</v>
      </c>
      <c r="G9" s="19" t="s">
        <v>63</v>
      </c>
      <c r="H9" s="19" t="s">
        <v>111</v>
      </c>
      <c r="I9" s="19" t="s">
        <v>112</v>
      </c>
      <c r="J9" s="19" t="s">
        <v>113</v>
      </c>
      <c r="K9" s="18">
        <v>82334827898</v>
      </c>
      <c r="L9" s="18">
        <v>85706798818</v>
      </c>
      <c r="M9" s="22" t="s">
        <v>114</v>
      </c>
      <c r="N9" s="19" t="s">
        <v>115</v>
      </c>
      <c r="O9" s="18">
        <v>20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t="15.75" customHeight="1" x14ac:dyDescent="0.2">
      <c r="A10" s="18">
        <v>20</v>
      </c>
      <c r="B10" s="18" t="s">
        <v>50</v>
      </c>
      <c r="C10" s="18" t="s">
        <v>116</v>
      </c>
      <c r="D10" s="18" t="str">
        <f t="shared" si="0"/>
        <v>2001009</v>
      </c>
      <c r="E10" s="19" t="s">
        <v>117</v>
      </c>
      <c r="F10" s="19" t="s">
        <v>118</v>
      </c>
      <c r="G10" s="19" t="s">
        <v>63</v>
      </c>
      <c r="H10" s="19" t="s">
        <v>119</v>
      </c>
      <c r="I10" s="19" t="s">
        <v>120</v>
      </c>
      <c r="J10" s="19" t="s">
        <v>121</v>
      </c>
      <c r="K10" s="18">
        <v>85646609457</v>
      </c>
      <c r="L10" s="18">
        <v>85235689132</v>
      </c>
      <c r="M10" s="22" t="s">
        <v>122</v>
      </c>
      <c r="N10" s="19" t="s">
        <v>123</v>
      </c>
      <c r="O10" s="1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ht="15.75" customHeight="1" x14ac:dyDescent="0.2">
      <c r="A11" s="18">
        <v>21</v>
      </c>
      <c r="B11" s="18" t="s">
        <v>50</v>
      </c>
      <c r="C11" s="18" t="s">
        <v>124</v>
      </c>
      <c r="D11" s="18" t="str">
        <f t="shared" si="0"/>
        <v>2101010</v>
      </c>
      <c r="E11" s="19" t="s">
        <v>125</v>
      </c>
      <c r="F11" s="19" t="s">
        <v>126</v>
      </c>
      <c r="G11" s="19" t="s">
        <v>63</v>
      </c>
      <c r="H11" s="19" t="s">
        <v>127</v>
      </c>
      <c r="I11" s="26" t="s">
        <v>128</v>
      </c>
      <c r="J11" s="19"/>
      <c r="K11" s="27" t="s">
        <v>129</v>
      </c>
      <c r="L11" s="18"/>
      <c r="M11" s="22" t="s">
        <v>130</v>
      </c>
      <c r="N11" s="26" t="s">
        <v>131</v>
      </c>
      <c r="O11" s="27">
        <v>2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ht="15.75" customHeight="1" x14ac:dyDescent="0.2">
      <c r="A12" s="18">
        <v>21</v>
      </c>
      <c r="B12" s="18" t="s">
        <v>50</v>
      </c>
      <c r="C12" s="18" t="s">
        <v>132</v>
      </c>
      <c r="D12" s="18" t="str">
        <f t="shared" si="0"/>
        <v>2101011</v>
      </c>
      <c r="E12" s="19" t="s">
        <v>133</v>
      </c>
      <c r="F12" s="19" t="s">
        <v>134</v>
      </c>
      <c r="G12" s="19" t="s">
        <v>54</v>
      </c>
      <c r="H12" s="20" t="s">
        <v>135</v>
      </c>
      <c r="I12" s="20" t="s">
        <v>136</v>
      </c>
      <c r="J12" s="28" t="s">
        <v>137</v>
      </c>
      <c r="K12" s="24" t="s">
        <v>138</v>
      </c>
      <c r="L12" s="24" t="s">
        <v>139</v>
      </c>
      <c r="M12" s="25"/>
      <c r="N12" s="25"/>
      <c r="O12" s="21">
        <v>11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ht="15.75" customHeight="1" x14ac:dyDescent="0.2">
      <c r="A13" s="18">
        <v>21</v>
      </c>
      <c r="B13" s="18" t="s">
        <v>50</v>
      </c>
      <c r="C13" s="18" t="s">
        <v>140</v>
      </c>
      <c r="D13" s="18" t="str">
        <f t="shared" si="0"/>
        <v>2101012</v>
      </c>
      <c r="E13" s="19" t="s">
        <v>141</v>
      </c>
      <c r="F13" s="19" t="s">
        <v>142</v>
      </c>
      <c r="G13" s="19" t="s">
        <v>63</v>
      </c>
      <c r="H13" s="19" t="s">
        <v>143</v>
      </c>
      <c r="I13" s="19" t="s">
        <v>144</v>
      </c>
      <c r="J13" s="19" t="s">
        <v>145</v>
      </c>
      <c r="K13" s="18">
        <v>85608968908</v>
      </c>
      <c r="L13" s="18">
        <v>85854700842</v>
      </c>
      <c r="M13" s="22" t="s">
        <v>146</v>
      </c>
      <c r="N13" s="19" t="s">
        <v>147</v>
      </c>
      <c r="O13" s="1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ht="15.75" customHeight="1" x14ac:dyDescent="0.2">
      <c r="A14" s="18">
        <v>21</v>
      </c>
      <c r="B14" s="18" t="s">
        <v>50</v>
      </c>
      <c r="C14" s="18" t="s">
        <v>148</v>
      </c>
      <c r="D14" s="18" t="str">
        <f t="shared" si="0"/>
        <v>2101013</v>
      </c>
      <c r="E14" s="19" t="s">
        <v>149</v>
      </c>
      <c r="F14" s="19" t="s">
        <v>150</v>
      </c>
      <c r="G14" s="19" t="s">
        <v>151</v>
      </c>
      <c r="H14" s="19" t="s">
        <v>152</v>
      </c>
      <c r="I14" s="19" t="s">
        <v>153</v>
      </c>
      <c r="J14" s="19" t="s">
        <v>154</v>
      </c>
      <c r="K14" s="18">
        <v>85335905289</v>
      </c>
      <c r="L14" s="18"/>
      <c r="M14" s="25"/>
      <c r="N14" s="19" t="s">
        <v>155</v>
      </c>
      <c r="O14" s="1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ht="15.75" customHeight="1" x14ac:dyDescent="0.2">
      <c r="A15" s="18">
        <v>21</v>
      </c>
      <c r="B15" s="18" t="s">
        <v>50</v>
      </c>
      <c r="C15" s="18" t="s">
        <v>156</v>
      </c>
      <c r="D15" s="18" t="str">
        <f t="shared" si="0"/>
        <v>2101014</v>
      </c>
      <c r="E15" s="19" t="s">
        <v>157</v>
      </c>
      <c r="F15" s="19" t="s">
        <v>158</v>
      </c>
      <c r="G15" s="19" t="s">
        <v>63</v>
      </c>
      <c r="H15" s="19" t="s">
        <v>159</v>
      </c>
      <c r="I15" s="19" t="s">
        <v>160</v>
      </c>
      <c r="J15" s="19" t="s">
        <v>161</v>
      </c>
      <c r="K15" s="18">
        <v>82132538766</v>
      </c>
      <c r="L15" s="18">
        <v>81230302074</v>
      </c>
      <c r="M15" s="22" t="s">
        <v>162</v>
      </c>
      <c r="N15" s="19" t="s">
        <v>163</v>
      </c>
      <c r="O15" s="1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ht="24.75" customHeight="1" x14ac:dyDescent="0.2">
      <c r="A16" s="29">
        <v>21</v>
      </c>
      <c r="B16" s="29" t="s">
        <v>50</v>
      </c>
      <c r="C16" s="18" t="s">
        <v>164</v>
      </c>
      <c r="D16" s="29" t="str">
        <f t="shared" si="0"/>
        <v>2101015</v>
      </c>
      <c r="E16" s="30" t="s">
        <v>165</v>
      </c>
      <c r="F16" s="30" t="s">
        <v>166</v>
      </c>
      <c r="G16" s="30" t="s">
        <v>167</v>
      </c>
      <c r="H16" s="30" t="s">
        <v>168</v>
      </c>
      <c r="I16" s="30" t="s">
        <v>169</v>
      </c>
      <c r="J16" s="30" t="s">
        <v>170</v>
      </c>
      <c r="K16" s="29">
        <v>88234235455</v>
      </c>
      <c r="L16" s="29">
        <v>83834711796</v>
      </c>
      <c r="M16" s="31" t="s">
        <v>171</v>
      </c>
      <c r="N16" s="30" t="s">
        <v>172</v>
      </c>
      <c r="O16" s="29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5.75" customHeight="1" x14ac:dyDescent="0.2">
      <c r="A17" s="18">
        <v>21</v>
      </c>
      <c r="B17" s="18" t="s">
        <v>50</v>
      </c>
      <c r="C17" s="18" t="s">
        <v>173</v>
      </c>
      <c r="D17" s="18" t="str">
        <f t="shared" si="0"/>
        <v>2101016</v>
      </c>
      <c r="E17" s="19" t="s">
        <v>174</v>
      </c>
      <c r="F17" s="19" t="s">
        <v>175</v>
      </c>
      <c r="G17" s="19" t="s">
        <v>167</v>
      </c>
      <c r="H17" s="19" t="s">
        <v>176</v>
      </c>
      <c r="I17" s="19" t="s">
        <v>177</v>
      </c>
      <c r="J17" s="19" t="s">
        <v>178</v>
      </c>
      <c r="K17" s="18">
        <v>88226073343</v>
      </c>
      <c r="L17" s="18"/>
      <c r="M17" s="25"/>
      <c r="N17" s="19" t="s">
        <v>179</v>
      </c>
      <c r="O17" s="1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ht="15.75" customHeight="1" x14ac:dyDescent="0.2">
      <c r="A18" s="18">
        <v>21</v>
      </c>
      <c r="B18" s="18" t="s">
        <v>50</v>
      </c>
      <c r="C18" s="18" t="s">
        <v>180</v>
      </c>
      <c r="D18" s="18" t="str">
        <f t="shared" si="0"/>
        <v>2101017</v>
      </c>
      <c r="E18" s="19" t="s">
        <v>181</v>
      </c>
      <c r="F18" s="19" t="s">
        <v>182</v>
      </c>
      <c r="G18" s="19" t="s">
        <v>63</v>
      </c>
      <c r="H18" s="19" t="s">
        <v>183</v>
      </c>
      <c r="I18" s="19" t="s">
        <v>184</v>
      </c>
      <c r="J18" s="19" t="s">
        <v>185</v>
      </c>
      <c r="K18" s="18">
        <v>85607873222</v>
      </c>
      <c r="L18" s="18">
        <v>82139027610</v>
      </c>
      <c r="M18" s="22" t="s">
        <v>186</v>
      </c>
      <c r="N18" s="19" t="s">
        <v>187</v>
      </c>
      <c r="O18" s="1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t="15.75" customHeight="1" x14ac:dyDescent="0.2">
      <c r="A19" s="18">
        <v>21</v>
      </c>
      <c r="B19" s="18" t="s">
        <v>50</v>
      </c>
      <c r="C19" s="18" t="s">
        <v>188</v>
      </c>
      <c r="D19" s="18" t="str">
        <f t="shared" si="0"/>
        <v>2101018</v>
      </c>
      <c r="E19" s="19" t="s">
        <v>189</v>
      </c>
      <c r="F19" s="19" t="s">
        <v>190</v>
      </c>
      <c r="G19" s="19" t="s">
        <v>167</v>
      </c>
      <c r="H19" s="19" t="s">
        <v>191</v>
      </c>
      <c r="I19" s="19" t="s">
        <v>192</v>
      </c>
      <c r="J19" s="19" t="s">
        <v>193</v>
      </c>
      <c r="K19" s="18">
        <v>85607303176</v>
      </c>
      <c r="L19" s="18">
        <v>85745466394</v>
      </c>
      <c r="M19" s="19" t="s">
        <v>194</v>
      </c>
      <c r="N19" s="19" t="s">
        <v>195</v>
      </c>
      <c r="O19" s="1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ht="15.75" customHeight="1" x14ac:dyDescent="0.2">
      <c r="A20" s="18">
        <v>21</v>
      </c>
      <c r="B20" s="18" t="s">
        <v>50</v>
      </c>
      <c r="C20" s="18" t="s">
        <v>196</v>
      </c>
      <c r="D20" s="18" t="str">
        <f t="shared" si="0"/>
        <v>2101019</v>
      </c>
      <c r="E20" s="19" t="s">
        <v>197</v>
      </c>
      <c r="F20" s="19" t="s">
        <v>198</v>
      </c>
      <c r="G20" s="19" t="s">
        <v>167</v>
      </c>
      <c r="H20" s="19" t="s">
        <v>199</v>
      </c>
      <c r="I20" s="19" t="s">
        <v>200</v>
      </c>
      <c r="J20" s="19" t="s">
        <v>201</v>
      </c>
      <c r="K20" s="18">
        <v>82331280636</v>
      </c>
      <c r="L20" s="18">
        <v>82337027557</v>
      </c>
      <c r="M20" s="22" t="s">
        <v>202</v>
      </c>
      <c r="N20" s="19" t="s">
        <v>203</v>
      </c>
      <c r="O20" s="1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spans="1:28" ht="15.75" customHeight="1" x14ac:dyDescent="0.2">
      <c r="A21" s="18">
        <v>21</v>
      </c>
      <c r="B21" s="18" t="s">
        <v>50</v>
      </c>
      <c r="C21" s="18" t="s">
        <v>204</v>
      </c>
      <c r="D21" s="18" t="str">
        <f t="shared" si="0"/>
        <v>2101020</v>
      </c>
      <c r="E21" s="19" t="s">
        <v>205</v>
      </c>
      <c r="F21" s="19" t="s">
        <v>206</v>
      </c>
      <c r="G21" s="19" t="s">
        <v>167</v>
      </c>
      <c r="H21" s="19" t="s">
        <v>207</v>
      </c>
      <c r="I21" s="19" t="s">
        <v>208</v>
      </c>
      <c r="J21" s="19" t="s">
        <v>209</v>
      </c>
      <c r="K21" s="18">
        <v>85736381815</v>
      </c>
      <c r="L21" s="18">
        <v>895396615376</v>
      </c>
      <c r="M21" s="22" t="s">
        <v>210</v>
      </c>
      <c r="N21" s="19" t="s">
        <v>211</v>
      </c>
      <c r="O21" s="18">
        <v>33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 spans="1:28" ht="15.75" customHeight="1" x14ac:dyDescent="0.2">
      <c r="A22" s="18">
        <v>22</v>
      </c>
      <c r="B22" s="18" t="s">
        <v>50</v>
      </c>
      <c r="C22" s="18" t="s">
        <v>212</v>
      </c>
      <c r="D22" s="18" t="str">
        <f t="shared" si="0"/>
        <v>2201021</v>
      </c>
      <c r="E22" s="19" t="s">
        <v>213</v>
      </c>
      <c r="F22" s="19" t="s">
        <v>214</v>
      </c>
      <c r="G22" s="19" t="s">
        <v>167</v>
      </c>
      <c r="H22" s="19" t="s">
        <v>215</v>
      </c>
      <c r="I22" s="20" t="s">
        <v>216</v>
      </c>
      <c r="J22" s="19"/>
      <c r="K22" s="24" t="s">
        <v>217</v>
      </c>
      <c r="L22" s="18"/>
      <c r="M22" s="19" t="s">
        <v>218</v>
      </c>
      <c r="N22" s="19"/>
      <c r="O22" s="18">
        <v>10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 spans="1:28" ht="15.75" customHeight="1" x14ac:dyDescent="0.2">
      <c r="A23" s="18">
        <v>22</v>
      </c>
      <c r="B23" s="18" t="s">
        <v>50</v>
      </c>
      <c r="C23" s="18" t="s">
        <v>219</v>
      </c>
      <c r="D23" s="18" t="str">
        <f t="shared" si="0"/>
        <v>2201022</v>
      </c>
      <c r="E23" s="19" t="s">
        <v>220</v>
      </c>
      <c r="F23" s="19" t="s">
        <v>221</v>
      </c>
      <c r="G23" s="19" t="s">
        <v>167</v>
      </c>
      <c r="H23" s="19" t="s">
        <v>222</v>
      </c>
      <c r="I23" s="19" t="s">
        <v>223</v>
      </c>
      <c r="J23" s="19"/>
      <c r="K23" s="18">
        <v>8883882559</v>
      </c>
      <c r="L23" s="18">
        <v>82140501160</v>
      </c>
      <c r="M23" s="22" t="s">
        <v>224</v>
      </c>
      <c r="N23" s="19" t="s">
        <v>225</v>
      </c>
      <c r="O23" s="18">
        <v>13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 spans="1:28" ht="15.75" customHeight="1" x14ac:dyDescent="0.2">
      <c r="A24" s="18">
        <v>22</v>
      </c>
      <c r="B24" s="18" t="s">
        <v>50</v>
      </c>
      <c r="C24" s="18" t="s">
        <v>226</v>
      </c>
      <c r="D24" s="18" t="str">
        <f t="shared" si="0"/>
        <v>2201023</v>
      </c>
      <c r="E24" s="19" t="s">
        <v>227</v>
      </c>
      <c r="F24" s="19" t="s">
        <v>228</v>
      </c>
      <c r="G24" s="19" t="s">
        <v>229</v>
      </c>
      <c r="H24" s="19" t="s">
        <v>230</v>
      </c>
      <c r="I24" s="20" t="s">
        <v>231</v>
      </c>
      <c r="J24" s="19"/>
      <c r="K24" s="24" t="s">
        <v>232</v>
      </c>
      <c r="L24" s="18"/>
      <c r="M24" s="25"/>
      <c r="N24" s="20" t="s">
        <v>233</v>
      </c>
      <c r="O24" s="21">
        <v>10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r="25" spans="1:28" ht="15.75" customHeight="1" x14ac:dyDescent="0.2">
      <c r="A25" s="18">
        <v>22</v>
      </c>
      <c r="B25" s="18" t="s">
        <v>50</v>
      </c>
      <c r="C25" s="18" t="s">
        <v>234</v>
      </c>
      <c r="D25" s="18" t="str">
        <f t="shared" si="0"/>
        <v>2201024</v>
      </c>
      <c r="E25" s="26" t="s">
        <v>235</v>
      </c>
      <c r="F25" s="26" t="s">
        <v>236</v>
      </c>
      <c r="G25" s="26" t="s">
        <v>54</v>
      </c>
      <c r="H25" s="26" t="s">
        <v>237</v>
      </c>
      <c r="I25" s="26" t="s">
        <v>238</v>
      </c>
      <c r="J25" s="19"/>
      <c r="K25" s="27">
        <v>82142521084</v>
      </c>
      <c r="L25" s="18"/>
      <c r="M25" s="25"/>
      <c r="N25" s="32" t="s">
        <v>239</v>
      </c>
      <c r="O25" s="27">
        <v>5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r="26" spans="1:28" ht="15.75" customHeight="1" x14ac:dyDescent="0.2">
      <c r="A26" s="18">
        <v>22</v>
      </c>
      <c r="B26" s="18" t="s">
        <v>50</v>
      </c>
      <c r="C26" s="18" t="s">
        <v>240</v>
      </c>
      <c r="D26" s="18" t="str">
        <f t="shared" si="0"/>
        <v>2201025</v>
      </c>
      <c r="E26" s="19" t="s">
        <v>241</v>
      </c>
      <c r="F26" s="19" t="s">
        <v>242</v>
      </c>
      <c r="G26" s="19" t="s">
        <v>229</v>
      </c>
      <c r="H26" s="19" t="s">
        <v>243</v>
      </c>
      <c r="I26" s="19" t="s">
        <v>244</v>
      </c>
      <c r="J26" s="19"/>
      <c r="K26" s="18" t="s">
        <v>245</v>
      </c>
      <c r="L26" s="18">
        <v>85894665768</v>
      </c>
      <c r="M26" s="25"/>
      <c r="N26" s="25"/>
      <c r="O26" s="21">
        <v>7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r="27" spans="1:28" ht="15.75" customHeight="1" x14ac:dyDescent="0.2">
      <c r="A27" s="18">
        <v>22</v>
      </c>
      <c r="B27" s="18" t="s">
        <v>50</v>
      </c>
      <c r="C27" s="18" t="s">
        <v>246</v>
      </c>
      <c r="D27" s="18" t="str">
        <f t="shared" si="0"/>
        <v>2201026</v>
      </c>
      <c r="E27" s="19" t="s">
        <v>247</v>
      </c>
      <c r="F27" s="33" t="s">
        <v>248</v>
      </c>
      <c r="G27" s="25" t="s">
        <v>229</v>
      </c>
      <c r="H27" s="19" t="s">
        <v>249</v>
      </c>
      <c r="I27" s="19" t="s">
        <v>250</v>
      </c>
      <c r="J27" s="19"/>
      <c r="K27" s="18">
        <v>85730467029</v>
      </c>
      <c r="L27" s="18"/>
      <c r="M27" s="25"/>
      <c r="N27" s="25"/>
      <c r="O27" s="21">
        <v>3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 spans="1:28" ht="15.75" customHeight="1" x14ac:dyDescent="0.2">
      <c r="A28" s="18">
        <v>22</v>
      </c>
      <c r="B28" s="18" t="s">
        <v>50</v>
      </c>
      <c r="C28" s="18" t="s">
        <v>251</v>
      </c>
      <c r="D28" s="18" t="str">
        <f t="shared" si="0"/>
        <v>2201027</v>
      </c>
      <c r="E28" s="19" t="s">
        <v>252</v>
      </c>
      <c r="F28" s="33" t="s">
        <v>253</v>
      </c>
      <c r="G28" s="25" t="s">
        <v>229</v>
      </c>
      <c r="H28" s="19" t="s">
        <v>254</v>
      </c>
      <c r="I28" s="19" t="s">
        <v>255</v>
      </c>
      <c r="J28" s="19"/>
      <c r="K28" s="18">
        <v>85704156740</v>
      </c>
      <c r="L28" s="18"/>
      <c r="M28" s="25"/>
      <c r="N28" s="25"/>
      <c r="O28" s="21">
        <v>8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r="29" spans="1:28" ht="15.75" customHeight="1" x14ac:dyDescent="0.2">
      <c r="A29" s="18">
        <v>22</v>
      </c>
      <c r="B29" s="18" t="s">
        <v>50</v>
      </c>
      <c r="C29" s="18" t="s">
        <v>256</v>
      </c>
      <c r="D29" s="18" t="str">
        <f t="shared" si="0"/>
        <v>2201028</v>
      </c>
      <c r="E29" s="19" t="s">
        <v>257</v>
      </c>
      <c r="F29" s="33" t="s">
        <v>258</v>
      </c>
      <c r="G29" s="25" t="s">
        <v>229</v>
      </c>
      <c r="H29" s="19" t="s">
        <v>259</v>
      </c>
      <c r="I29" s="19" t="s">
        <v>260</v>
      </c>
      <c r="J29" s="19"/>
      <c r="K29" s="18">
        <v>82264725411</v>
      </c>
      <c r="L29" s="18"/>
      <c r="M29" s="25"/>
      <c r="N29" s="25"/>
      <c r="O29" s="21">
        <v>2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 spans="1:28" ht="15.75" customHeight="1" x14ac:dyDescent="0.2">
      <c r="A30" s="18">
        <v>22</v>
      </c>
      <c r="B30" s="18" t="s">
        <v>50</v>
      </c>
      <c r="C30" s="18" t="s">
        <v>261</v>
      </c>
      <c r="D30" s="18" t="str">
        <f t="shared" si="0"/>
        <v>2201029</v>
      </c>
      <c r="E30" s="19" t="s">
        <v>262</v>
      </c>
      <c r="F30" s="33" t="s">
        <v>263</v>
      </c>
      <c r="G30" s="25" t="s">
        <v>229</v>
      </c>
      <c r="H30" s="19" t="s">
        <v>264</v>
      </c>
      <c r="I30" s="19" t="s">
        <v>265</v>
      </c>
      <c r="J30" s="19"/>
      <c r="K30" s="18">
        <v>89524241199</v>
      </c>
      <c r="L30" s="18">
        <v>85855541823</v>
      </c>
      <c r="M30" s="25"/>
      <c r="N30" s="25"/>
      <c r="O30" s="21">
        <v>8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r="31" spans="1:28" ht="15.75" customHeight="1" x14ac:dyDescent="0.2">
      <c r="A31" s="18">
        <v>22</v>
      </c>
      <c r="B31" s="18" t="s">
        <v>50</v>
      </c>
      <c r="C31" s="18" t="s">
        <v>266</v>
      </c>
      <c r="D31" s="18" t="str">
        <f t="shared" si="0"/>
        <v>2201030</v>
      </c>
      <c r="E31" s="25" t="s">
        <v>267</v>
      </c>
      <c r="F31" s="25" t="s">
        <v>268</v>
      </c>
      <c r="G31" s="25" t="s">
        <v>229</v>
      </c>
      <c r="H31" s="25" t="s">
        <v>269</v>
      </c>
      <c r="I31" s="25" t="s">
        <v>270</v>
      </c>
      <c r="J31" s="19"/>
      <c r="K31" s="18" t="s">
        <v>271</v>
      </c>
      <c r="L31" s="18"/>
      <c r="M31" s="25"/>
      <c r="N31" s="25"/>
      <c r="O31" s="21">
        <v>3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 spans="1:28" ht="15.75" customHeight="1" x14ac:dyDescent="0.2">
      <c r="A32" s="18">
        <v>22</v>
      </c>
      <c r="B32" s="18" t="s">
        <v>50</v>
      </c>
      <c r="C32" s="18" t="s">
        <v>272</v>
      </c>
      <c r="D32" s="18" t="str">
        <f t="shared" si="0"/>
        <v>2201031</v>
      </c>
      <c r="E32" s="25" t="s">
        <v>273</v>
      </c>
      <c r="F32" s="25" t="s">
        <v>274</v>
      </c>
      <c r="G32" s="25" t="s">
        <v>229</v>
      </c>
      <c r="H32" s="25" t="s">
        <v>275</v>
      </c>
      <c r="I32" s="25" t="s">
        <v>276</v>
      </c>
      <c r="J32" s="19"/>
      <c r="K32" s="18" t="s">
        <v>277</v>
      </c>
      <c r="L32" s="18"/>
      <c r="M32" s="25"/>
      <c r="N32" s="25"/>
      <c r="O32" s="21">
        <v>8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r="33" spans="1:28" ht="15.75" customHeight="1" x14ac:dyDescent="0.2">
      <c r="A33" s="18">
        <v>22</v>
      </c>
      <c r="B33" s="18" t="s">
        <v>50</v>
      </c>
      <c r="C33" s="18" t="s">
        <v>278</v>
      </c>
      <c r="D33" s="18" t="str">
        <f t="shared" si="0"/>
        <v>2201032</v>
      </c>
      <c r="E33" s="25" t="s">
        <v>279</v>
      </c>
      <c r="F33" s="25" t="s">
        <v>280</v>
      </c>
      <c r="G33" s="25" t="s">
        <v>229</v>
      </c>
      <c r="H33" s="25" t="s">
        <v>281</v>
      </c>
      <c r="I33" s="25" t="s">
        <v>282</v>
      </c>
      <c r="J33" s="19"/>
      <c r="K33" s="18" t="s">
        <v>283</v>
      </c>
      <c r="L33" s="18"/>
      <c r="M33" s="25"/>
      <c r="N33" s="25"/>
      <c r="O33" s="21">
        <v>5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 spans="1:28" ht="15.75" customHeight="1" x14ac:dyDescent="0.2">
      <c r="A34" s="18">
        <v>22</v>
      </c>
      <c r="B34" s="18" t="s">
        <v>50</v>
      </c>
      <c r="C34" s="18" t="s">
        <v>284</v>
      </c>
      <c r="D34" s="18" t="str">
        <f t="shared" si="0"/>
        <v>2201033</v>
      </c>
      <c r="E34" s="20" t="s">
        <v>285</v>
      </c>
      <c r="F34" s="20" t="s">
        <v>286</v>
      </c>
      <c r="G34" s="20" t="s">
        <v>229</v>
      </c>
      <c r="H34" s="20" t="s">
        <v>287</v>
      </c>
      <c r="I34" s="20" t="s">
        <v>288</v>
      </c>
      <c r="J34" s="19"/>
      <c r="K34" s="24" t="s">
        <v>289</v>
      </c>
      <c r="L34" s="18"/>
      <c r="M34" s="25"/>
      <c r="N34" s="25"/>
      <c r="O34" s="21">
        <v>4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spans="1:28" ht="15.75" customHeight="1" x14ac:dyDescent="0.2">
      <c r="A35" s="18">
        <v>22</v>
      </c>
      <c r="B35" s="18" t="s">
        <v>50</v>
      </c>
      <c r="C35" s="18" t="s">
        <v>290</v>
      </c>
      <c r="D35" s="18" t="str">
        <f t="shared" si="0"/>
        <v>2201034</v>
      </c>
      <c r="E35" s="20" t="s">
        <v>291</v>
      </c>
      <c r="F35" s="20" t="s">
        <v>292</v>
      </c>
      <c r="G35" s="20" t="s">
        <v>229</v>
      </c>
      <c r="H35" s="20" t="s">
        <v>293</v>
      </c>
      <c r="I35" s="20" t="s">
        <v>294</v>
      </c>
      <c r="J35" s="19"/>
      <c r="K35" s="24" t="s">
        <v>295</v>
      </c>
      <c r="L35" s="18"/>
      <c r="M35" s="25"/>
      <c r="N35" s="25"/>
      <c r="O35" s="21">
        <v>3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 spans="1:28" ht="15.75" customHeight="1" x14ac:dyDescent="0.2">
      <c r="A36" s="18">
        <v>22</v>
      </c>
      <c r="B36" s="18" t="s">
        <v>50</v>
      </c>
      <c r="C36" s="18" t="s">
        <v>296</v>
      </c>
      <c r="D36" s="18" t="str">
        <f t="shared" si="0"/>
        <v>2201035</v>
      </c>
      <c r="E36" s="20" t="s">
        <v>297</v>
      </c>
      <c r="F36" s="20" t="s">
        <v>298</v>
      </c>
      <c r="G36" s="20" t="s">
        <v>229</v>
      </c>
      <c r="H36" s="20" t="s">
        <v>299</v>
      </c>
      <c r="I36" s="26" t="s">
        <v>300</v>
      </c>
      <c r="J36" s="19"/>
      <c r="K36" s="27">
        <v>88231839040</v>
      </c>
      <c r="L36" s="18"/>
      <c r="M36" s="25"/>
      <c r="N36" s="25"/>
      <c r="O36" s="21">
        <v>9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 spans="1:28" ht="15.75" customHeight="1" x14ac:dyDescent="0.2">
      <c r="A37" s="18">
        <v>22</v>
      </c>
      <c r="B37" s="18" t="s">
        <v>50</v>
      </c>
      <c r="C37" s="18" t="s">
        <v>301</v>
      </c>
      <c r="D37" s="18" t="str">
        <f t="shared" si="0"/>
        <v>2201036</v>
      </c>
      <c r="E37" s="20" t="s">
        <v>302</v>
      </c>
      <c r="F37" s="20" t="s">
        <v>303</v>
      </c>
      <c r="G37" s="20" t="s">
        <v>229</v>
      </c>
      <c r="H37" s="20" t="s">
        <v>304</v>
      </c>
      <c r="I37" s="20" t="s">
        <v>305</v>
      </c>
      <c r="J37" s="19"/>
      <c r="K37" s="24" t="s">
        <v>306</v>
      </c>
      <c r="L37" s="18"/>
      <c r="M37" s="25"/>
      <c r="N37" s="34" t="s">
        <v>307</v>
      </c>
      <c r="O37" s="21">
        <v>5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spans="1:28" ht="15.75" customHeight="1" x14ac:dyDescent="0.2">
      <c r="A38" s="18">
        <v>22</v>
      </c>
      <c r="B38" s="18" t="s">
        <v>50</v>
      </c>
      <c r="C38" s="18" t="s">
        <v>308</v>
      </c>
      <c r="D38" s="18" t="str">
        <f t="shared" si="0"/>
        <v>2201037</v>
      </c>
      <c r="E38" s="20" t="s">
        <v>309</v>
      </c>
      <c r="F38" s="20" t="s">
        <v>310</v>
      </c>
      <c r="G38" s="20" t="s">
        <v>229</v>
      </c>
      <c r="H38" s="20" t="s">
        <v>311</v>
      </c>
      <c r="I38" s="20" t="s">
        <v>312</v>
      </c>
      <c r="J38" s="19"/>
      <c r="K38" s="24" t="s">
        <v>313</v>
      </c>
      <c r="L38" s="18"/>
      <c r="M38" s="25"/>
      <c r="N38" s="25"/>
      <c r="O38" s="21">
        <v>3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 spans="1:28" ht="15.75" customHeight="1" x14ac:dyDescent="0.2">
      <c r="A39" s="18">
        <v>22</v>
      </c>
      <c r="B39" s="18" t="s">
        <v>50</v>
      </c>
      <c r="C39" s="18" t="s">
        <v>314</v>
      </c>
      <c r="D39" s="18" t="str">
        <f t="shared" si="0"/>
        <v>2201038</v>
      </c>
      <c r="E39" s="20" t="s">
        <v>315</v>
      </c>
      <c r="F39" s="20" t="s">
        <v>316</v>
      </c>
      <c r="G39" s="20" t="s">
        <v>54</v>
      </c>
      <c r="H39" s="20" t="s">
        <v>317</v>
      </c>
      <c r="I39" s="20" t="s">
        <v>318</v>
      </c>
      <c r="J39" s="19"/>
      <c r="K39" s="24" t="s">
        <v>319</v>
      </c>
      <c r="L39" s="18"/>
      <c r="M39" s="25"/>
      <c r="N39" s="25"/>
      <c r="O39" s="21">
        <v>25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spans="1:28" ht="15.75" customHeight="1" x14ac:dyDescent="0.2">
      <c r="A40" s="18">
        <v>22</v>
      </c>
      <c r="B40" s="18" t="s">
        <v>50</v>
      </c>
      <c r="C40" s="18" t="s">
        <v>320</v>
      </c>
      <c r="D40" s="18" t="str">
        <f t="shared" si="0"/>
        <v>2201039</v>
      </c>
      <c r="E40" s="20" t="s">
        <v>321</v>
      </c>
      <c r="F40" s="20" t="s">
        <v>322</v>
      </c>
      <c r="G40" s="20" t="s">
        <v>54</v>
      </c>
      <c r="H40" s="20" t="s">
        <v>323</v>
      </c>
      <c r="I40" s="26" t="s">
        <v>324</v>
      </c>
      <c r="J40" s="19"/>
      <c r="K40" s="27">
        <v>85954691322</v>
      </c>
      <c r="L40" s="18"/>
      <c r="M40" s="25"/>
      <c r="N40" s="32" t="s">
        <v>325</v>
      </c>
      <c r="O40" s="27">
        <v>12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 spans="1:28" ht="15.75" customHeight="1" x14ac:dyDescent="0.2">
      <c r="A41" s="18">
        <v>22</v>
      </c>
      <c r="B41" s="18" t="s">
        <v>50</v>
      </c>
      <c r="C41" s="18" t="s">
        <v>326</v>
      </c>
      <c r="D41" s="18" t="str">
        <f t="shared" si="0"/>
        <v>2201040</v>
      </c>
      <c r="E41" s="20" t="s">
        <v>327</v>
      </c>
      <c r="F41" s="20" t="s">
        <v>328</v>
      </c>
      <c r="G41" s="20" t="s">
        <v>229</v>
      </c>
      <c r="H41" s="20" t="s">
        <v>329</v>
      </c>
      <c r="I41" s="20" t="s">
        <v>330</v>
      </c>
      <c r="J41" s="19"/>
      <c r="K41" s="24" t="s">
        <v>331</v>
      </c>
      <c r="L41" s="18"/>
      <c r="M41" s="25"/>
      <c r="N41" s="25"/>
      <c r="O41" s="21">
        <v>2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spans="1:28" ht="15.75" customHeight="1" x14ac:dyDescent="0.2">
      <c r="A42" s="18">
        <v>22</v>
      </c>
      <c r="B42" s="18" t="s">
        <v>50</v>
      </c>
      <c r="C42" s="18" t="s">
        <v>332</v>
      </c>
      <c r="D42" s="18" t="str">
        <f t="shared" si="0"/>
        <v>2201041</v>
      </c>
      <c r="E42" s="20" t="s">
        <v>333</v>
      </c>
      <c r="F42" s="20" t="s">
        <v>334</v>
      </c>
      <c r="G42" s="20" t="s">
        <v>54</v>
      </c>
      <c r="H42" s="20" t="s">
        <v>335</v>
      </c>
      <c r="I42" s="20" t="s">
        <v>336</v>
      </c>
      <c r="J42" s="19"/>
      <c r="K42" s="24" t="s">
        <v>337</v>
      </c>
      <c r="L42" s="18"/>
      <c r="M42" s="25"/>
      <c r="N42" s="25"/>
      <c r="O42" s="21">
        <v>6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 spans="1:28" ht="15.75" customHeight="1" x14ac:dyDescent="0.2">
      <c r="A43" s="18">
        <v>22</v>
      </c>
      <c r="B43" s="18" t="s">
        <v>50</v>
      </c>
      <c r="C43" s="18" t="s">
        <v>338</v>
      </c>
      <c r="D43" s="18" t="str">
        <f t="shared" si="0"/>
        <v>2201042</v>
      </c>
      <c r="E43" s="20" t="s">
        <v>339</v>
      </c>
      <c r="F43" s="20" t="s">
        <v>340</v>
      </c>
      <c r="G43" s="20" t="s">
        <v>54</v>
      </c>
      <c r="H43" s="20" t="s">
        <v>341</v>
      </c>
      <c r="I43" s="20" t="s">
        <v>342</v>
      </c>
      <c r="J43" s="19"/>
      <c r="K43" s="24" t="s">
        <v>343</v>
      </c>
      <c r="L43" s="18"/>
      <c r="M43" s="25"/>
      <c r="N43" s="25"/>
      <c r="O43" s="21">
        <v>4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 spans="1:28" ht="15.75" customHeight="1" x14ac:dyDescent="0.2">
      <c r="A44" s="18">
        <v>22</v>
      </c>
      <c r="B44" s="18" t="s">
        <v>50</v>
      </c>
      <c r="C44" s="18" t="s">
        <v>344</v>
      </c>
      <c r="D44" s="18" t="str">
        <f t="shared" si="0"/>
        <v>2201043</v>
      </c>
      <c r="E44" s="20" t="s">
        <v>345</v>
      </c>
      <c r="F44" s="20" t="s">
        <v>346</v>
      </c>
      <c r="G44" s="20" t="s">
        <v>229</v>
      </c>
      <c r="H44" s="20" t="s">
        <v>347</v>
      </c>
      <c r="I44" s="20" t="s">
        <v>348</v>
      </c>
      <c r="J44" s="19"/>
      <c r="K44" s="24" t="s">
        <v>349</v>
      </c>
      <c r="L44" s="18"/>
      <c r="M44" s="25"/>
      <c r="N44" s="25"/>
      <c r="O44" s="21">
        <v>8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 spans="1:28" ht="15.75" customHeight="1" x14ac:dyDescent="0.2">
      <c r="A45" s="18">
        <v>22</v>
      </c>
      <c r="B45" s="18" t="s">
        <v>50</v>
      </c>
      <c r="C45" s="18" t="s">
        <v>350</v>
      </c>
      <c r="D45" s="18" t="str">
        <f t="shared" si="0"/>
        <v>2201044</v>
      </c>
      <c r="E45" s="20" t="s">
        <v>351</v>
      </c>
      <c r="F45" s="20" t="s">
        <v>352</v>
      </c>
      <c r="G45" s="20" t="s">
        <v>229</v>
      </c>
      <c r="H45" s="20" t="s">
        <v>353</v>
      </c>
      <c r="I45" s="20" t="s">
        <v>354</v>
      </c>
      <c r="J45" s="19"/>
      <c r="K45" s="24" t="s">
        <v>355</v>
      </c>
      <c r="L45" s="18"/>
      <c r="M45" s="25"/>
      <c r="N45" s="25"/>
      <c r="O45" s="21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spans="1:28" ht="15.75" customHeight="1" x14ac:dyDescent="0.2">
      <c r="A46" s="18">
        <v>22</v>
      </c>
      <c r="B46" s="18" t="s">
        <v>50</v>
      </c>
      <c r="C46" s="18" t="s">
        <v>356</v>
      </c>
      <c r="D46" s="18" t="str">
        <f t="shared" si="0"/>
        <v>2201045</v>
      </c>
      <c r="E46" s="20" t="s">
        <v>357</v>
      </c>
      <c r="F46" s="20" t="s">
        <v>358</v>
      </c>
      <c r="G46" s="20" t="s">
        <v>229</v>
      </c>
      <c r="H46" s="20" t="s">
        <v>359</v>
      </c>
      <c r="I46" s="20" t="s">
        <v>360</v>
      </c>
      <c r="J46" s="19"/>
      <c r="K46" s="24" t="s">
        <v>361</v>
      </c>
      <c r="L46" s="18"/>
      <c r="M46" s="25"/>
      <c r="N46" s="25"/>
      <c r="O46" s="21">
        <v>4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spans="1:28" ht="15.75" customHeight="1" x14ac:dyDescent="0.2">
      <c r="A47" s="18">
        <v>22</v>
      </c>
      <c r="B47" s="18" t="s">
        <v>50</v>
      </c>
      <c r="C47" s="18" t="s">
        <v>362</v>
      </c>
      <c r="D47" s="18" t="str">
        <f t="shared" si="0"/>
        <v>2201046</v>
      </c>
      <c r="E47" s="20" t="s">
        <v>363</v>
      </c>
      <c r="F47" s="20" t="s">
        <v>364</v>
      </c>
      <c r="G47" s="20" t="s">
        <v>229</v>
      </c>
      <c r="H47" s="20" t="s">
        <v>365</v>
      </c>
      <c r="I47" s="20" t="s">
        <v>366</v>
      </c>
      <c r="J47" s="19"/>
      <c r="K47" s="21" t="s">
        <v>367</v>
      </c>
      <c r="L47" s="18"/>
      <c r="M47" s="25"/>
      <c r="N47" s="25"/>
      <c r="O47" s="21">
        <v>5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 spans="1:28" ht="15.75" customHeight="1" x14ac:dyDescent="0.2">
      <c r="A48" s="18">
        <v>22</v>
      </c>
      <c r="B48" s="18" t="s">
        <v>50</v>
      </c>
      <c r="C48" s="18" t="s">
        <v>368</v>
      </c>
      <c r="D48" s="18" t="str">
        <f t="shared" si="0"/>
        <v>2201047</v>
      </c>
      <c r="E48" s="20" t="s">
        <v>369</v>
      </c>
      <c r="F48" s="20" t="s">
        <v>370</v>
      </c>
      <c r="G48" s="20" t="s">
        <v>229</v>
      </c>
      <c r="H48" s="20" t="s">
        <v>371</v>
      </c>
      <c r="I48" s="20" t="s">
        <v>372</v>
      </c>
      <c r="J48" s="19"/>
      <c r="K48" s="24" t="s">
        <v>373</v>
      </c>
      <c r="L48" s="18"/>
      <c r="M48" s="25"/>
      <c r="N48" s="25"/>
      <c r="O48" s="21">
        <v>7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spans="1:28" ht="15.75" customHeight="1" x14ac:dyDescent="0.2">
      <c r="A49" s="18">
        <v>22</v>
      </c>
      <c r="B49" s="18" t="s">
        <v>50</v>
      </c>
      <c r="C49" s="18" t="s">
        <v>374</v>
      </c>
      <c r="D49" s="18" t="str">
        <f t="shared" si="0"/>
        <v>2201048</v>
      </c>
      <c r="E49" s="20" t="s">
        <v>375</v>
      </c>
      <c r="F49" s="20" t="s">
        <v>376</v>
      </c>
      <c r="G49" s="20" t="s">
        <v>229</v>
      </c>
      <c r="H49" s="20" t="s">
        <v>377</v>
      </c>
      <c r="I49" s="20" t="s">
        <v>378</v>
      </c>
      <c r="J49" s="19"/>
      <c r="K49" s="24" t="s">
        <v>379</v>
      </c>
      <c r="L49" s="18"/>
      <c r="M49" s="25"/>
      <c r="N49" s="25"/>
      <c r="O49" s="21">
        <v>3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 spans="1:28" ht="15.75" customHeight="1" x14ac:dyDescent="0.2">
      <c r="A50" s="18">
        <v>22</v>
      </c>
      <c r="B50" s="18" t="s">
        <v>50</v>
      </c>
      <c r="C50" s="18" t="s">
        <v>380</v>
      </c>
      <c r="D50" s="18" t="str">
        <f t="shared" si="0"/>
        <v>2201049</v>
      </c>
      <c r="E50" s="20" t="s">
        <v>381</v>
      </c>
      <c r="F50" s="20" t="s">
        <v>382</v>
      </c>
      <c r="G50" s="20" t="s">
        <v>229</v>
      </c>
      <c r="H50" s="20" t="s">
        <v>383</v>
      </c>
      <c r="I50" s="20" t="s">
        <v>384</v>
      </c>
      <c r="J50" s="19"/>
      <c r="K50" s="24" t="s">
        <v>385</v>
      </c>
      <c r="L50" s="18"/>
      <c r="M50" s="25"/>
      <c r="N50" s="25"/>
      <c r="O50" s="21">
        <v>5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 spans="1:28" ht="15.75" customHeight="1" x14ac:dyDescent="0.2">
      <c r="A51" s="18">
        <v>22</v>
      </c>
      <c r="B51" s="18" t="s">
        <v>50</v>
      </c>
      <c r="C51" s="18" t="s">
        <v>386</v>
      </c>
      <c r="D51" s="18" t="str">
        <f t="shared" si="0"/>
        <v>2201050</v>
      </c>
      <c r="E51" s="20" t="s">
        <v>387</v>
      </c>
      <c r="F51" s="20" t="s">
        <v>388</v>
      </c>
      <c r="G51" s="20" t="s">
        <v>54</v>
      </c>
      <c r="H51" s="20" t="s">
        <v>389</v>
      </c>
      <c r="I51" s="20" t="s">
        <v>390</v>
      </c>
      <c r="J51" s="19"/>
      <c r="K51" s="24" t="s">
        <v>391</v>
      </c>
      <c r="L51" s="18"/>
      <c r="M51" s="25"/>
      <c r="N51" s="25"/>
      <c r="O51" s="21">
        <v>7</v>
      </c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spans="1:28" ht="15.75" customHeight="1" x14ac:dyDescent="0.2">
      <c r="A52" s="18">
        <v>22</v>
      </c>
      <c r="B52" s="18" t="s">
        <v>50</v>
      </c>
      <c r="C52" s="18" t="s">
        <v>392</v>
      </c>
      <c r="D52" s="18" t="str">
        <f t="shared" si="0"/>
        <v>2201051</v>
      </c>
      <c r="E52" s="20" t="s">
        <v>393</v>
      </c>
      <c r="F52" s="20" t="s">
        <v>394</v>
      </c>
      <c r="G52" s="20" t="s">
        <v>229</v>
      </c>
      <c r="H52" s="20" t="s">
        <v>395</v>
      </c>
      <c r="I52" s="20" t="s">
        <v>396</v>
      </c>
      <c r="J52" s="28" t="s">
        <v>397</v>
      </c>
      <c r="K52" s="24" t="s">
        <v>398</v>
      </c>
      <c r="L52" s="24" t="s">
        <v>399</v>
      </c>
      <c r="M52" s="25"/>
      <c r="N52" s="25"/>
      <c r="O52" s="21">
        <v>8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 spans="1:28" ht="15.75" customHeight="1" x14ac:dyDescent="0.2">
      <c r="A53" s="18">
        <v>22</v>
      </c>
      <c r="B53" s="18" t="s">
        <v>50</v>
      </c>
      <c r="C53" s="18" t="s">
        <v>400</v>
      </c>
      <c r="D53" s="18" t="str">
        <f t="shared" si="0"/>
        <v>2201052</v>
      </c>
      <c r="E53" s="20" t="s">
        <v>401</v>
      </c>
      <c r="F53" s="20" t="s">
        <v>402</v>
      </c>
      <c r="G53" s="20" t="s">
        <v>229</v>
      </c>
      <c r="H53" s="20" t="s">
        <v>403</v>
      </c>
      <c r="I53" s="20" t="s">
        <v>404</v>
      </c>
      <c r="J53" s="19"/>
      <c r="K53" s="24" t="s">
        <v>405</v>
      </c>
      <c r="L53" s="18"/>
      <c r="M53" s="25"/>
      <c r="N53" s="25"/>
      <c r="O53" s="21">
        <v>12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spans="1:28" ht="15.75" customHeight="1" x14ac:dyDescent="0.2">
      <c r="A54" s="18">
        <v>22</v>
      </c>
      <c r="B54" s="18" t="s">
        <v>50</v>
      </c>
      <c r="C54" s="18" t="s">
        <v>406</v>
      </c>
      <c r="D54" s="18" t="str">
        <f t="shared" si="0"/>
        <v>2201053</v>
      </c>
      <c r="E54" s="20" t="s">
        <v>407</v>
      </c>
      <c r="F54" s="20" t="s">
        <v>408</v>
      </c>
      <c r="G54" s="20" t="s">
        <v>229</v>
      </c>
      <c r="H54" s="20" t="s">
        <v>409</v>
      </c>
      <c r="I54" s="20" t="s">
        <v>410</v>
      </c>
      <c r="J54" s="19"/>
      <c r="K54" s="21" t="s">
        <v>411</v>
      </c>
      <c r="L54" s="18"/>
      <c r="M54" s="25"/>
      <c r="N54" s="25"/>
      <c r="O54" s="21">
        <v>3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spans="1:28" ht="15.75" customHeight="1" x14ac:dyDescent="0.2">
      <c r="A55" s="18">
        <v>22</v>
      </c>
      <c r="B55" s="18" t="s">
        <v>50</v>
      </c>
      <c r="C55" s="18" t="s">
        <v>412</v>
      </c>
      <c r="D55" s="18" t="str">
        <f t="shared" si="0"/>
        <v>2201054</v>
      </c>
      <c r="E55" s="20" t="s">
        <v>413</v>
      </c>
      <c r="F55" s="20" t="s">
        <v>414</v>
      </c>
      <c r="G55" s="20" t="s">
        <v>54</v>
      </c>
      <c r="H55" s="20" t="s">
        <v>415</v>
      </c>
      <c r="I55" s="20" t="s">
        <v>416</v>
      </c>
      <c r="J55" s="19"/>
      <c r="K55" s="24" t="s">
        <v>417</v>
      </c>
      <c r="L55" s="18"/>
      <c r="M55" s="25"/>
      <c r="N55" s="25"/>
      <c r="O55" s="21">
        <v>9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spans="1:28" ht="15.75" customHeight="1" x14ac:dyDescent="0.2">
      <c r="A56" s="18">
        <v>22</v>
      </c>
      <c r="B56" s="18" t="s">
        <v>50</v>
      </c>
      <c r="C56" s="18" t="s">
        <v>418</v>
      </c>
      <c r="D56" s="18" t="str">
        <f t="shared" si="0"/>
        <v>2201055</v>
      </c>
      <c r="E56" s="20" t="s">
        <v>419</v>
      </c>
      <c r="F56" s="20" t="s">
        <v>420</v>
      </c>
      <c r="G56" s="20" t="s">
        <v>229</v>
      </c>
      <c r="H56" s="20" t="s">
        <v>421</v>
      </c>
      <c r="I56" s="20" t="s">
        <v>422</v>
      </c>
      <c r="J56" s="19"/>
      <c r="K56" s="24" t="s">
        <v>423</v>
      </c>
      <c r="L56" s="18"/>
      <c r="M56" s="25"/>
      <c r="N56" s="25"/>
      <c r="O56" s="21">
        <v>3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spans="1:28" ht="15.75" customHeight="1" x14ac:dyDescent="0.2">
      <c r="A57" s="18">
        <v>22</v>
      </c>
      <c r="B57" s="18" t="s">
        <v>50</v>
      </c>
      <c r="C57" s="18" t="s">
        <v>424</v>
      </c>
      <c r="D57" s="18" t="str">
        <f t="shared" si="0"/>
        <v>2201056</v>
      </c>
      <c r="E57" s="20" t="s">
        <v>425</v>
      </c>
      <c r="F57" s="20" t="s">
        <v>426</v>
      </c>
      <c r="G57" s="20" t="s">
        <v>151</v>
      </c>
      <c r="H57" s="20" t="s">
        <v>427</v>
      </c>
      <c r="I57" s="20" t="s">
        <v>428</v>
      </c>
      <c r="J57" s="19"/>
      <c r="K57" s="24" t="s">
        <v>429</v>
      </c>
      <c r="L57" s="18"/>
      <c r="M57" s="25"/>
      <c r="N57" s="25"/>
      <c r="O57" s="21">
        <v>1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28" ht="15.75" customHeight="1" x14ac:dyDescent="0.2">
      <c r="A58" s="18">
        <v>22</v>
      </c>
      <c r="B58" s="18" t="s">
        <v>50</v>
      </c>
      <c r="C58" s="18" t="s">
        <v>430</v>
      </c>
      <c r="D58" s="18" t="str">
        <f t="shared" si="0"/>
        <v>2201057</v>
      </c>
      <c r="E58" s="20" t="s">
        <v>431</v>
      </c>
      <c r="F58" s="20" t="s">
        <v>432</v>
      </c>
      <c r="G58" s="20" t="s">
        <v>229</v>
      </c>
      <c r="H58" s="20" t="s">
        <v>433</v>
      </c>
      <c r="I58" s="20" t="s">
        <v>434</v>
      </c>
      <c r="J58" s="19"/>
      <c r="K58" s="24" t="s">
        <v>435</v>
      </c>
      <c r="L58" s="18"/>
      <c r="M58" s="25"/>
      <c r="N58" s="25"/>
      <c r="O58" s="21">
        <v>5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spans="1:28" ht="15.75" customHeight="1" x14ac:dyDescent="0.2">
      <c r="A59" s="18">
        <v>22</v>
      </c>
      <c r="B59" s="18" t="s">
        <v>50</v>
      </c>
      <c r="C59" s="18" t="s">
        <v>436</v>
      </c>
      <c r="D59" s="18" t="str">
        <f t="shared" si="0"/>
        <v>2201058</v>
      </c>
      <c r="E59" s="20" t="s">
        <v>437</v>
      </c>
      <c r="F59" s="20" t="s">
        <v>438</v>
      </c>
      <c r="G59" s="20" t="s">
        <v>229</v>
      </c>
      <c r="H59" s="20" t="s">
        <v>439</v>
      </c>
      <c r="I59" s="20" t="s">
        <v>440</v>
      </c>
      <c r="J59" s="28" t="s">
        <v>441</v>
      </c>
      <c r="K59" s="24" t="s">
        <v>442</v>
      </c>
      <c r="L59" s="24" t="s">
        <v>443</v>
      </c>
      <c r="M59" s="25"/>
      <c r="N59" s="25"/>
      <c r="O59" s="21">
        <v>7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spans="1:28" ht="15.75" customHeight="1" x14ac:dyDescent="0.2">
      <c r="A60" s="18">
        <v>22</v>
      </c>
      <c r="B60" s="18" t="s">
        <v>50</v>
      </c>
      <c r="C60" s="18" t="s">
        <v>444</v>
      </c>
      <c r="D60" s="18" t="str">
        <f t="shared" si="0"/>
        <v>2201059</v>
      </c>
      <c r="E60" s="20" t="s">
        <v>445</v>
      </c>
      <c r="F60" s="20" t="s">
        <v>446</v>
      </c>
      <c r="G60" s="20" t="s">
        <v>229</v>
      </c>
      <c r="H60" s="20" t="s">
        <v>447</v>
      </c>
      <c r="I60" s="20" t="s">
        <v>448</v>
      </c>
      <c r="J60" s="19"/>
      <c r="K60" s="24" t="s">
        <v>449</v>
      </c>
      <c r="L60" s="18"/>
      <c r="M60" s="25"/>
      <c r="N60" s="25"/>
      <c r="O60" s="21">
        <v>1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spans="1:28" ht="15.75" customHeight="1" x14ac:dyDescent="0.2">
      <c r="A61" s="18">
        <v>22</v>
      </c>
      <c r="B61" s="18" t="s">
        <v>50</v>
      </c>
      <c r="C61" s="18" t="s">
        <v>450</v>
      </c>
      <c r="D61" s="18" t="str">
        <f t="shared" si="0"/>
        <v>2201060</v>
      </c>
      <c r="E61" s="20" t="s">
        <v>451</v>
      </c>
      <c r="F61" s="20" t="s">
        <v>452</v>
      </c>
      <c r="G61" s="20" t="s">
        <v>229</v>
      </c>
      <c r="H61" s="20" t="s">
        <v>453</v>
      </c>
      <c r="I61" s="20" t="s">
        <v>454</v>
      </c>
      <c r="J61" s="19"/>
      <c r="K61" s="24" t="s">
        <v>455</v>
      </c>
      <c r="L61" s="18"/>
      <c r="M61" s="25"/>
      <c r="N61" s="25"/>
      <c r="O61" s="21">
        <v>3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spans="1:28" ht="15.75" customHeight="1" x14ac:dyDescent="0.2">
      <c r="A62" s="18">
        <v>22</v>
      </c>
      <c r="B62" s="18" t="s">
        <v>50</v>
      </c>
      <c r="C62" s="18" t="s">
        <v>456</v>
      </c>
      <c r="D62" s="18" t="str">
        <f t="shared" si="0"/>
        <v>2201061</v>
      </c>
      <c r="E62" s="20" t="s">
        <v>457</v>
      </c>
      <c r="F62" s="20" t="s">
        <v>458</v>
      </c>
      <c r="G62" s="20" t="s">
        <v>229</v>
      </c>
      <c r="H62" s="20" t="s">
        <v>459</v>
      </c>
      <c r="I62" s="20" t="s">
        <v>460</v>
      </c>
      <c r="J62" s="19"/>
      <c r="K62" s="24" t="s">
        <v>461</v>
      </c>
      <c r="L62" s="18"/>
      <c r="M62" s="25"/>
      <c r="N62" s="25"/>
      <c r="O62" s="21">
        <v>5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spans="1:28" ht="15.75" customHeight="1" x14ac:dyDescent="0.2">
      <c r="A63" s="18">
        <v>22</v>
      </c>
      <c r="B63" s="18" t="s">
        <v>50</v>
      </c>
      <c r="C63" s="18" t="s">
        <v>462</v>
      </c>
      <c r="D63" s="18" t="str">
        <f t="shared" si="0"/>
        <v>2201062</v>
      </c>
      <c r="E63" s="20" t="s">
        <v>463</v>
      </c>
      <c r="F63" s="20" t="s">
        <v>464</v>
      </c>
      <c r="G63" s="20" t="s">
        <v>229</v>
      </c>
      <c r="H63" s="20" t="s">
        <v>465</v>
      </c>
      <c r="I63" s="20" t="s">
        <v>466</v>
      </c>
      <c r="J63" s="19"/>
      <c r="K63" s="24" t="s">
        <v>467</v>
      </c>
      <c r="L63" s="18"/>
      <c r="M63" s="25"/>
      <c r="N63" s="25"/>
      <c r="O63" s="21">
        <v>4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spans="1:28" ht="15.75" customHeight="1" x14ac:dyDescent="0.2">
      <c r="A64" s="18">
        <v>22</v>
      </c>
      <c r="B64" s="18" t="s">
        <v>50</v>
      </c>
      <c r="C64" s="18" t="s">
        <v>468</v>
      </c>
      <c r="D64" s="18" t="str">
        <f t="shared" si="0"/>
        <v>2201063</v>
      </c>
      <c r="E64" s="20" t="s">
        <v>469</v>
      </c>
      <c r="F64" s="20" t="s">
        <v>470</v>
      </c>
      <c r="G64" s="20" t="s">
        <v>229</v>
      </c>
      <c r="H64" s="20" t="s">
        <v>471</v>
      </c>
      <c r="I64" s="20" t="s">
        <v>472</v>
      </c>
      <c r="J64" s="19"/>
      <c r="K64" s="24" t="s">
        <v>473</v>
      </c>
      <c r="L64" s="18"/>
      <c r="M64" s="25"/>
      <c r="N64" s="25"/>
      <c r="O64" s="21">
        <v>6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spans="1:28" ht="15.75" customHeight="1" x14ac:dyDescent="0.2">
      <c r="A65" s="18">
        <v>22</v>
      </c>
      <c r="B65" s="18" t="s">
        <v>50</v>
      </c>
      <c r="C65" s="18" t="s">
        <v>474</v>
      </c>
      <c r="D65" s="18" t="str">
        <f t="shared" si="0"/>
        <v>2201064</v>
      </c>
      <c r="E65" s="20" t="s">
        <v>475</v>
      </c>
      <c r="F65" s="20" t="s">
        <v>476</v>
      </c>
      <c r="G65" s="20" t="s">
        <v>229</v>
      </c>
      <c r="H65" s="20" t="s">
        <v>477</v>
      </c>
      <c r="I65" s="20" t="s">
        <v>478</v>
      </c>
      <c r="J65" s="19"/>
      <c r="K65" s="24" t="s">
        <v>479</v>
      </c>
      <c r="L65" s="18"/>
      <c r="M65" s="25"/>
      <c r="N65" s="25"/>
      <c r="O65" s="21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spans="1:28" ht="15.75" customHeight="1" x14ac:dyDescent="0.2">
      <c r="A66" s="18">
        <v>23</v>
      </c>
      <c r="B66" s="18" t="s">
        <v>50</v>
      </c>
      <c r="C66" s="18" t="s">
        <v>480</v>
      </c>
      <c r="D66" s="18" t="str">
        <f t="shared" si="0"/>
        <v>2301065</v>
      </c>
      <c r="E66" s="20" t="s">
        <v>481</v>
      </c>
      <c r="F66" s="20" t="s">
        <v>482</v>
      </c>
      <c r="G66" s="20" t="s">
        <v>229</v>
      </c>
      <c r="H66" s="20" t="s">
        <v>483</v>
      </c>
      <c r="I66" s="20" t="s">
        <v>484</v>
      </c>
      <c r="J66" s="19"/>
      <c r="K66" s="24" t="s">
        <v>485</v>
      </c>
      <c r="L66" s="18"/>
      <c r="M66" s="25"/>
      <c r="N66" s="25"/>
      <c r="O66" s="21">
        <v>5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spans="1:28" ht="15.75" customHeight="1" x14ac:dyDescent="0.2">
      <c r="A67" s="18">
        <v>23</v>
      </c>
      <c r="B67" s="18" t="s">
        <v>50</v>
      </c>
      <c r="C67" s="18" t="s">
        <v>486</v>
      </c>
      <c r="D67" s="18" t="str">
        <f t="shared" si="0"/>
        <v>2301066</v>
      </c>
      <c r="E67" s="20" t="s">
        <v>487</v>
      </c>
      <c r="F67" s="20" t="s">
        <v>488</v>
      </c>
      <c r="G67" s="20" t="s">
        <v>229</v>
      </c>
      <c r="H67" s="20" t="s">
        <v>489</v>
      </c>
      <c r="I67" s="20" t="s">
        <v>490</v>
      </c>
      <c r="J67" s="19"/>
      <c r="K67" s="24" t="s">
        <v>491</v>
      </c>
      <c r="L67" s="18"/>
      <c r="M67" s="25"/>
      <c r="N67" s="25"/>
      <c r="O67" s="21">
        <v>5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spans="1:28" ht="15.75" customHeight="1" x14ac:dyDescent="0.2">
      <c r="A68" s="18">
        <v>23</v>
      </c>
      <c r="B68" s="18" t="s">
        <v>50</v>
      </c>
      <c r="C68" s="18" t="s">
        <v>492</v>
      </c>
      <c r="D68" s="18" t="str">
        <f t="shared" si="0"/>
        <v>2301067</v>
      </c>
      <c r="E68" s="20" t="s">
        <v>493</v>
      </c>
      <c r="F68" s="20" t="s">
        <v>494</v>
      </c>
      <c r="G68" s="20" t="s">
        <v>229</v>
      </c>
      <c r="H68" s="20" t="s">
        <v>495</v>
      </c>
      <c r="I68" s="20" t="s">
        <v>496</v>
      </c>
      <c r="J68" s="19"/>
      <c r="K68" s="24" t="s">
        <v>497</v>
      </c>
      <c r="L68" s="18"/>
      <c r="M68" s="25"/>
      <c r="N68" s="25"/>
      <c r="O68" s="21">
        <v>2</v>
      </c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spans="1:28" ht="15.75" customHeight="1" x14ac:dyDescent="0.2">
      <c r="A69" s="18">
        <v>23</v>
      </c>
      <c r="B69" s="18" t="s">
        <v>50</v>
      </c>
      <c r="C69" s="18" t="s">
        <v>498</v>
      </c>
      <c r="D69" s="18" t="str">
        <f t="shared" si="0"/>
        <v>2301068</v>
      </c>
      <c r="E69" s="20" t="s">
        <v>499</v>
      </c>
      <c r="F69" s="20" t="s">
        <v>500</v>
      </c>
      <c r="G69" s="20" t="s">
        <v>229</v>
      </c>
      <c r="H69" s="20" t="s">
        <v>501</v>
      </c>
      <c r="I69" s="20" t="s">
        <v>502</v>
      </c>
      <c r="J69" s="19"/>
      <c r="K69" s="21" t="s">
        <v>503</v>
      </c>
      <c r="L69" s="18"/>
      <c r="M69" s="25"/>
      <c r="N69" s="25"/>
      <c r="O69" s="21">
        <v>4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spans="1:28" ht="15.75" customHeight="1" x14ac:dyDescent="0.2">
      <c r="A70" s="18">
        <v>23</v>
      </c>
      <c r="B70" s="18" t="s">
        <v>50</v>
      </c>
      <c r="C70" s="18" t="s">
        <v>504</v>
      </c>
      <c r="D70" s="18" t="str">
        <f t="shared" si="0"/>
        <v>2301069</v>
      </c>
      <c r="E70" s="20" t="s">
        <v>505</v>
      </c>
      <c r="F70" s="20" t="s">
        <v>506</v>
      </c>
      <c r="G70" s="20" t="s">
        <v>229</v>
      </c>
      <c r="H70" s="20" t="s">
        <v>507</v>
      </c>
      <c r="I70" s="20" t="s">
        <v>508</v>
      </c>
      <c r="J70" s="19"/>
      <c r="K70" s="21" t="s">
        <v>509</v>
      </c>
      <c r="L70" s="18"/>
      <c r="M70" s="25"/>
      <c r="N70" s="25"/>
      <c r="O70" s="21">
        <v>20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spans="1:28" ht="15.75" customHeight="1" x14ac:dyDescent="0.2">
      <c r="A71" s="18">
        <v>23</v>
      </c>
      <c r="B71" s="18" t="s">
        <v>50</v>
      </c>
      <c r="C71" s="18" t="s">
        <v>510</v>
      </c>
      <c r="D71" s="18" t="str">
        <f t="shared" si="0"/>
        <v>2301070</v>
      </c>
      <c r="E71" s="20" t="s">
        <v>511</v>
      </c>
      <c r="F71" s="20" t="s">
        <v>512</v>
      </c>
      <c r="G71" s="20" t="s">
        <v>229</v>
      </c>
      <c r="H71" s="20" t="s">
        <v>513</v>
      </c>
      <c r="I71" s="20" t="s">
        <v>514</v>
      </c>
      <c r="J71" s="19"/>
      <c r="K71" s="24" t="s">
        <v>515</v>
      </c>
      <c r="L71" s="18"/>
      <c r="M71" s="25"/>
      <c r="N71" s="25"/>
      <c r="O71" s="21">
        <v>5</v>
      </c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spans="1:28" ht="15.75" customHeight="1" x14ac:dyDescent="0.2">
      <c r="A72" s="18">
        <v>23</v>
      </c>
      <c r="B72" s="18" t="s">
        <v>50</v>
      </c>
      <c r="C72" s="18" t="s">
        <v>516</v>
      </c>
      <c r="D72" s="18" t="str">
        <f t="shared" si="0"/>
        <v>2301071</v>
      </c>
      <c r="E72" s="20" t="s">
        <v>517</v>
      </c>
      <c r="F72" s="20" t="s">
        <v>518</v>
      </c>
      <c r="G72" s="20" t="s">
        <v>54</v>
      </c>
      <c r="H72" s="20" t="s">
        <v>519</v>
      </c>
      <c r="I72" s="20" t="s">
        <v>520</v>
      </c>
      <c r="J72" s="19"/>
      <c r="K72" s="24" t="s">
        <v>521</v>
      </c>
      <c r="L72" s="18"/>
      <c r="M72" s="25"/>
      <c r="N72" s="25"/>
      <c r="O72" s="21">
        <v>3</v>
      </c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spans="1:28" ht="15.75" customHeight="1" x14ac:dyDescent="0.2">
      <c r="A73" s="18">
        <v>23</v>
      </c>
      <c r="B73" s="18" t="s">
        <v>50</v>
      </c>
      <c r="C73" s="18" t="s">
        <v>522</v>
      </c>
      <c r="D73" s="18" t="str">
        <f t="shared" si="0"/>
        <v>2301072</v>
      </c>
      <c r="E73" s="20" t="s">
        <v>523</v>
      </c>
      <c r="F73" s="20" t="s">
        <v>524</v>
      </c>
      <c r="G73" s="20" t="s">
        <v>229</v>
      </c>
      <c r="H73" s="20" t="s">
        <v>525</v>
      </c>
      <c r="I73" s="20" t="s">
        <v>526</v>
      </c>
      <c r="J73" s="19"/>
      <c r="K73" s="24" t="s">
        <v>527</v>
      </c>
      <c r="L73" s="18"/>
      <c r="M73" s="25"/>
      <c r="N73" s="25"/>
      <c r="O73" s="21">
        <v>2</v>
      </c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spans="1:28" ht="15.75" customHeight="1" x14ac:dyDescent="0.2">
      <c r="A74" s="18">
        <v>23</v>
      </c>
      <c r="B74" s="18" t="s">
        <v>50</v>
      </c>
      <c r="C74" s="18" t="s">
        <v>528</v>
      </c>
      <c r="D74" s="18" t="str">
        <f t="shared" si="0"/>
        <v>2301073</v>
      </c>
      <c r="E74" s="20" t="s">
        <v>529</v>
      </c>
      <c r="F74" s="20" t="s">
        <v>530</v>
      </c>
      <c r="G74" s="20" t="s">
        <v>229</v>
      </c>
      <c r="H74" s="20" t="s">
        <v>531</v>
      </c>
      <c r="I74" s="20" t="s">
        <v>532</v>
      </c>
      <c r="J74" s="19"/>
      <c r="K74" s="24" t="s">
        <v>533</v>
      </c>
      <c r="L74" s="18"/>
      <c r="M74" s="25"/>
      <c r="N74" s="25"/>
      <c r="O74" s="21">
        <v>1</v>
      </c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spans="1:28" ht="15.75" customHeight="1" x14ac:dyDescent="0.2">
      <c r="A75" s="18">
        <v>23</v>
      </c>
      <c r="B75" s="18" t="s">
        <v>50</v>
      </c>
      <c r="C75" s="18" t="s">
        <v>534</v>
      </c>
      <c r="D75" s="18" t="str">
        <f t="shared" si="0"/>
        <v>2301074</v>
      </c>
      <c r="E75" s="20" t="s">
        <v>535</v>
      </c>
      <c r="F75" s="20" t="s">
        <v>536</v>
      </c>
      <c r="G75" s="20" t="s">
        <v>54</v>
      </c>
      <c r="H75" s="20" t="s">
        <v>537</v>
      </c>
      <c r="I75" s="20" t="s">
        <v>538</v>
      </c>
      <c r="J75" s="19"/>
      <c r="K75" s="24" t="s">
        <v>539</v>
      </c>
      <c r="L75" s="18"/>
      <c r="M75" s="25"/>
      <c r="N75" s="20" t="s">
        <v>540</v>
      </c>
      <c r="O75" s="21">
        <v>5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spans="1:28" ht="15.75" customHeight="1" x14ac:dyDescent="0.2">
      <c r="A76" s="18">
        <v>23</v>
      </c>
      <c r="B76" s="18" t="s">
        <v>50</v>
      </c>
      <c r="C76" s="18" t="s">
        <v>541</v>
      </c>
      <c r="D76" s="18" t="str">
        <f t="shared" si="0"/>
        <v>2301075</v>
      </c>
      <c r="E76" s="20" t="s">
        <v>542</v>
      </c>
      <c r="F76" s="20" t="s">
        <v>543</v>
      </c>
      <c r="G76" s="20" t="s">
        <v>229</v>
      </c>
      <c r="H76" s="20" t="s">
        <v>544</v>
      </c>
      <c r="I76" s="20" t="s">
        <v>545</v>
      </c>
      <c r="J76" s="19"/>
      <c r="K76" s="21" t="s">
        <v>546</v>
      </c>
      <c r="L76" s="18"/>
      <c r="M76" s="25"/>
      <c r="N76" s="20" t="s">
        <v>547</v>
      </c>
      <c r="O76" s="21">
        <v>5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spans="1:28" ht="15.75" customHeight="1" x14ac:dyDescent="0.2">
      <c r="A77" s="18">
        <v>23</v>
      </c>
      <c r="B77" s="18" t="s">
        <v>50</v>
      </c>
      <c r="C77" s="18" t="s">
        <v>548</v>
      </c>
      <c r="D77" s="18" t="str">
        <f t="shared" si="0"/>
        <v>2301076</v>
      </c>
      <c r="E77" s="20" t="s">
        <v>549</v>
      </c>
      <c r="F77" s="20" t="s">
        <v>550</v>
      </c>
      <c r="G77" s="20" t="s">
        <v>229</v>
      </c>
      <c r="H77" s="20" t="s">
        <v>551</v>
      </c>
      <c r="I77" s="20" t="s">
        <v>552</v>
      </c>
      <c r="J77" s="19"/>
      <c r="K77" s="24" t="s">
        <v>553</v>
      </c>
      <c r="L77" s="18"/>
      <c r="M77" s="25"/>
      <c r="N77" s="20"/>
      <c r="O77" s="21">
        <v>6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spans="1:28" ht="15.75" customHeight="1" x14ac:dyDescent="0.2">
      <c r="A78" s="18">
        <v>23</v>
      </c>
      <c r="B78" s="18" t="s">
        <v>50</v>
      </c>
      <c r="C78" s="18" t="s">
        <v>554</v>
      </c>
      <c r="D78" s="18" t="str">
        <f t="shared" si="0"/>
        <v>2301077</v>
      </c>
      <c r="E78" s="20" t="s">
        <v>555</v>
      </c>
      <c r="F78" s="20" t="s">
        <v>556</v>
      </c>
      <c r="G78" s="20" t="s">
        <v>54</v>
      </c>
      <c r="H78" s="20" t="s">
        <v>557</v>
      </c>
      <c r="I78" s="20" t="s">
        <v>558</v>
      </c>
      <c r="J78" s="19"/>
      <c r="K78" s="21" t="s">
        <v>559</v>
      </c>
      <c r="L78" s="18"/>
      <c r="M78" s="25"/>
      <c r="N78" s="20" t="s">
        <v>560</v>
      </c>
      <c r="O78" s="21">
        <v>9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spans="1:28" ht="15.75" customHeight="1" x14ac:dyDescent="0.2">
      <c r="A79" s="18">
        <v>23</v>
      </c>
      <c r="B79" s="18" t="s">
        <v>50</v>
      </c>
      <c r="C79" s="18" t="s">
        <v>561</v>
      </c>
      <c r="D79" s="18" t="str">
        <f t="shared" si="0"/>
        <v>2301078</v>
      </c>
      <c r="E79" s="20" t="s">
        <v>562</v>
      </c>
      <c r="F79" s="20" t="s">
        <v>563</v>
      </c>
      <c r="G79" s="20" t="s">
        <v>229</v>
      </c>
      <c r="H79" s="20" t="s">
        <v>564</v>
      </c>
      <c r="I79" s="20" t="s">
        <v>565</v>
      </c>
      <c r="J79" s="19"/>
      <c r="K79" s="24" t="s">
        <v>566</v>
      </c>
      <c r="L79" s="18"/>
      <c r="M79" s="25"/>
      <c r="N79" s="20" t="s">
        <v>567</v>
      </c>
      <c r="O79" s="21">
        <v>4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spans="1:28" ht="15.75" customHeight="1" x14ac:dyDescent="0.2">
      <c r="A80" s="18">
        <v>23</v>
      </c>
      <c r="B80" s="18" t="s">
        <v>50</v>
      </c>
      <c r="C80" s="18" t="s">
        <v>568</v>
      </c>
      <c r="D80" s="18" t="str">
        <f t="shared" si="0"/>
        <v>2301079</v>
      </c>
      <c r="E80" s="20" t="s">
        <v>569</v>
      </c>
      <c r="F80" s="20" t="s">
        <v>570</v>
      </c>
      <c r="G80" s="20" t="s">
        <v>229</v>
      </c>
      <c r="H80" s="20" t="s">
        <v>571</v>
      </c>
      <c r="I80" s="20" t="s">
        <v>572</v>
      </c>
      <c r="J80" s="19"/>
      <c r="K80" s="24" t="s">
        <v>573</v>
      </c>
      <c r="L80" s="18"/>
      <c r="M80" s="25"/>
      <c r="N80" s="20" t="s">
        <v>574</v>
      </c>
      <c r="O80" s="21">
        <v>3</v>
      </c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spans="1:28" ht="15.75" customHeight="1" x14ac:dyDescent="0.2">
      <c r="A81" s="18">
        <v>24</v>
      </c>
      <c r="B81" s="18" t="s">
        <v>50</v>
      </c>
      <c r="C81" s="18" t="s">
        <v>575</v>
      </c>
      <c r="D81" s="18" t="str">
        <f t="shared" si="0"/>
        <v>2401080</v>
      </c>
      <c r="E81" s="25" t="s">
        <v>576</v>
      </c>
      <c r="F81" s="25" t="s">
        <v>577</v>
      </c>
      <c r="G81" s="25" t="s">
        <v>229</v>
      </c>
      <c r="H81" s="25" t="s">
        <v>578</v>
      </c>
      <c r="I81" s="25" t="s">
        <v>579</v>
      </c>
      <c r="J81" s="19"/>
      <c r="K81" s="18">
        <v>88989577676</v>
      </c>
      <c r="L81" s="18"/>
      <c r="M81" s="25"/>
      <c r="N81" s="25" t="s">
        <v>580</v>
      </c>
      <c r="O81" s="18">
        <v>10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spans="1:28" ht="15.75" customHeight="1" x14ac:dyDescent="0.2">
      <c r="A82" s="18">
        <v>24</v>
      </c>
      <c r="B82" s="18" t="s">
        <v>50</v>
      </c>
      <c r="C82" s="18" t="s">
        <v>581</v>
      </c>
      <c r="D82" s="18" t="str">
        <f t="shared" si="0"/>
        <v>2401081</v>
      </c>
      <c r="E82" s="25" t="s">
        <v>582</v>
      </c>
      <c r="F82" s="25" t="s">
        <v>583</v>
      </c>
      <c r="G82" s="25" t="s">
        <v>229</v>
      </c>
      <c r="H82" s="25" t="s">
        <v>584</v>
      </c>
      <c r="I82" s="25" t="s">
        <v>585</v>
      </c>
      <c r="J82" s="35" t="s">
        <v>586</v>
      </c>
      <c r="K82" s="18">
        <v>81336834084</v>
      </c>
      <c r="L82" s="27">
        <v>87838338742</v>
      </c>
      <c r="M82" s="25"/>
      <c r="N82" s="25"/>
      <c r="O82" s="18">
        <v>4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spans="1:28" ht="15.75" customHeight="1" x14ac:dyDescent="0.2">
      <c r="A83" s="18">
        <v>24</v>
      </c>
      <c r="B83" s="18" t="s">
        <v>50</v>
      </c>
      <c r="C83" s="18" t="s">
        <v>587</v>
      </c>
      <c r="D83" s="18" t="str">
        <f t="shared" si="0"/>
        <v>2401082</v>
      </c>
      <c r="E83" s="25" t="s">
        <v>588</v>
      </c>
      <c r="F83" s="25" t="s">
        <v>589</v>
      </c>
      <c r="G83" s="25" t="s">
        <v>54</v>
      </c>
      <c r="H83" s="25" t="s">
        <v>590</v>
      </c>
      <c r="I83" s="25" t="s">
        <v>591</v>
      </c>
      <c r="J83" s="19"/>
      <c r="K83" s="18">
        <v>8982708671</v>
      </c>
      <c r="L83" s="18"/>
      <c r="M83" s="25"/>
      <c r="N83" s="25"/>
      <c r="O83" s="18">
        <v>10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spans="1:28" ht="15.75" customHeight="1" x14ac:dyDescent="0.2">
      <c r="A84" s="18">
        <v>24</v>
      </c>
      <c r="B84" s="18" t="s">
        <v>50</v>
      </c>
      <c r="C84" s="18" t="s">
        <v>592</v>
      </c>
      <c r="D84" s="18" t="str">
        <f t="shared" si="0"/>
        <v>2401083</v>
      </c>
      <c r="E84" s="25" t="s">
        <v>593</v>
      </c>
      <c r="F84" s="25" t="s">
        <v>594</v>
      </c>
      <c r="G84" s="25" t="s">
        <v>54</v>
      </c>
      <c r="H84" s="25" t="s">
        <v>595</v>
      </c>
      <c r="I84" s="25" t="s">
        <v>596</v>
      </c>
      <c r="J84" s="19"/>
      <c r="K84" s="18">
        <v>81912607776</v>
      </c>
      <c r="L84" s="18"/>
      <c r="M84" s="25"/>
      <c r="N84" s="25" t="s">
        <v>597</v>
      </c>
      <c r="O84" s="18">
        <v>5</v>
      </c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spans="1:28" ht="15.75" customHeight="1" x14ac:dyDescent="0.2">
      <c r="A85" s="18">
        <v>24</v>
      </c>
      <c r="B85" s="18" t="s">
        <v>50</v>
      </c>
      <c r="C85" s="18" t="s">
        <v>598</v>
      </c>
      <c r="D85" s="18" t="str">
        <f t="shared" si="0"/>
        <v>2401084</v>
      </c>
      <c r="E85" s="25" t="s">
        <v>599</v>
      </c>
      <c r="F85" s="25" t="s">
        <v>600</v>
      </c>
      <c r="G85" s="25" t="s">
        <v>229</v>
      </c>
      <c r="H85" s="25" t="s">
        <v>601</v>
      </c>
      <c r="I85" s="25" t="s">
        <v>602</v>
      </c>
      <c r="J85" s="19" t="s">
        <v>603</v>
      </c>
      <c r="K85" s="18">
        <v>85745288156</v>
      </c>
      <c r="L85" s="18">
        <v>8133703343</v>
      </c>
      <c r="M85" s="25"/>
      <c r="N85" s="25" t="s">
        <v>604</v>
      </c>
      <c r="O85" s="18">
        <v>2</v>
      </c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spans="1:28" ht="15.75" customHeight="1" x14ac:dyDescent="0.2">
      <c r="A86" s="36">
        <v>24</v>
      </c>
      <c r="B86" s="36" t="s">
        <v>50</v>
      </c>
      <c r="C86" s="18" t="s">
        <v>605</v>
      </c>
      <c r="D86" s="36" t="str">
        <f t="shared" si="0"/>
        <v>2401085</v>
      </c>
      <c r="E86" s="25" t="s">
        <v>606</v>
      </c>
      <c r="F86" s="37" t="s">
        <v>607</v>
      </c>
      <c r="G86" s="37" t="s">
        <v>54</v>
      </c>
      <c r="H86" s="37" t="s">
        <v>608</v>
      </c>
      <c r="I86" s="37" t="s">
        <v>609</v>
      </c>
      <c r="J86" s="38"/>
      <c r="K86" s="36" t="s">
        <v>610</v>
      </c>
      <c r="L86" s="36"/>
      <c r="M86" s="37"/>
      <c r="N86" s="37" t="s">
        <v>611</v>
      </c>
      <c r="O86" s="36">
        <v>6</v>
      </c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40"/>
      <c r="AB86" s="40"/>
    </row>
    <row r="87" spans="1:28" ht="15.75" customHeight="1" x14ac:dyDescent="0.2">
      <c r="A87" s="36">
        <v>24</v>
      </c>
      <c r="B87" s="18" t="s">
        <v>50</v>
      </c>
      <c r="C87" s="18" t="s">
        <v>612</v>
      </c>
      <c r="D87" s="36" t="str">
        <f t="shared" si="0"/>
        <v>2401086</v>
      </c>
      <c r="E87" s="26" t="s">
        <v>613</v>
      </c>
      <c r="F87" s="26" t="s">
        <v>614</v>
      </c>
      <c r="G87" s="26" t="s">
        <v>229</v>
      </c>
      <c r="H87" s="26" t="s">
        <v>615</v>
      </c>
      <c r="I87" s="26" t="s">
        <v>616</v>
      </c>
      <c r="J87" s="19"/>
      <c r="K87" s="27">
        <v>882009795444</v>
      </c>
      <c r="L87" s="18"/>
      <c r="M87" s="25"/>
      <c r="N87" s="32" t="s">
        <v>617</v>
      </c>
      <c r="O87" s="27">
        <v>2</v>
      </c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spans="1:28" ht="15.75" customHeight="1" x14ac:dyDescent="0.2">
      <c r="A88" s="36">
        <v>24</v>
      </c>
      <c r="B88" s="18" t="s">
        <v>50</v>
      </c>
      <c r="C88" s="18" t="s">
        <v>618</v>
      </c>
      <c r="D88" s="36" t="str">
        <f t="shared" si="0"/>
        <v>2401087</v>
      </c>
      <c r="E88" s="26" t="s">
        <v>619</v>
      </c>
      <c r="F88" s="26" t="s">
        <v>620</v>
      </c>
      <c r="G88" s="26" t="s">
        <v>229</v>
      </c>
      <c r="H88" s="26" t="s">
        <v>621</v>
      </c>
      <c r="I88" s="26" t="s">
        <v>622</v>
      </c>
      <c r="J88" s="19"/>
      <c r="K88" s="27">
        <v>85546011016</v>
      </c>
      <c r="L88" s="18"/>
      <c r="M88" s="25"/>
      <c r="N88" s="32" t="s">
        <v>623</v>
      </c>
      <c r="O88" s="27">
        <v>1</v>
      </c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spans="1:28" ht="15.75" customHeight="1" x14ac:dyDescent="0.2">
      <c r="A89" s="36">
        <v>24</v>
      </c>
      <c r="B89" s="18" t="s">
        <v>50</v>
      </c>
      <c r="C89" s="18" t="s">
        <v>624</v>
      </c>
      <c r="D89" s="36" t="str">
        <f t="shared" si="0"/>
        <v>2401088</v>
      </c>
      <c r="E89" s="26" t="s">
        <v>625</v>
      </c>
      <c r="F89" s="26" t="s">
        <v>626</v>
      </c>
      <c r="G89" s="26" t="s">
        <v>229</v>
      </c>
      <c r="H89" s="32" t="s">
        <v>627</v>
      </c>
      <c r="I89" s="26" t="s">
        <v>628</v>
      </c>
      <c r="J89" s="19"/>
      <c r="K89" s="27">
        <v>881011077000</v>
      </c>
      <c r="L89" s="18"/>
      <c r="M89" s="25"/>
      <c r="N89" s="32" t="s">
        <v>629</v>
      </c>
      <c r="O89" s="27">
        <v>2</v>
      </c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spans="1:28" ht="15.75" customHeight="1" x14ac:dyDescent="0.2">
      <c r="A90" s="36">
        <v>24</v>
      </c>
      <c r="B90" s="18" t="s">
        <v>50</v>
      </c>
      <c r="C90" s="18" t="s">
        <v>630</v>
      </c>
      <c r="D90" s="36" t="str">
        <f t="shared" si="0"/>
        <v>2401089</v>
      </c>
      <c r="E90" s="26" t="s">
        <v>631</v>
      </c>
      <c r="F90" s="26" t="s">
        <v>632</v>
      </c>
      <c r="G90" s="26" t="s">
        <v>54</v>
      </c>
      <c r="H90" s="26" t="s">
        <v>633</v>
      </c>
      <c r="I90" s="26" t="s">
        <v>634</v>
      </c>
      <c r="J90" s="19"/>
      <c r="K90" s="27" t="s">
        <v>635</v>
      </c>
      <c r="L90" s="18"/>
      <c r="M90" s="25"/>
      <c r="N90" s="26"/>
      <c r="O90" s="27">
        <v>4</v>
      </c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spans="1:28" ht="15.75" customHeight="1" x14ac:dyDescent="0.2">
      <c r="A91" s="36">
        <v>24</v>
      </c>
      <c r="B91" s="18" t="s">
        <v>50</v>
      </c>
      <c r="C91" s="18" t="s">
        <v>636</v>
      </c>
      <c r="D91" s="36" t="str">
        <f t="shared" si="0"/>
        <v>2401090</v>
      </c>
      <c r="E91" s="26" t="s">
        <v>637</v>
      </c>
      <c r="F91" s="26" t="s">
        <v>638</v>
      </c>
      <c r="G91" s="26" t="s">
        <v>229</v>
      </c>
      <c r="H91" s="26" t="s">
        <v>639</v>
      </c>
      <c r="I91" s="26" t="s">
        <v>640</v>
      </c>
      <c r="J91" s="19"/>
      <c r="K91" s="27">
        <v>83851998589</v>
      </c>
      <c r="L91" s="18"/>
      <c r="M91" s="25"/>
      <c r="N91" s="32" t="s">
        <v>641</v>
      </c>
      <c r="O91" s="27">
        <v>5</v>
      </c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spans="1:28" ht="15.75" customHeight="1" x14ac:dyDescent="0.2">
      <c r="A92" s="18">
        <v>24</v>
      </c>
      <c r="B92" s="18" t="s">
        <v>50</v>
      </c>
      <c r="C92" s="18" t="s">
        <v>642</v>
      </c>
      <c r="D92" s="18" t="str">
        <f t="shared" si="0"/>
        <v>2401091</v>
      </c>
      <c r="E92" s="26" t="s">
        <v>643</v>
      </c>
      <c r="F92" s="26" t="s">
        <v>644</v>
      </c>
      <c r="G92" s="26" t="s">
        <v>229</v>
      </c>
      <c r="H92" s="26" t="s">
        <v>645</v>
      </c>
      <c r="I92" s="26" t="s">
        <v>646</v>
      </c>
      <c r="J92" s="19"/>
      <c r="K92" s="27">
        <v>82132175857</v>
      </c>
      <c r="L92" s="18"/>
      <c r="M92" s="25"/>
      <c r="N92" s="32" t="s">
        <v>647</v>
      </c>
      <c r="O92" s="27">
        <v>20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spans="1:28" ht="15.75" customHeight="1" x14ac:dyDescent="0.2">
      <c r="A93" s="36">
        <v>24</v>
      </c>
      <c r="B93" s="18" t="s">
        <v>50</v>
      </c>
      <c r="C93" s="18" t="s">
        <v>648</v>
      </c>
      <c r="D93" s="36" t="str">
        <f t="shared" si="0"/>
        <v>2401092</v>
      </c>
      <c r="E93" s="26" t="s">
        <v>649</v>
      </c>
      <c r="F93" s="26" t="s">
        <v>650</v>
      </c>
      <c r="G93" s="26" t="s">
        <v>229</v>
      </c>
      <c r="H93" s="26" t="s">
        <v>651</v>
      </c>
      <c r="I93" s="26" t="s">
        <v>652</v>
      </c>
      <c r="J93" s="19"/>
      <c r="K93" s="27">
        <v>85738947209</v>
      </c>
      <c r="L93" s="18"/>
      <c r="M93" s="25"/>
      <c r="N93" s="26" t="s">
        <v>653</v>
      </c>
      <c r="O93" s="27">
        <v>10</v>
      </c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spans="1:28" ht="15.75" customHeight="1" x14ac:dyDescent="0.2">
      <c r="A94" s="36">
        <v>24</v>
      </c>
      <c r="B94" s="18" t="s">
        <v>50</v>
      </c>
      <c r="C94" s="18" t="s">
        <v>654</v>
      </c>
      <c r="D94" s="36" t="str">
        <f t="shared" si="0"/>
        <v>2401093</v>
      </c>
      <c r="E94" s="26" t="s">
        <v>655</v>
      </c>
      <c r="F94" s="26" t="s">
        <v>632</v>
      </c>
      <c r="G94" s="26" t="s">
        <v>54</v>
      </c>
      <c r="H94" s="26" t="s">
        <v>656</v>
      </c>
      <c r="I94" s="26" t="s">
        <v>657</v>
      </c>
      <c r="J94" s="19"/>
      <c r="K94" s="27">
        <v>87760993318</v>
      </c>
      <c r="L94" s="18"/>
      <c r="M94" s="25"/>
      <c r="N94" s="41">
        <v>65137</v>
      </c>
      <c r="O94" s="27">
        <v>5</v>
      </c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spans="1:28" ht="15.75" customHeight="1" x14ac:dyDescent="0.2">
      <c r="A95" s="36">
        <v>24</v>
      </c>
      <c r="B95" s="18" t="s">
        <v>50</v>
      </c>
      <c r="C95" s="18" t="s">
        <v>658</v>
      </c>
      <c r="D95" s="36" t="str">
        <f t="shared" si="0"/>
        <v>2401094</v>
      </c>
      <c r="E95" s="26" t="s">
        <v>659</v>
      </c>
      <c r="F95" s="26" t="s">
        <v>660</v>
      </c>
      <c r="G95" s="26" t="s">
        <v>229</v>
      </c>
      <c r="H95" s="26" t="s">
        <v>661</v>
      </c>
      <c r="I95" s="26" t="s">
        <v>662</v>
      </c>
      <c r="J95" s="19"/>
      <c r="K95" s="27">
        <v>84833737038</v>
      </c>
      <c r="L95" s="18"/>
      <c r="M95" s="25"/>
      <c r="N95" s="26" t="s">
        <v>663</v>
      </c>
      <c r="O95" s="27">
        <v>10</v>
      </c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spans="1:28" ht="15.75" customHeight="1" x14ac:dyDescent="0.2">
      <c r="A96" s="18">
        <v>24</v>
      </c>
      <c r="B96" s="18" t="s">
        <v>50</v>
      </c>
      <c r="C96" s="18" t="s">
        <v>664</v>
      </c>
      <c r="D96" s="18" t="str">
        <f t="shared" si="0"/>
        <v>2401095</v>
      </c>
      <c r="E96" s="26" t="s">
        <v>665</v>
      </c>
      <c r="F96" s="26" t="s">
        <v>666</v>
      </c>
      <c r="G96" s="26" t="s">
        <v>229</v>
      </c>
      <c r="H96" s="26" t="s">
        <v>667</v>
      </c>
      <c r="I96" s="26" t="s">
        <v>668</v>
      </c>
      <c r="J96" s="19"/>
      <c r="K96" s="27">
        <v>81230109050</v>
      </c>
      <c r="L96" s="18"/>
      <c r="M96" s="25"/>
      <c r="N96" s="32" t="s">
        <v>669</v>
      </c>
      <c r="O96" s="27">
        <v>5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spans="1:28" ht="15.75" customHeight="1" x14ac:dyDescent="0.2">
      <c r="A97" s="36">
        <v>24</v>
      </c>
      <c r="B97" s="18" t="s">
        <v>50</v>
      </c>
      <c r="C97" s="18" t="s">
        <v>670</v>
      </c>
      <c r="D97" s="36" t="str">
        <f t="shared" si="0"/>
        <v>2401096</v>
      </c>
      <c r="E97" s="26" t="s">
        <v>671</v>
      </c>
      <c r="F97" s="26" t="s">
        <v>672</v>
      </c>
      <c r="G97" s="26" t="s">
        <v>229</v>
      </c>
      <c r="H97" s="26" t="s">
        <v>673</v>
      </c>
      <c r="I97" s="26" t="s">
        <v>674</v>
      </c>
      <c r="J97" s="19"/>
      <c r="K97" s="27">
        <v>85806466039</v>
      </c>
      <c r="L97" s="18"/>
      <c r="M97" s="25"/>
      <c r="N97" s="32" t="s">
        <v>675</v>
      </c>
      <c r="O97" s="27">
        <v>4</v>
      </c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spans="1:28" ht="15.75" customHeight="1" x14ac:dyDescent="0.2">
      <c r="A98" s="36">
        <v>24</v>
      </c>
      <c r="B98" s="18" t="s">
        <v>50</v>
      </c>
      <c r="C98" s="18" t="s">
        <v>676</v>
      </c>
      <c r="D98" s="36" t="str">
        <f t="shared" si="0"/>
        <v>2401097</v>
      </c>
      <c r="E98" s="26" t="s">
        <v>677</v>
      </c>
      <c r="F98" s="26" t="s">
        <v>678</v>
      </c>
      <c r="G98" s="26" t="s">
        <v>54</v>
      </c>
      <c r="H98" s="26" t="s">
        <v>679</v>
      </c>
      <c r="I98" s="26" t="s">
        <v>680</v>
      </c>
      <c r="J98" s="19"/>
      <c r="K98" s="27">
        <v>82311005186</v>
      </c>
      <c r="L98" s="18"/>
      <c r="M98" s="25"/>
      <c r="N98" s="32" t="s">
        <v>681</v>
      </c>
      <c r="O98" s="27">
        <v>25</v>
      </c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spans="1:28" ht="15.75" customHeight="1" x14ac:dyDescent="0.2">
      <c r="A99" s="18">
        <v>24</v>
      </c>
      <c r="B99" s="18" t="s">
        <v>50</v>
      </c>
      <c r="C99" s="18" t="s">
        <v>682</v>
      </c>
      <c r="D99" s="36" t="str">
        <f t="shared" si="0"/>
        <v>2401098</v>
      </c>
      <c r="E99" s="20" t="s">
        <v>683</v>
      </c>
      <c r="F99" s="20" t="s">
        <v>684</v>
      </c>
      <c r="G99" s="20" t="s">
        <v>229</v>
      </c>
      <c r="H99" s="20" t="s">
        <v>685</v>
      </c>
      <c r="I99" s="20" t="s">
        <v>686</v>
      </c>
      <c r="J99" s="28"/>
      <c r="K99" s="24" t="s">
        <v>687</v>
      </c>
      <c r="L99" s="21"/>
      <c r="M99" s="42"/>
      <c r="N99" s="20" t="s">
        <v>688</v>
      </c>
      <c r="O99" s="21">
        <v>3</v>
      </c>
      <c r="R99" s="43"/>
      <c r="T99" s="44"/>
      <c r="V99" s="43"/>
      <c r="W99" s="43"/>
      <c r="X99" s="43"/>
      <c r="Y99" s="43"/>
      <c r="Z99" s="43"/>
      <c r="AA99" s="43"/>
      <c r="AB99" s="43"/>
    </row>
    <row r="100" spans="1:28" ht="15.75" customHeight="1" x14ac:dyDescent="0.2">
      <c r="A100" s="18">
        <v>25</v>
      </c>
      <c r="B100" s="18" t="s">
        <v>50</v>
      </c>
      <c r="C100" s="18" t="s">
        <v>689</v>
      </c>
      <c r="D100" s="36" t="str">
        <f t="shared" si="0"/>
        <v>2501099</v>
      </c>
      <c r="E100" s="20" t="s">
        <v>690</v>
      </c>
      <c r="F100" s="20" t="s">
        <v>691</v>
      </c>
      <c r="G100" s="20" t="s">
        <v>229</v>
      </c>
      <c r="H100" s="20" t="s">
        <v>692</v>
      </c>
      <c r="I100" s="20" t="s">
        <v>693</v>
      </c>
      <c r="J100" s="28"/>
      <c r="K100" s="24" t="s">
        <v>694</v>
      </c>
      <c r="L100" s="21"/>
      <c r="M100" s="20"/>
      <c r="N100" s="20"/>
      <c r="O100" s="21"/>
      <c r="R100" s="43"/>
      <c r="T100" s="44"/>
      <c r="U100" s="43"/>
      <c r="V100" s="43"/>
      <c r="W100" s="43"/>
      <c r="X100" s="43"/>
      <c r="Y100" s="43"/>
      <c r="Z100" s="43"/>
      <c r="AA100" s="43"/>
      <c r="AB100" s="43"/>
    </row>
    <row r="101" spans="1:28" ht="15.75" customHeight="1" x14ac:dyDescent="0.2">
      <c r="A101" s="18">
        <v>25</v>
      </c>
      <c r="B101" s="18" t="s">
        <v>50</v>
      </c>
      <c r="C101" s="18" t="s">
        <v>695</v>
      </c>
      <c r="D101" s="36" t="str">
        <f t="shared" si="0"/>
        <v>2501100</v>
      </c>
      <c r="E101" s="20" t="s">
        <v>696</v>
      </c>
      <c r="F101" s="20" t="s">
        <v>697</v>
      </c>
      <c r="G101" s="20" t="s">
        <v>229</v>
      </c>
      <c r="H101" s="20" t="s">
        <v>698</v>
      </c>
      <c r="I101" s="20" t="s">
        <v>699</v>
      </c>
      <c r="J101" s="20"/>
      <c r="K101" s="24" t="s">
        <v>700</v>
      </c>
      <c r="L101" s="20"/>
      <c r="M101" s="20"/>
      <c r="N101" s="20"/>
      <c r="O101" s="21">
        <v>5</v>
      </c>
      <c r="P101" s="1"/>
      <c r="Q101" s="1"/>
      <c r="R101" s="45"/>
      <c r="S101" s="1"/>
      <c r="T101" s="45"/>
      <c r="U101" s="45"/>
      <c r="V101" s="45"/>
      <c r="W101" s="45"/>
      <c r="X101" s="45"/>
      <c r="Y101" s="45"/>
      <c r="Z101" s="45"/>
      <c r="AA101" s="45"/>
      <c r="AB101" s="45"/>
    </row>
    <row r="102" spans="1:28" ht="15.75" customHeight="1" x14ac:dyDescent="0.2">
      <c r="A102" s="18">
        <v>25</v>
      </c>
      <c r="B102" s="18" t="s">
        <v>50</v>
      </c>
      <c r="C102" s="18" t="s">
        <v>701</v>
      </c>
      <c r="D102" s="36" t="str">
        <f t="shared" si="0"/>
        <v>2501101</v>
      </c>
      <c r="E102" s="20" t="s">
        <v>702</v>
      </c>
      <c r="F102" s="20" t="s">
        <v>703</v>
      </c>
      <c r="G102" s="20" t="s">
        <v>229</v>
      </c>
      <c r="H102" s="20" t="s">
        <v>704</v>
      </c>
      <c r="I102" s="20" t="s">
        <v>705</v>
      </c>
      <c r="J102" s="20"/>
      <c r="K102" s="24" t="s">
        <v>706</v>
      </c>
      <c r="L102" s="20"/>
      <c r="M102" s="20"/>
      <c r="N102" s="20"/>
      <c r="O102" s="21">
        <v>3</v>
      </c>
      <c r="P102" s="1"/>
      <c r="Q102" s="1"/>
      <c r="R102" s="45"/>
      <c r="S102" s="1"/>
      <c r="T102" s="45"/>
      <c r="U102" s="45"/>
      <c r="V102" s="45"/>
      <c r="W102" s="45"/>
      <c r="X102" s="45"/>
      <c r="Y102" s="45"/>
      <c r="Z102" s="45"/>
      <c r="AA102" s="45"/>
      <c r="AB102" s="45"/>
    </row>
    <row r="103" spans="1:28" ht="15.75" customHeight="1" x14ac:dyDescent="0.2">
      <c r="A103" s="46">
        <v>25</v>
      </c>
      <c r="B103" s="46" t="s">
        <v>50</v>
      </c>
      <c r="C103" s="46" t="s">
        <v>707</v>
      </c>
      <c r="D103" s="46" t="str">
        <f t="shared" si="0"/>
        <v>2501102</v>
      </c>
      <c r="E103" s="47" t="s">
        <v>708</v>
      </c>
      <c r="F103" s="47" t="s">
        <v>709</v>
      </c>
      <c r="G103" s="47" t="s">
        <v>229</v>
      </c>
      <c r="H103" s="47" t="s">
        <v>710</v>
      </c>
      <c r="I103" s="47" t="s">
        <v>711</v>
      </c>
      <c r="J103" s="47"/>
      <c r="K103" s="48" t="s">
        <v>712</v>
      </c>
      <c r="L103" s="47"/>
      <c r="M103" s="47"/>
      <c r="N103" s="47" t="s">
        <v>713</v>
      </c>
      <c r="O103" s="49">
        <v>3</v>
      </c>
      <c r="P103" s="50"/>
      <c r="Q103" s="50"/>
      <c r="R103" s="51"/>
      <c r="S103" s="50"/>
      <c r="T103" s="52"/>
      <c r="U103" s="50"/>
      <c r="V103" s="51"/>
      <c r="W103" s="51"/>
      <c r="X103" s="51"/>
      <c r="Y103" s="51"/>
      <c r="Z103" s="51"/>
      <c r="AA103" s="51"/>
      <c r="AB103" s="51"/>
    </row>
    <row r="104" spans="1:28" ht="15.75" customHeight="1" x14ac:dyDescent="0.2">
      <c r="A104" s="18">
        <v>25</v>
      </c>
      <c r="B104" s="18" t="s">
        <v>50</v>
      </c>
      <c r="C104" s="18" t="s">
        <v>714</v>
      </c>
      <c r="D104" s="36" t="str">
        <f t="shared" si="0"/>
        <v>2501103</v>
      </c>
      <c r="E104" s="20" t="s">
        <v>715</v>
      </c>
      <c r="F104" s="20" t="s">
        <v>716</v>
      </c>
      <c r="G104" s="20" t="s">
        <v>229</v>
      </c>
      <c r="H104" s="20" t="s">
        <v>717</v>
      </c>
      <c r="I104" s="20" t="s">
        <v>718</v>
      </c>
      <c r="J104" s="20"/>
      <c r="K104" s="24" t="s">
        <v>719</v>
      </c>
      <c r="L104" s="20"/>
      <c r="M104" s="20"/>
      <c r="N104" s="20" t="s">
        <v>720</v>
      </c>
      <c r="O104" s="21">
        <v>8</v>
      </c>
      <c r="P104" s="1"/>
      <c r="Q104" s="1"/>
      <c r="R104" s="45"/>
      <c r="S104" s="1"/>
      <c r="T104" s="45"/>
      <c r="U104" s="1"/>
      <c r="V104" s="45"/>
      <c r="W104" s="45"/>
      <c r="X104" s="45"/>
      <c r="Y104" s="45"/>
      <c r="Z104" s="45"/>
      <c r="AA104" s="45"/>
      <c r="AB104" s="53"/>
    </row>
    <row r="105" spans="1:28" ht="15.75" customHeight="1" x14ac:dyDescent="0.2">
      <c r="A105" s="18">
        <v>25</v>
      </c>
      <c r="B105" s="18" t="s">
        <v>50</v>
      </c>
      <c r="C105" s="18" t="s">
        <v>721</v>
      </c>
      <c r="D105" s="36" t="str">
        <f t="shared" si="0"/>
        <v>2501104</v>
      </c>
      <c r="E105" s="20" t="s">
        <v>722</v>
      </c>
      <c r="F105" s="20" t="s">
        <v>723</v>
      </c>
      <c r="G105" s="20" t="s">
        <v>229</v>
      </c>
      <c r="H105" s="20" t="s">
        <v>724</v>
      </c>
      <c r="I105" s="20" t="s">
        <v>725</v>
      </c>
      <c r="J105" s="20"/>
      <c r="K105" s="21" t="s">
        <v>726</v>
      </c>
      <c r="L105" s="20"/>
      <c r="M105" s="20"/>
      <c r="N105" s="20"/>
      <c r="O105" s="21">
        <v>5</v>
      </c>
      <c r="P105" s="1"/>
      <c r="Q105" s="1"/>
      <c r="R105" s="45"/>
      <c r="S105" s="1"/>
      <c r="T105" s="45"/>
      <c r="U105" s="1"/>
      <c r="V105" s="45"/>
      <c r="W105" s="45"/>
      <c r="X105" s="45"/>
      <c r="Y105" s="45"/>
      <c r="Z105" s="45"/>
      <c r="AA105" s="45"/>
      <c r="AB105" s="53"/>
    </row>
    <row r="106" spans="1:28" ht="15.75" customHeight="1" x14ac:dyDescent="0.2">
      <c r="A106" s="18">
        <v>25</v>
      </c>
      <c r="B106" s="18" t="s">
        <v>50</v>
      </c>
      <c r="C106" s="18" t="s">
        <v>727</v>
      </c>
      <c r="D106" s="36" t="str">
        <f t="shared" si="0"/>
        <v>2501105</v>
      </c>
      <c r="E106" s="20" t="s">
        <v>728</v>
      </c>
      <c r="F106" s="20" t="s">
        <v>729</v>
      </c>
      <c r="G106" s="20" t="s">
        <v>229</v>
      </c>
      <c r="H106" s="20" t="s">
        <v>730</v>
      </c>
      <c r="I106" s="20" t="s">
        <v>731</v>
      </c>
      <c r="J106" s="20"/>
      <c r="K106" s="24" t="s">
        <v>732</v>
      </c>
      <c r="L106" s="20"/>
      <c r="M106" s="20"/>
      <c r="N106" s="54" t="s">
        <v>733</v>
      </c>
      <c r="O106" s="21">
        <v>3</v>
      </c>
      <c r="P106" s="43"/>
      <c r="R106" s="44"/>
      <c r="T106" s="43"/>
      <c r="U106" s="43"/>
      <c r="V106" s="43"/>
      <c r="W106" s="43"/>
      <c r="X106" s="43"/>
      <c r="Y106" s="43"/>
      <c r="Z106" s="23"/>
      <c r="AA106" s="23"/>
      <c r="AB106" s="23"/>
    </row>
    <row r="107" spans="1:28" ht="15.75" customHeight="1" x14ac:dyDescent="0.2">
      <c r="A107" s="18">
        <v>25</v>
      </c>
      <c r="B107" s="18" t="s">
        <v>734</v>
      </c>
      <c r="C107" s="18" t="s">
        <v>735</v>
      </c>
      <c r="D107" s="36" t="str">
        <f t="shared" si="0"/>
        <v>2502106</v>
      </c>
      <c r="E107" s="43" t="s">
        <v>736</v>
      </c>
      <c r="F107" s="43" t="s">
        <v>737</v>
      </c>
      <c r="G107" s="43" t="s">
        <v>229</v>
      </c>
      <c r="H107" s="43" t="s">
        <v>738</v>
      </c>
      <c r="I107" s="43" t="s">
        <v>736</v>
      </c>
      <c r="J107" s="43" t="s">
        <v>736</v>
      </c>
      <c r="K107" s="43" t="s">
        <v>739</v>
      </c>
      <c r="L107" s="43"/>
      <c r="M107" s="43"/>
      <c r="N107" s="43" t="s">
        <v>740</v>
      </c>
      <c r="O107" s="43"/>
      <c r="P107" s="44">
        <v>7</v>
      </c>
      <c r="Q107" s="43" t="s">
        <v>741</v>
      </c>
      <c r="R107" s="43" t="s">
        <v>742</v>
      </c>
      <c r="S107" s="55" t="s">
        <v>743</v>
      </c>
      <c r="T107" s="44">
        <v>0</v>
      </c>
      <c r="U107" s="43" t="s">
        <v>744</v>
      </c>
      <c r="V107" s="43"/>
      <c r="W107" s="43"/>
      <c r="X107" s="43"/>
      <c r="Y107" s="43"/>
      <c r="Z107" s="43"/>
      <c r="AA107" s="43"/>
      <c r="AB107" s="23"/>
    </row>
    <row r="108" spans="1:28" ht="15.75" customHeight="1" x14ac:dyDescent="0.2">
      <c r="A108" s="18">
        <v>25</v>
      </c>
      <c r="B108" s="18" t="s">
        <v>745</v>
      </c>
      <c r="C108" s="18" t="s">
        <v>746</v>
      </c>
      <c r="D108" s="36" t="str">
        <f t="shared" si="0"/>
        <v>2503107</v>
      </c>
      <c r="E108" s="43" t="s">
        <v>747</v>
      </c>
      <c r="F108" s="43" t="s">
        <v>748</v>
      </c>
      <c r="G108" s="43" t="s">
        <v>229</v>
      </c>
      <c r="H108" s="43" t="s">
        <v>749</v>
      </c>
      <c r="I108" s="43" t="s">
        <v>663</v>
      </c>
      <c r="J108" s="43" t="s">
        <v>663</v>
      </c>
      <c r="K108" s="43" t="s">
        <v>750</v>
      </c>
      <c r="L108" s="43" t="s">
        <v>663</v>
      </c>
      <c r="M108" s="43" t="s">
        <v>663</v>
      </c>
      <c r="N108" s="43" t="s">
        <v>663</v>
      </c>
      <c r="O108" s="43" t="s">
        <v>663</v>
      </c>
      <c r="P108" s="44">
        <v>4</v>
      </c>
      <c r="Q108" s="43" t="s">
        <v>751</v>
      </c>
      <c r="R108" s="43" t="s">
        <v>752</v>
      </c>
      <c r="S108" s="44">
        <v>89653739381</v>
      </c>
      <c r="T108" s="44">
        <v>0</v>
      </c>
      <c r="U108" s="43" t="s">
        <v>753</v>
      </c>
      <c r="V108" s="43"/>
      <c r="W108" s="43"/>
      <c r="X108" s="43"/>
      <c r="Y108" s="43"/>
      <c r="Z108" s="43"/>
      <c r="AA108" s="43"/>
      <c r="AB108" s="23"/>
    </row>
    <row r="109" spans="1:28" ht="15.75" customHeight="1" x14ac:dyDescent="0.2">
      <c r="A109" s="18">
        <v>25</v>
      </c>
      <c r="B109" s="18" t="s">
        <v>754</v>
      </c>
      <c r="C109" s="18" t="s">
        <v>755</v>
      </c>
      <c r="D109" s="36" t="str">
        <f t="shared" si="0"/>
        <v>2504108</v>
      </c>
      <c r="E109" s="43" t="s">
        <v>756</v>
      </c>
      <c r="F109" s="43" t="s">
        <v>757</v>
      </c>
      <c r="G109" s="43" t="s">
        <v>229</v>
      </c>
      <c r="H109" s="43" t="s">
        <v>758</v>
      </c>
      <c r="I109" s="43" t="s">
        <v>759</v>
      </c>
      <c r="J109" s="43" t="s">
        <v>759</v>
      </c>
      <c r="K109" s="43" t="s">
        <v>759</v>
      </c>
      <c r="L109" s="43" t="s">
        <v>759</v>
      </c>
      <c r="M109" s="43" t="s">
        <v>759</v>
      </c>
      <c r="N109" s="43" t="s">
        <v>759</v>
      </c>
      <c r="O109" s="43" t="s">
        <v>759</v>
      </c>
      <c r="P109" s="44">
        <v>5</v>
      </c>
      <c r="Q109" s="43" t="s">
        <v>760</v>
      </c>
      <c r="R109" s="43" t="s">
        <v>742</v>
      </c>
      <c r="S109" s="55" t="s">
        <v>761</v>
      </c>
      <c r="T109" s="43" t="s">
        <v>762</v>
      </c>
      <c r="U109" s="43"/>
      <c r="V109" s="43"/>
      <c r="W109" s="43"/>
      <c r="X109" s="43"/>
      <c r="Y109" s="43"/>
      <c r="Z109" s="43"/>
      <c r="AA109" s="43"/>
      <c r="AB109" s="23"/>
    </row>
    <row r="110" spans="1:28" ht="15.75" customHeight="1" x14ac:dyDescent="0.2">
      <c r="A110" s="18">
        <v>25</v>
      </c>
      <c r="B110" s="18" t="s">
        <v>763</v>
      </c>
      <c r="C110" s="18" t="s">
        <v>764</v>
      </c>
      <c r="D110" s="36" t="str">
        <f t="shared" si="0"/>
        <v>2505109</v>
      </c>
      <c r="E110" s="43" t="s">
        <v>765</v>
      </c>
      <c r="F110" s="43" t="s">
        <v>766</v>
      </c>
      <c r="G110" s="43" t="s">
        <v>229</v>
      </c>
      <c r="H110" s="43" t="s">
        <v>767</v>
      </c>
      <c r="I110" s="43" t="s">
        <v>768</v>
      </c>
      <c r="J110" s="43" t="s">
        <v>769</v>
      </c>
      <c r="K110" s="43" t="s">
        <v>770</v>
      </c>
      <c r="L110" s="43" t="s">
        <v>663</v>
      </c>
      <c r="M110" s="43" t="s">
        <v>663</v>
      </c>
      <c r="N110" s="43" t="s">
        <v>768</v>
      </c>
      <c r="O110" s="43" t="s">
        <v>663</v>
      </c>
      <c r="P110" s="44">
        <v>4</v>
      </c>
      <c r="Q110" s="43" t="s">
        <v>771</v>
      </c>
      <c r="R110" s="43" t="s">
        <v>772</v>
      </c>
      <c r="S110" s="44">
        <v>82233919118</v>
      </c>
      <c r="T110" s="44">
        <v>0</v>
      </c>
      <c r="U110" s="43" t="s">
        <v>773</v>
      </c>
      <c r="V110" s="43"/>
      <c r="W110" s="43"/>
      <c r="X110" s="43"/>
      <c r="Y110" s="43"/>
      <c r="Z110" s="43"/>
      <c r="AA110" s="43"/>
      <c r="AB110" s="23"/>
    </row>
    <row r="111" spans="1:28" ht="15.75" customHeight="1" x14ac:dyDescent="0.2">
      <c r="A111" s="18">
        <v>25</v>
      </c>
      <c r="B111" s="18" t="s">
        <v>774</v>
      </c>
      <c r="C111" s="18" t="s">
        <v>775</v>
      </c>
      <c r="D111" s="36" t="str">
        <f t="shared" si="0"/>
        <v>2506110</v>
      </c>
      <c r="E111" s="43" t="s">
        <v>776</v>
      </c>
      <c r="F111" s="43" t="s">
        <v>777</v>
      </c>
      <c r="G111" s="43" t="s">
        <v>229</v>
      </c>
      <c r="H111" s="43" t="s">
        <v>778</v>
      </c>
      <c r="I111" s="43" t="s">
        <v>779</v>
      </c>
      <c r="J111" s="43" t="s">
        <v>780</v>
      </c>
      <c r="K111" s="43" t="s">
        <v>780</v>
      </c>
      <c r="L111" s="43" t="s">
        <v>781</v>
      </c>
      <c r="M111" s="43" t="s">
        <v>781</v>
      </c>
      <c r="N111" s="43" t="s">
        <v>782</v>
      </c>
      <c r="O111" s="43" t="s">
        <v>783</v>
      </c>
      <c r="P111" s="44">
        <v>5</v>
      </c>
      <c r="Q111" s="43" t="s">
        <v>784</v>
      </c>
      <c r="R111" s="43" t="s">
        <v>785</v>
      </c>
      <c r="S111" s="55" t="s">
        <v>786</v>
      </c>
      <c r="T111" s="44">
        <v>0</v>
      </c>
      <c r="U111" s="43" t="s">
        <v>787</v>
      </c>
      <c r="V111" s="43"/>
      <c r="W111" s="43"/>
      <c r="X111" s="43"/>
      <c r="Y111" s="43"/>
      <c r="Z111" s="43"/>
      <c r="AA111" s="43"/>
      <c r="AB111" s="23"/>
    </row>
    <row r="112" spans="1:28" ht="15.75" customHeight="1" x14ac:dyDescent="0.2">
      <c r="A112" s="18">
        <v>25</v>
      </c>
      <c r="B112" s="18" t="s">
        <v>788</v>
      </c>
      <c r="C112" s="18" t="s">
        <v>789</v>
      </c>
      <c r="D112" s="36" t="str">
        <f t="shared" si="0"/>
        <v>2507111</v>
      </c>
      <c r="E112" s="43" t="s">
        <v>790</v>
      </c>
      <c r="F112" s="43" t="s">
        <v>791</v>
      </c>
      <c r="G112" s="43" t="s">
        <v>54</v>
      </c>
      <c r="H112" s="43" t="s">
        <v>792</v>
      </c>
      <c r="I112" s="43" t="s">
        <v>793</v>
      </c>
      <c r="J112" s="43" t="s">
        <v>794</v>
      </c>
      <c r="K112" s="43" t="s">
        <v>795</v>
      </c>
      <c r="L112" s="43" t="s">
        <v>762</v>
      </c>
      <c r="M112" s="43" t="s">
        <v>762</v>
      </c>
      <c r="N112" s="43" t="s">
        <v>762</v>
      </c>
      <c r="O112" s="43" t="s">
        <v>796</v>
      </c>
      <c r="P112" s="44">
        <v>4</v>
      </c>
      <c r="Q112" s="43" t="s">
        <v>797</v>
      </c>
      <c r="R112" s="43" t="s">
        <v>785</v>
      </c>
      <c r="S112" s="55" t="s">
        <v>798</v>
      </c>
      <c r="T112" s="43" t="s">
        <v>762</v>
      </c>
      <c r="U112" s="43" t="s">
        <v>799</v>
      </c>
      <c r="V112" s="43"/>
      <c r="W112" s="43"/>
      <c r="X112" s="43"/>
      <c r="Y112" s="43"/>
      <c r="Z112" s="43"/>
      <c r="AA112" s="43"/>
      <c r="AB112" s="23"/>
    </row>
    <row r="113" spans="1:28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57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spans="1:28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57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spans="1:28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57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spans="1:28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57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spans="1:28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57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spans="1:28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57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spans="1:28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57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spans="1:28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57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spans="1:28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57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spans="1:28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57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spans="1:28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57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spans="1:28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57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spans="1:28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57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spans="1:28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57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spans="1:28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57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spans="1:28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57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spans="1:28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57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spans="1:28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57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spans="1:28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57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spans="1:28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57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spans="1:28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57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spans="1:28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57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spans="1:28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57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spans="1:28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57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spans="1:28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57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spans="1:28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57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spans="1:28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57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spans="1:28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57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spans="1:28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57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spans="1:28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57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spans="1:28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57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spans="1:28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57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spans="1:28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57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spans="1:28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57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spans="1:28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57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spans="1:28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57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spans="1:28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57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spans="1:28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57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spans="1:28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57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spans="1:28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57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spans="1:28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57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spans="1:28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57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spans="1:28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57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spans="1:28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57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spans="1:28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57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spans="1:28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57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spans="1:28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57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spans="1:28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57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spans="1:28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57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spans="1:28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57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spans="1:28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57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spans="1:28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57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spans="1:28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57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spans="1:28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57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spans="1:28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57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spans="1:28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57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spans="1:28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57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spans="1:28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57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spans="1:28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57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spans="1:28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57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spans="1:28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57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spans="1:28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57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spans="1:28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57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spans="1:28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57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spans="1:28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57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spans="1:28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57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spans="1:28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57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spans="1:28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57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spans="1:28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57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spans="1:28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57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spans="1:28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57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spans="1:28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57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spans="1:28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57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spans="1:28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57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spans="1:28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57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spans="1:28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57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spans="1:28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57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spans="1:28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57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spans="1:28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57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spans="1:28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57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spans="1:28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57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spans="1:28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57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spans="1:28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57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spans="1:28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57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spans="1:28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57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spans="1:28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57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spans="1:28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57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spans="1:28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57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spans="1:28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57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spans="1:28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57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spans="1:28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57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spans="1:28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57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spans="1:28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57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spans="1:28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57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spans="1:28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57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spans="1:28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57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spans="1:28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57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spans="1:28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57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spans="1:28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57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spans="1:28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57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spans="1:28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57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spans="1:28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57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spans="1:28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57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spans="1:28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57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spans="1:28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57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spans="1:28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57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spans="1:28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57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spans="1:28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57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spans="1:28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57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 spans="1:28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57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 spans="1:28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57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 spans="1:28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57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spans="1:28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57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 spans="1:28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57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 spans="1:28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57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 spans="1:28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57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 spans="1:28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57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 spans="1:28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57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 spans="1:28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57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 spans="1:28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57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 spans="1:28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57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 spans="1:28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57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spans="1:28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57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 spans="1:28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57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 spans="1:28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57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 spans="1:28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57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 spans="1:28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57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 spans="1:28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57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 spans="1:28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57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 spans="1:28" ht="15.75" customHeight="1" x14ac:dyDescent="0.15">
      <c r="A242" s="56"/>
      <c r="B242" s="56"/>
      <c r="C242" s="23"/>
      <c r="D242" s="23"/>
      <c r="E242" s="23"/>
      <c r="F242" s="23"/>
      <c r="G242" s="23"/>
      <c r="H242" s="23"/>
      <c r="I242" s="23"/>
      <c r="J242" s="57"/>
      <c r="K242" s="56"/>
      <c r="L242" s="56"/>
      <c r="M242" s="23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 spans="1:28" ht="15.75" customHeight="1" x14ac:dyDescent="0.15">
      <c r="A243" s="56"/>
      <c r="B243" s="56"/>
      <c r="C243" s="23"/>
      <c r="D243" s="23"/>
      <c r="E243" s="23"/>
      <c r="F243" s="23"/>
      <c r="G243" s="23"/>
      <c r="H243" s="23"/>
      <c r="I243" s="23"/>
      <c r="J243" s="57"/>
      <c r="K243" s="56"/>
      <c r="L243" s="56"/>
      <c r="M243" s="23"/>
      <c r="N243" s="23"/>
      <c r="O243" s="56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 spans="1:28" ht="15.75" customHeight="1" x14ac:dyDescent="0.15">
      <c r="A244" s="56"/>
      <c r="B244" s="56"/>
      <c r="C244" s="23"/>
      <c r="D244" s="23"/>
      <c r="E244" s="23"/>
      <c r="F244" s="23"/>
      <c r="G244" s="23"/>
      <c r="H244" s="23"/>
      <c r="I244" s="23"/>
      <c r="J244" s="57"/>
      <c r="K244" s="56"/>
      <c r="L244" s="56"/>
      <c r="M244" s="23"/>
      <c r="N244" s="23"/>
      <c r="O244" s="5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spans="1:28" ht="15.75" customHeight="1" x14ac:dyDescent="0.15">
      <c r="A245" s="56"/>
      <c r="B245" s="56"/>
      <c r="C245" s="23"/>
      <c r="D245" s="23"/>
      <c r="E245" s="23"/>
      <c r="F245" s="23"/>
      <c r="G245" s="23"/>
      <c r="H245" s="23"/>
      <c r="I245" s="23"/>
      <c r="J245" s="57"/>
      <c r="K245" s="56"/>
      <c r="L245" s="56"/>
      <c r="M245" s="23"/>
      <c r="N245" s="23"/>
      <c r="O245" s="56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 spans="1:28" ht="15.75" customHeight="1" x14ac:dyDescent="0.15">
      <c r="A246" s="56"/>
      <c r="B246" s="56"/>
      <c r="C246" s="23"/>
      <c r="D246" s="23"/>
      <c r="E246" s="23"/>
      <c r="F246" s="23"/>
      <c r="G246" s="23"/>
      <c r="H246" s="23"/>
      <c r="I246" s="23"/>
      <c r="J246" s="57"/>
      <c r="K246" s="56"/>
      <c r="L246" s="56"/>
      <c r="M246" s="23"/>
      <c r="N246" s="23"/>
      <c r="O246" s="5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 spans="1:28" ht="15.75" customHeight="1" x14ac:dyDescent="0.15">
      <c r="A247" s="56"/>
      <c r="B247" s="56"/>
      <c r="C247" s="23"/>
      <c r="D247" s="23"/>
      <c r="E247" s="23"/>
      <c r="F247" s="23"/>
      <c r="G247" s="23"/>
      <c r="H247" s="23"/>
      <c r="I247" s="23"/>
      <c r="J247" s="57"/>
      <c r="K247" s="56"/>
      <c r="L247" s="56"/>
      <c r="M247" s="23"/>
      <c r="N247" s="23"/>
      <c r="O247" s="56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 spans="1:28" ht="15.75" customHeight="1" x14ac:dyDescent="0.15">
      <c r="A248" s="56"/>
      <c r="B248" s="56"/>
      <c r="C248" s="23"/>
      <c r="D248" s="23"/>
      <c r="E248" s="23"/>
      <c r="F248" s="23"/>
      <c r="G248" s="23"/>
      <c r="H248" s="23"/>
      <c r="I248" s="23"/>
      <c r="J248" s="57"/>
      <c r="K248" s="56"/>
      <c r="L248" s="56"/>
      <c r="M248" s="23"/>
      <c r="N248" s="23"/>
      <c r="O248" s="56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 spans="1:28" ht="15.75" customHeight="1" x14ac:dyDescent="0.15">
      <c r="A249" s="56"/>
      <c r="B249" s="56"/>
      <c r="C249" s="23"/>
      <c r="D249" s="23"/>
      <c r="E249" s="23"/>
      <c r="F249" s="23"/>
      <c r="G249" s="23"/>
      <c r="H249" s="23"/>
      <c r="I249" s="23"/>
      <c r="J249" s="57"/>
      <c r="K249" s="56"/>
      <c r="L249" s="56"/>
      <c r="M249" s="23"/>
      <c r="N249" s="23"/>
      <c r="O249" s="56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 spans="1:28" ht="15.75" customHeight="1" x14ac:dyDescent="0.15">
      <c r="A250" s="56"/>
      <c r="B250" s="56"/>
      <c r="C250" s="23"/>
      <c r="D250" s="23"/>
      <c r="E250" s="23"/>
      <c r="F250" s="23"/>
      <c r="G250" s="23"/>
      <c r="H250" s="23"/>
      <c r="I250" s="23"/>
      <c r="J250" s="57"/>
      <c r="K250" s="56"/>
      <c r="L250" s="56"/>
      <c r="M250" s="23"/>
      <c r="N250" s="23"/>
      <c r="O250" s="56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 spans="1:28" ht="15.75" customHeight="1" x14ac:dyDescent="0.15">
      <c r="A251" s="56"/>
      <c r="B251" s="56"/>
      <c r="C251" s="23"/>
      <c r="D251" s="23"/>
      <c r="E251" s="23"/>
      <c r="F251" s="23"/>
      <c r="G251" s="23"/>
      <c r="H251" s="23"/>
      <c r="I251" s="23"/>
      <c r="J251" s="57"/>
      <c r="K251" s="56"/>
      <c r="L251" s="56"/>
      <c r="M251" s="23"/>
      <c r="N251" s="23"/>
      <c r="O251" s="56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 spans="1:28" ht="15.75" customHeight="1" x14ac:dyDescent="0.15">
      <c r="A252" s="56"/>
      <c r="B252" s="56"/>
      <c r="C252" s="23"/>
      <c r="D252" s="23"/>
      <c r="E252" s="23"/>
      <c r="F252" s="23"/>
      <c r="G252" s="23"/>
      <c r="H252" s="23"/>
      <c r="I252" s="23"/>
      <c r="J252" s="57"/>
      <c r="K252" s="56"/>
      <c r="L252" s="56"/>
      <c r="M252" s="23"/>
      <c r="N252" s="23"/>
      <c r="O252" s="56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 spans="1:28" ht="15.75" customHeight="1" x14ac:dyDescent="0.15">
      <c r="A253" s="56"/>
      <c r="B253" s="56"/>
      <c r="C253" s="23"/>
      <c r="D253" s="23"/>
      <c r="E253" s="23"/>
      <c r="F253" s="23"/>
      <c r="G253" s="23"/>
      <c r="H253" s="23"/>
      <c r="I253" s="23"/>
      <c r="J253" s="57"/>
      <c r="K253" s="56"/>
      <c r="L253" s="56"/>
      <c r="M253" s="23"/>
      <c r="N253" s="23"/>
      <c r="O253" s="56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 spans="1:28" ht="15.75" customHeight="1" x14ac:dyDescent="0.15">
      <c r="A254" s="56"/>
      <c r="B254" s="56"/>
      <c r="C254" s="23"/>
      <c r="D254" s="23"/>
      <c r="E254" s="23"/>
      <c r="F254" s="23"/>
      <c r="G254" s="23"/>
      <c r="H254" s="23"/>
      <c r="I254" s="23"/>
      <c r="J254" s="57"/>
      <c r="K254" s="56"/>
      <c r="L254" s="56"/>
      <c r="M254" s="23"/>
      <c r="N254" s="23"/>
      <c r="O254" s="56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spans="1:28" ht="15.75" customHeight="1" x14ac:dyDescent="0.15">
      <c r="A255" s="56"/>
      <c r="B255" s="56"/>
      <c r="C255" s="23"/>
      <c r="D255" s="23"/>
      <c r="E255" s="23"/>
      <c r="F255" s="23"/>
      <c r="G255" s="23"/>
      <c r="H255" s="23"/>
      <c r="I255" s="23"/>
      <c r="J255" s="57"/>
      <c r="K255" s="56"/>
      <c r="L255" s="56"/>
      <c r="M255" s="23"/>
      <c r="N255" s="23"/>
      <c r="O255" s="56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 spans="1:28" ht="15.75" customHeight="1" x14ac:dyDescent="0.15">
      <c r="A256" s="56"/>
      <c r="B256" s="56"/>
      <c r="C256" s="23"/>
      <c r="D256" s="23"/>
      <c r="E256" s="23"/>
      <c r="F256" s="23"/>
      <c r="G256" s="23"/>
      <c r="H256" s="23"/>
      <c r="I256" s="23"/>
      <c r="J256" s="57"/>
      <c r="K256" s="56"/>
      <c r="L256" s="56"/>
      <c r="M256" s="23"/>
      <c r="N256" s="23"/>
      <c r="O256" s="56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 spans="1:28" ht="15.75" customHeight="1" x14ac:dyDescent="0.15">
      <c r="A257" s="56"/>
      <c r="B257" s="56"/>
      <c r="C257" s="23"/>
      <c r="D257" s="23"/>
      <c r="E257" s="23"/>
      <c r="F257" s="23"/>
      <c r="G257" s="23"/>
      <c r="H257" s="23"/>
      <c r="I257" s="23"/>
      <c r="J257" s="57"/>
      <c r="K257" s="56"/>
      <c r="L257" s="56"/>
      <c r="M257" s="23"/>
      <c r="N257" s="23"/>
      <c r="O257" s="56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 spans="1:28" ht="15.75" customHeight="1" x14ac:dyDescent="0.15">
      <c r="A258" s="56"/>
      <c r="B258" s="56"/>
      <c r="C258" s="23"/>
      <c r="D258" s="23"/>
      <c r="E258" s="23"/>
      <c r="F258" s="23"/>
      <c r="G258" s="23"/>
      <c r="H258" s="23"/>
      <c r="I258" s="23"/>
      <c r="J258" s="57"/>
      <c r="K258" s="56"/>
      <c r="L258" s="56"/>
      <c r="M258" s="23"/>
      <c r="N258" s="23"/>
      <c r="O258" s="56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 spans="1:28" ht="15.75" customHeight="1" x14ac:dyDescent="0.15">
      <c r="A259" s="56"/>
      <c r="B259" s="56"/>
      <c r="C259" s="23"/>
      <c r="D259" s="23"/>
      <c r="E259" s="23"/>
      <c r="F259" s="23"/>
      <c r="G259" s="23"/>
      <c r="H259" s="23"/>
      <c r="I259" s="23"/>
      <c r="J259" s="57"/>
      <c r="K259" s="56"/>
      <c r="L259" s="56"/>
      <c r="M259" s="23"/>
      <c r="N259" s="23"/>
      <c r="O259" s="56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 spans="1:28" ht="15.75" customHeight="1" x14ac:dyDescent="0.15">
      <c r="A260" s="56"/>
      <c r="B260" s="56"/>
      <c r="C260" s="23"/>
      <c r="D260" s="23"/>
      <c r="E260" s="23"/>
      <c r="F260" s="23"/>
      <c r="G260" s="23"/>
      <c r="H260" s="23"/>
      <c r="I260" s="23"/>
      <c r="J260" s="57"/>
      <c r="K260" s="56"/>
      <c r="L260" s="56"/>
      <c r="M260" s="23"/>
      <c r="N260" s="23"/>
      <c r="O260" s="56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 spans="1:28" ht="15.75" customHeight="1" x14ac:dyDescent="0.15">
      <c r="A261" s="56"/>
      <c r="B261" s="56"/>
      <c r="C261" s="23"/>
      <c r="D261" s="23"/>
      <c r="E261" s="23"/>
      <c r="F261" s="23"/>
      <c r="G261" s="23"/>
      <c r="H261" s="23"/>
      <c r="I261" s="23"/>
      <c r="J261" s="57"/>
      <c r="K261" s="56"/>
      <c r="L261" s="56"/>
      <c r="M261" s="23"/>
      <c r="N261" s="23"/>
      <c r="O261" s="56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 spans="1:28" ht="15.75" customHeight="1" x14ac:dyDescent="0.15">
      <c r="A262" s="56"/>
      <c r="B262" s="56"/>
      <c r="C262" s="23"/>
      <c r="D262" s="23"/>
      <c r="E262" s="23"/>
      <c r="F262" s="23"/>
      <c r="G262" s="23"/>
      <c r="H262" s="23"/>
      <c r="I262" s="23"/>
      <c r="J262" s="57"/>
      <c r="K262" s="56"/>
      <c r="L262" s="56"/>
      <c r="M262" s="23"/>
      <c r="N262" s="23"/>
      <c r="O262" s="56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 spans="1:28" ht="15.75" customHeight="1" x14ac:dyDescent="0.15">
      <c r="A263" s="56"/>
      <c r="B263" s="56"/>
      <c r="C263" s="23"/>
      <c r="D263" s="23"/>
      <c r="E263" s="23"/>
      <c r="F263" s="23"/>
      <c r="G263" s="23"/>
      <c r="H263" s="23"/>
      <c r="I263" s="23"/>
      <c r="J263" s="57"/>
      <c r="K263" s="56"/>
      <c r="L263" s="56"/>
      <c r="M263" s="23"/>
      <c r="N263" s="23"/>
      <c r="O263" s="56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 spans="1:28" ht="15.75" customHeight="1" x14ac:dyDescent="0.15">
      <c r="A264" s="56"/>
      <c r="B264" s="56"/>
      <c r="C264" s="23"/>
      <c r="D264" s="23"/>
      <c r="E264" s="23"/>
      <c r="F264" s="23"/>
      <c r="G264" s="23"/>
      <c r="H264" s="23"/>
      <c r="I264" s="23"/>
      <c r="J264" s="57"/>
      <c r="K264" s="56"/>
      <c r="L264" s="56"/>
      <c r="M264" s="23"/>
      <c r="N264" s="23"/>
      <c r="O264" s="56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spans="1:28" ht="15.75" customHeight="1" x14ac:dyDescent="0.15">
      <c r="A265" s="56"/>
      <c r="B265" s="56"/>
      <c r="C265" s="23"/>
      <c r="D265" s="23"/>
      <c r="E265" s="23"/>
      <c r="F265" s="23"/>
      <c r="G265" s="23"/>
      <c r="H265" s="23"/>
      <c r="I265" s="23"/>
      <c r="J265" s="57"/>
      <c r="K265" s="56"/>
      <c r="L265" s="56"/>
      <c r="M265" s="23"/>
      <c r="N265" s="23"/>
      <c r="O265" s="56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 spans="1:28" ht="15.75" customHeight="1" x14ac:dyDescent="0.15">
      <c r="A266" s="56"/>
      <c r="B266" s="56"/>
      <c r="C266" s="23"/>
      <c r="D266" s="23"/>
      <c r="E266" s="23"/>
      <c r="F266" s="23"/>
      <c r="G266" s="23"/>
      <c r="H266" s="23"/>
      <c r="I266" s="23"/>
      <c r="J266" s="57"/>
      <c r="K266" s="56"/>
      <c r="L266" s="56"/>
      <c r="M266" s="23"/>
      <c r="N266" s="23"/>
      <c r="O266" s="56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 spans="1:28" ht="15.75" customHeight="1" x14ac:dyDescent="0.15">
      <c r="A267" s="56"/>
      <c r="B267" s="56"/>
      <c r="C267" s="23"/>
      <c r="D267" s="23"/>
      <c r="E267" s="23"/>
      <c r="F267" s="23"/>
      <c r="G267" s="23"/>
      <c r="H267" s="23"/>
      <c r="I267" s="23"/>
      <c r="J267" s="57"/>
      <c r="K267" s="56"/>
      <c r="L267" s="56"/>
      <c r="M267" s="23"/>
      <c r="N267" s="23"/>
      <c r="O267" s="56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 spans="1:28" ht="15.75" customHeight="1" x14ac:dyDescent="0.15">
      <c r="A268" s="56"/>
      <c r="B268" s="56"/>
      <c r="C268" s="23"/>
      <c r="D268" s="23"/>
      <c r="E268" s="23"/>
      <c r="F268" s="23"/>
      <c r="G268" s="23"/>
      <c r="H268" s="23"/>
      <c r="I268" s="23"/>
      <c r="J268" s="57"/>
      <c r="K268" s="56"/>
      <c r="L268" s="56"/>
      <c r="M268" s="23"/>
      <c r="N268" s="23"/>
      <c r="O268" s="56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 spans="1:28" ht="15.75" customHeight="1" x14ac:dyDescent="0.15">
      <c r="A269" s="56"/>
      <c r="B269" s="56"/>
      <c r="C269" s="23"/>
      <c r="D269" s="23"/>
      <c r="E269" s="23"/>
      <c r="F269" s="23"/>
      <c r="G269" s="23"/>
      <c r="H269" s="23"/>
      <c r="I269" s="23"/>
      <c r="J269" s="57"/>
      <c r="K269" s="56"/>
      <c r="L269" s="56"/>
      <c r="M269" s="23"/>
      <c r="N269" s="23"/>
      <c r="O269" s="56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 spans="1:28" ht="15.75" customHeight="1" x14ac:dyDescent="0.15">
      <c r="A270" s="56"/>
      <c r="B270" s="56"/>
      <c r="C270" s="23"/>
      <c r="D270" s="23"/>
      <c r="E270" s="23"/>
      <c r="F270" s="23"/>
      <c r="G270" s="23"/>
      <c r="H270" s="23"/>
      <c r="I270" s="23"/>
      <c r="J270" s="57"/>
      <c r="K270" s="56"/>
      <c r="L270" s="56"/>
      <c r="M270" s="23"/>
      <c r="N270" s="23"/>
      <c r="O270" s="56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 spans="1:28" ht="15.75" customHeight="1" x14ac:dyDescent="0.15">
      <c r="A271" s="56"/>
      <c r="B271" s="56"/>
      <c r="C271" s="23"/>
      <c r="D271" s="23"/>
      <c r="E271" s="23"/>
      <c r="F271" s="23"/>
      <c r="G271" s="23"/>
      <c r="H271" s="23"/>
      <c r="I271" s="23"/>
      <c r="J271" s="57"/>
      <c r="K271" s="56"/>
      <c r="L271" s="56"/>
      <c r="M271" s="23"/>
      <c r="N271" s="23"/>
      <c r="O271" s="56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 spans="1:28" ht="15.75" customHeight="1" x14ac:dyDescent="0.15">
      <c r="A272" s="56"/>
      <c r="B272" s="56"/>
      <c r="C272" s="23"/>
      <c r="D272" s="23"/>
      <c r="E272" s="23"/>
      <c r="F272" s="23"/>
      <c r="G272" s="23"/>
      <c r="H272" s="23"/>
      <c r="I272" s="23"/>
      <c r="J272" s="57"/>
      <c r="K272" s="56"/>
      <c r="L272" s="56"/>
      <c r="M272" s="23"/>
      <c r="N272" s="23"/>
      <c r="O272" s="56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 spans="1:28" ht="15.75" customHeight="1" x14ac:dyDescent="0.15">
      <c r="A273" s="56"/>
      <c r="B273" s="56"/>
      <c r="C273" s="23"/>
      <c r="D273" s="23"/>
      <c r="E273" s="23"/>
      <c r="F273" s="23"/>
      <c r="G273" s="23"/>
      <c r="H273" s="23"/>
      <c r="I273" s="23"/>
      <c r="J273" s="57"/>
      <c r="K273" s="56"/>
      <c r="L273" s="56"/>
      <c r="M273" s="23"/>
      <c r="N273" s="23"/>
      <c r="O273" s="56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 spans="1:28" ht="15.75" customHeight="1" x14ac:dyDescent="0.15">
      <c r="A274" s="56"/>
      <c r="B274" s="56"/>
      <c r="C274" s="23"/>
      <c r="D274" s="23"/>
      <c r="E274" s="23"/>
      <c r="F274" s="23"/>
      <c r="G274" s="23"/>
      <c r="H274" s="23"/>
      <c r="I274" s="23"/>
      <c r="J274" s="57"/>
      <c r="K274" s="56"/>
      <c r="L274" s="56"/>
      <c r="M274" s="23"/>
      <c r="N274" s="23"/>
      <c r="O274" s="56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spans="1:28" ht="15.75" customHeight="1" x14ac:dyDescent="0.15">
      <c r="A275" s="56"/>
      <c r="B275" s="56"/>
      <c r="C275" s="23"/>
      <c r="D275" s="23"/>
      <c r="E275" s="23"/>
      <c r="F275" s="23"/>
      <c r="G275" s="23"/>
      <c r="H275" s="23"/>
      <c r="I275" s="23"/>
      <c r="J275" s="57"/>
      <c r="K275" s="56"/>
      <c r="L275" s="56"/>
      <c r="M275" s="23"/>
      <c r="N275" s="23"/>
      <c r="O275" s="56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 spans="1:28" ht="15.75" customHeight="1" x14ac:dyDescent="0.15">
      <c r="A276" s="56"/>
      <c r="B276" s="56"/>
      <c r="C276" s="23"/>
      <c r="D276" s="23"/>
      <c r="E276" s="23"/>
      <c r="F276" s="23"/>
      <c r="G276" s="23"/>
      <c r="H276" s="23"/>
      <c r="I276" s="23"/>
      <c r="J276" s="57"/>
      <c r="K276" s="56"/>
      <c r="L276" s="56"/>
      <c r="M276" s="23"/>
      <c r="N276" s="23"/>
      <c r="O276" s="56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 spans="1:28" ht="15.75" customHeight="1" x14ac:dyDescent="0.15">
      <c r="A277" s="56"/>
      <c r="B277" s="56"/>
      <c r="C277" s="23"/>
      <c r="D277" s="23"/>
      <c r="E277" s="23"/>
      <c r="F277" s="23"/>
      <c r="G277" s="23"/>
      <c r="H277" s="23"/>
      <c r="I277" s="23"/>
      <c r="J277" s="57"/>
      <c r="K277" s="56"/>
      <c r="L277" s="56"/>
      <c r="M277" s="23"/>
      <c r="N277" s="23"/>
      <c r="O277" s="56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 spans="1:28" ht="15.75" customHeight="1" x14ac:dyDescent="0.15">
      <c r="A278" s="56"/>
      <c r="B278" s="56"/>
      <c r="C278" s="23"/>
      <c r="D278" s="23"/>
      <c r="E278" s="23"/>
      <c r="F278" s="23"/>
      <c r="G278" s="23"/>
      <c r="H278" s="23"/>
      <c r="I278" s="23"/>
      <c r="J278" s="57"/>
      <c r="K278" s="56"/>
      <c r="L278" s="56"/>
      <c r="M278" s="23"/>
      <c r="N278" s="23"/>
      <c r="O278" s="56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spans="1:28" ht="15.75" customHeight="1" x14ac:dyDescent="0.15">
      <c r="A279" s="56"/>
      <c r="B279" s="56"/>
      <c r="C279" s="23"/>
      <c r="D279" s="23"/>
      <c r="E279" s="23"/>
      <c r="F279" s="23"/>
      <c r="G279" s="23"/>
      <c r="H279" s="23"/>
      <c r="I279" s="23"/>
      <c r="J279" s="57"/>
      <c r="K279" s="56"/>
      <c r="L279" s="56"/>
      <c r="M279" s="23"/>
      <c r="N279" s="23"/>
      <c r="O279" s="56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 spans="1:28" ht="15.75" customHeight="1" x14ac:dyDescent="0.15">
      <c r="A280" s="56"/>
      <c r="B280" s="56"/>
      <c r="C280" s="23"/>
      <c r="D280" s="23"/>
      <c r="E280" s="23"/>
      <c r="F280" s="23"/>
      <c r="G280" s="23"/>
      <c r="H280" s="23"/>
      <c r="I280" s="23"/>
      <c r="J280" s="57"/>
      <c r="K280" s="56"/>
      <c r="L280" s="56"/>
      <c r="M280" s="23"/>
      <c r="N280" s="23"/>
      <c r="O280" s="56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spans="1:28" ht="15.75" customHeight="1" x14ac:dyDescent="0.15">
      <c r="A281" s="56"/>
      <c r="B281" s="56"/>
      <c r="C281" s="23"/>
      <c r="D281" s="23"/>
      <c r="E281" s="23"/>
      <c r="F281" s="23"/>
      <c r="G281" s="23"/>
      <c r="H281" s="23"/>
      <c r="I281" s="23"/>
      <c r="J281" s="57"/>
      <c r="K281" s="56"/>
      <c r="L281" s="56"/>
      <c r="M281" s="23"/>
      <c r="N281" s="23"/>
      <c r="O281" s="56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 spans="1:28" ht="15.75" customHeight="1" x14ac:dyDescent="0.15">
      <c r="A282" s="56"/>
      <c r="B282" s="56"/>
      <c r="C282" s="23"/>
      <c r="D282" s="23"/>
      <c r="E282" s="23"/>
      <c r="F282" s="23"/>
      <c r="G282" s="23"/>
      <c r="H282" s="23"/>
      <c r="I282" s="23"/>
      <c r="J282" s="57"/>
      <c r="K282" s="56"/>
      <c r="L282" s="56"/>
      <c r="M282" s="23"/>
      <c r="N282" s="23"/>
      <c r="O282" s="56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spans="1:28" ht="15.75" customHeight="1" x14ac:dyDescent="0.15">
      <c r="A283" s="56"/>
      <c r="B283" s="56"/>
      <c r="C283" s="23"/>
      <c r="D283" s="23"/>
      <c r="E283" s="23"/>
      <c r="F283" s="23"/>
      <c r="G283" s="23"/>
      <c r="H283" s="23"/>
      <c r="I283" s="23"/>
      <c r="J283" s="57"/>
      <c r="K283" s="56"/>
      <c r="L283" s="56"/>
      <c r="M283" s="23"/>
      <c r="N283" s="23"/>
      <c r="O283" s="56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 spans="1:28" ht="15.75" customHeight="1" x14ac:dyDescent="0.15">
      <c r="A284" s="56"/>
      <c r="B284" s="56"/>
      <c r="C284" s="23"/>
      <c r="D284" s="23"/>
      <c r="E284" s="23"/>
      <c r="F284" s="23"/>
      <c r="G284" s="23"/>
      <c r="H284" s="23"/>
      <c r="I284" s="23"/>
      <c r="J284" s="57"/>
      <c r="K284" s="56"/>
      <c r="L284" s="56"/>
      <c r="M284" s="23"/>
      <c r="N284" s="23"/>
      <c r="O284" s="56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spans="1:28" ht="15.75" customHeight="1" x14ac:dyDescent="0.15">
      <c r="A285" s="56"/>
      <c r="B285" s="56"/>
      <c r="C285" s="23"/>
      <c r="D285" s="23"/>
      <c r="E285" s="23"/>
      <c r="F285" s="23"/>
      <c r="G285" s="23"/>
      <c r="H285" s="23"/>
      <c r="I285" s="23"/>
      <c r="J285" s="57"/>
      <c r="K285" s="56"/>
      <c r="L285" s="56"/>
      <c r="M285" s="23"/>
      <c r="N285" s="23"/>
      <c r="O285" s="56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 spans="1:28" ht="15.75" customHeight="1" x14ac:dyDescent="0.15">
      <c r="A286" s="56"/>
      <c r="B286" s="56"/>
      <c r="C286" s="23"/>
      <c r="D286" s="23"/>
      <c r="E286" s="23"/>
      <c r="F286" s="23"/>
      <c r="G286" s="23"/>
      <c r="H286" s="23"/>
      <c r="I286" s="23"/>
      <c r="J286" s="57"/>
      <c r="K286" s="56"/>
      <c r="L286" s="56"/>
      <c r="M286" s="23"/>
      <c r="N286" s="23"/>
      <c r="O286" s="56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 spans="1:28" ht="15.75" customHeight="1" x14ac:dyDescent="0.15">
      <c r="A287" s="56"/>
      <c r="B287" s="56"/>
      <c r="C287" s="23"/>
      <c r="D287" s="23"/>
      <c r="E287" s="23"/>
      <c r="F287" s="23"/>
      <c r="G287" s="23"/>
      <c r="H287" s="23"/>
      <c r="I287" s="23"/>
      <c r="J287" s="57"/>
      <c r="K287" s="56"/>
      <c r="L287" s="56"/>
      <c r="M287" s="23"/>
      <c r="N287" s="23"/>
      <c r="O287" s="56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 spans="1:28" ht="15.75" customHeight="1" x14ac:dyDescent="0.15">
      <c r="A288" s="56"/>
      <c r="B288" s="56"/>
      <c r="C288" s="23"/>
      <c r="D288" s="23"/>
      <c r="E288" s="23"/>
      <c r="F288" s="23"/>
      <c r="G288" s="23"/>
      <c r="H288" s="23"/>
      <c r="I288" s="23"/>
      <c r="J288" s="57"/>
      <c r="K288" s="56"/>
      <c r="L288" s="56"/>
      <c r="M288" s="23"/>
      <c r="N288" s="23"/>
      <c r="O288" s="56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 spans="1:28" ht="15.75" customHeight="1" x14ac:dyDescent="0.15">
      <c r="A289" s="56"/>
      <c r="B289" s="56"/>
      <c r="C289" s="23"/>
      <c r="D289" s="23"/>
      <c r="E289" s="23"/>
      <c r="F289" s="23"/>
      <c r="G289" s="23"/>
      <c r="H289" s="23"/>
      <c r="I289" s="23"/>
      <c r="J289" s="57"/>
      <c r="K289" s="56"/>
      <c r="L289" s="56"/>
      <c r="M289" s="23"/>
      <c r="N289" s="23"/>
      <c r="O289" s="56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 spans="1:28" ht="15.75" customHeight="1" x14ac:dyDescent="0.15">
      <c r="A290" s="56"/>
      <c r="B290" s="56"/>
      <c r="C290" s="23"/>
      <c r="D290" s="23"/>
      <c r="E290" s="23"/>
      <c r="F290" s="23"/>
      <c r="G290" s="23"/>
      <c r="H290" s="23"/>
      <c r="I290" s="23"/>
      <c r="J290" s="57"/>
      <c r="K290" s="56"/>
      <c r="L290" s="56"/>
      <c r="M290" s="23"/>
      <c r="N290" s="23"/>
      <c r="O290" s="56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 spans="1:28" ht="15.75" customHeight="1" x14ac:dyDescent="0.15">
      <c r="A291" s="56"/>
      <c r="B291" s="56"/>
      <c r="C291" s="23"/>
      <c r="D291" s="23"/>
      <c r="E291" s="23"/>
      <c r="F291" s="23"/>
      <c r="G291" s="23"/>
      <c r="H291" s="23"/>
      <c r="I291" s="23"/>
      <c r="J291" s="57"/>
      <c r="K291" s="56"/>
      <c r="L291" s="56"/>
      <c r="M291" s="23"/>
      <c r="N291" s="23"/>
      <c r="O291" s="56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 spans="1:28" ht="15.75" customHeight="1" x14ac:dyDescent="0.15">
      <c r="A292" s="56"/>
      <c r="B292" s="56"/>
      <c r="C292" s="23"/>
      <c r="D292" s="23"/>
      <c r="E292" s="23"/>
      <c r="F292" s="23"/>
      <c r="G292" s="23"/>
      <c r="H292" s="23"/>
      <c r="I292" s="23"/>
      <c r="J292" s="57"/>
      <c r="K292" s="56"/>
      <c r="L292" s="56"/>
      <c r="M292" s="23"/>
      <c r="N292" s="23"/>
      <c r="O292" s="56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 spans="1:28" ht="15.75" customHeight="1" x14ac:dyDescent="0.15">
      <c r="A293" s="56"/>
      <c r="B293" s="56"/>
      <c r="C293" s="23"/>
      <c r="D293" s="23"/>
      <c r="E293" s="23"/>
      <c r="F293" s="23"/>
      <c r="G293" s="23"/>
      <c r="H293" s="23"/>
      <c r="I293" s="23"/>
      <c r="J293" s="57"/>
      <c r="K293" s="56"/>
      <c r="L293" s="56"/>
      <c r="M293" s="23"/>
      <c r="N293" s="23"/>
      <c r="O293" s="56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 spans="1:28" ht="15.75" customHeight="1" x14ac:dyDescent="0.15">
      <c r="A294" s="56"/>
      <c r="B294" s="56"/>
      <c r="C294" s="23"/>
      <c r="D294" s="23"/>
      <c r="E294" s="23"/>
      <c r="F294" s="23"/>
      <c r="G294" s="23"/>
      <c r="H294" s="23"/>
      <c r="I294" s="23"/>
      <c r="J294" s="57"/>
      <c r="K294" s="56"/>
      <c r="L294" s="56"/>
      <c r="M294" s="23"/>
      <c r="N294" s="23"/>
      <c r="O294" s="56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spans="1:28" ht="15.75" customHeight="1" x14ac:dyDescent="0.15">
      <c r="A295" s="56"/>
      <c r="B295" s="56"/>
      <c r="C295" s="23"/>
      <c r="D295" s="23"/>
      <c r="E295" s="23"/>
      <c r="F295" s="23"/>
      <c r="G295" s="23"/>
      <c r="H295" s="23"/>
      <c r="I295" s="23"/>
      <c r="J295" s="57"/>
      <c r="K295" s="56"/>
      <c r="L295" s="56"/>
      <c r="M295" s="23"/>
      <c r="N295" s="23"/>
      <c r="O295" s="56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 spans="1:28" ht="15.75" customHeight="1" x14ac:dyDescent="0.15">
      <c r="A296" s="56"/>
      <c r="B296" s="56"/>
      <c r="C296" s="23"/>
      <c r="D296" s="23"/>
      <c r="E296" s="23"/>
      <c r="F296" s="23"/>
      <c r="G296" s="23"/>
      <c r="H296" s="23"/>
      <c r="I296" s="23"/>
      <c r="J296" s="57"/>
      <c r="K296" s="56"/>
      <c r="L296" s="56"/>
      <c r="M296" s="23"/>
      <c r="N296" s="23"/>
      <c r="O296" s="56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 spans="1:28" ht="15.75" customHeight="1" x14ac:dyDescent="0.15">
      <c r="A297" s="56"/>
      <c r="B297" s="56"/>
      <c r="C297" s="23"/>
      <c r="D297" s="23"/>
      <c r="E297" s="23"/>
      <c r="F297" s="23"/>
      <c r="G297" s="23"/>
      <c r="H297" s="23"/>
      <c r="I297" s="23"/>
      <c r="J297" s="57"/>
      <c r="K297" s="56"/>
      <c r="L297" s="56"/>
      <c r="M297" s="23"/>
      <c r="N297" s="23"/>
      <c r="O297" s="56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 spans="1:28" ht="15.75" customHeight="1" x14ac:dyDescent="0.15">
      <c r="A298" s="56"/>
      <c r="B298" s="56"/>
      <c r="C298" s="23"/>
      <c r="D298" s="23"/>
      <c r="E298" s="23"/>
      <c r="F298" s="23"/>
      <c r="G298" s="23"/>
      <c r="H298" s="23"/>
      <c r="I298" s="23"/>
      <c r="J298" s="57"/>
      <c r="K298" s="56"/>
      <c r="L298" s="56"/>
      <c r="M298" s="23"/>
      <c r="N298" s="23"/>
      <c r="O298" s="56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 spans="1:28" ht="13" x14ac:dyDescent="0.15">
      <c r="A299" s="56"/>
      <c r="B299" s="56"/>
      <c r="J299" s="58"/>
      <c r="K299" s="56"/>
      <c r="L299" s="56"/>
      <c r="O299" s="56"/>
    </row>
    <row r="300" spans="1:28" ht="13" x14ac:dyDescent="0.15">
      <c r="A300" s="56"/>
      <c r="B300" s="56"/>
      <c r="J300" s="58"/>
      <c r="K300" s="56"/>
      <c r="L300" s="56"/>
      <c r="O300" s="56"/>
    </row>
    <row r="301" spans="1:28" ht="13" x14ac:dyDescent="0.15">
      <c r="A301" s="56"/>
      <c r="B301" s="56"/>
      <c r="J301" s="58"/>
      <c r="K301" s="56"/>
      <c r="L301" s="56"/>
      <c r="O301" s="56"/>
    </row>
    <row r="302" spans="1:28" ht="13" x14ac:dyDescent="0.15">
      <c r="A302" s="56"/>
      <c r="B302" s="56"/>
      <c r="J302" s="58"/>
      <c r="K302" s="56"/>
      <c r="L302" s="56"/>
      <c r="O302" s="56"/>
    </row>
    <row r="303" spans="1:28" ht="13" x14ac:dyDescent="0.15">
      <c r="A303" s="56"/>
      <c r="B303" s="56"/>
      <c r="J303" s="58"/>
      <c r="K303" s="56"/>
      <c r="L303" s="56"/>
      <c r="O303" s="56"/>
    </row>
    <row r="304" spans="1:28" ht="13" x14ac:dyDescent="0.15">
      <c r="A304" s="56"/>
      <c r="B304" s="56"/>
      <c r="J304" s="58"/>
      <c r="K304" s="56"/>
      <c r="L304" s="56"/>
      <c r="O304" s="56"/>
    </row>
    <row r="305" spans="1:15" ht="13" x14ac:dyDescent="0.15">
      <c r="A305" s="56"/>
      <c r="B305" s="56"/>
      <c r="J305" s="58"/>
      <c r="K305" s="56"/>
      <c r="L305" s="56"/>
      <c r="O305" s="56"/>
    </row>
    <row r="306" spans="1:15" ht="13" x14ac:dyDescent="0.15">
      <c r="A306" s="56"/>
      <c r="B306" s="56"/>
      <c r="J306" s="58"/>
      <c r="K306" s="56"/>
      <c r="L306" s="56"/>
      <c r="O306" s="56"/>
    </row>
    <row r="307" spans="1:15" ht="13" x14ac:dyDescent="0.15">
      <c r="A307" s="56"/>
      <c r="B307" s="56"/>
      <c r="J307" s="58"/>
      <c r="K307" s="56"/>
      <c r="L307" s="56"/>
      <c r="O307" s="56"/>
    </row>
    <row r="308" spans="1:15" ht="13" x14ac:dyDescent="0.15">
      <c r="A308" s="56"/>
      <c r="B308" s="56"/>
      <c r="J308" s="58"/>
      <c r="K308" s="56"/>
      <c r="L308" s="56"/>
      <c r="O308" s="56"/>
    </row>
    <row r="309" spans="1:15" ht="13" x14ac:dyDescent="0.15">
      <c r="A309" s="56"/>
      <c r="B309" s="56"/>
      <c r="J309" s="58"/>
      <c r="K309" s="56"/>
      <c r="L309" s="56"/>
      <c r="O309" s="56"/>
    </row>
    <row r="310" spans="1:15" ht="13" x14ac:dyDescent="0.15">
      <c r="A310" s="56"/>
      <c r="B310" s="56"/>
      <c r="J310" s="58"/>
      <c r="K310" s="56"/>
      <c r="L310" s="56"/>
      <c r="O310" s="56"/>
    </row>
    <row r="311" spans="1:15" ht="13" x14ac:dyDescent="0.15">
      <c r="A311" s="56"/>
      <c r="B311" s="56"/>
      <c r="J311" s="58"/>
      <c r="K311" s="56"/>
      <c r="L311" s="56"/>
      <c r="O311" s="56"/>
    </row>
    <row r="312" spans="1:15" ht="13" x14ac:dyDescent="0.15">
      <c r="A312" s="56"/>
      <c r="B312" s="56"/>
      <c r="J312" s="58"/>
      <c r="K312" s="56"/>
      <c r="L312" s="56"/>
      <c r="O312" s="56"/>
    </row>
    <row r="313" spans="1:15" ht="13" x14ac:dyDescent="0.15">
      <c r="A313" s="56"/>
      <c r="B313" s="56"/>
      <c r="J313" s="58"/>
      <c r="K313" s="56"/>
      <c r="L313" s="56"/>
      <c r="O313" s="56"/>
    </row>
    <row r="314" spans="1:15" ht="13" x14ac:dyDescent="0.15">
      <c r="A314" s="56"/>
      <c r="B314" s="56"/>
      <c r="J314" s="58"/>
      <c r="K314" s="56"/>
      <c r="L314" s="56"/>
      <c r="O314" s="56"/>
    </row>
    <row r="315" spans="1:15" ht="13" x14ac:dyDescent="0.15">
      <c r="A315" s="56"/>
      <c r="B315" s="56"/>
      <c r="J315" s="58"/>
      <c r="K315" s="56"/>
      <c r="L315" s="56"/>
      <c r="O315" s="56"/>
    </row>
    <row r="316" spans="1:15" ht="13" x14ac:dyDescent="0.15">
      <c r="A316" s="56"/>
      <c r="B316" s="56"/>
      <c r="J316" s="58"/>
      <c r="K316" s="56"/>
      <c r="L316" s="56"/>
      <c r="O316" s="56"/>
    </row>
    <row r="317" spans="1:15" ht="13" x14ac:dyDescent="0.15">
      <c r="A317" s="56"/>
      <c r="B317" s="56"/>
      <c r="J317" s="58"/>
      <c r="K317" s="56"/>
      <c r="L317" s="56"/>
      <c r="O317" s="56"/>
    </row>
    <row r="318" spans="1:15" ht="13" x14ac:dyDescent="0.15">
      <c r="A318" s="56"/>
      <c r="B318" s="56"/>
      <c r="J318" s="58"/>
      <c r="K318" s="56"/>
      <c r="L318" s="56"/>
      <c r="O318" s="56"/>
    </row>
    <row r="319" spans="1:15" ht="13" x14ac:dyDescent="0.15">
      <c r="A319" s="56"/>
      <c r="B319" s="56"/>
      <c r="J319" s="58"/>
      <c r="K319" s="56"/>
      <c r="L319" s="56"/>
      <c r="O319" s="56"/>
    </row>
    <row r="320" spans="1:15" ht="13" x14ac:dyDescent="0.15">
      <c r="A320" s="56"/>
      <c r="B320" s="56"/>
      <c r="J320" s="58"/>
      <c r="K320" s="56"/>
      <c r="L320" s="56"/>
      <c r="O320" s="56"/>
    </row>
    <row r="321" spans="1:15" ht="13" x14ac:dyDescent="0.15">
      <c r="A321" s="56"/>
      <c r="B321" s="56"/>
      <c r="J321" s="58"/>
      <c r="K321" s="56"/>
      <c r="L321" s="56"/>
      <c r="O321" s="56"/>
    </row>
    <row r="322" spans="1:15" ht="13" x14ac:dyDescent="0.15">
      <c r="A322" s="56"/>
      <c r="B322" s="56"/>
      <c r="J322" s="58"/>
      <c r="K322" s="56"/>
      <c r="L322" s="56"/>
      <c r="O322" s="56"/>
    </row>
    <row r="323" spans="1:15" ht="13" x14ac:dyDescent="0.15">
      <c r="A323" s="56"/>
      <c r="B323" s="56"/>
      <c r="J323" s="58"/>
      <c r="K323" s="56"/>
      <c r="L323" s="56"/>
      <c r="O323" s="56"/>
    </row>
    <row r="324" spans="1:15" ht="13" x14ac:dyDescent="0.15">
      <c r="A324" s="56"/>
      <c r="B324" s="56"/>
      <c r="J324" s="58"/>
      <c r="K324" s="56"/>
      <c r="L324" s="56"/>
      <c r="O324" s="56"/>
    </row>
    <row r="325" spans="1:15" ht="13" x14ac:dyDescent="0.15">
      <c r="A325" s="56"/>
      <c r="B325" s="56"/>
      <c r="J325" s="58"/>
      <c r="K325" s="56"/>
      <c r="L325" s="56"/>
      <c r="O325" s="56"/>
    </row>
    <row r="326" spans="1:15" ht="13" x14ac:dyDescent="0.15">
      <c r="A326" s="56"/>
      <c r="B326" s="56"/>
      <c r="J326" s="58"/>
      <c r="K326" s="56"/>
      <c r="L326" s="56"/>
      <c r="O326" s="56"/>
    </row>
    <row r="327" spans="1:15" ht="13" x14ac:dyDescent="0.15">
      <c r="A327" s="56"/>
      <c r="B327" s="56"/>
      <c r="J327" s="58"/>
      <c r="K327" s="56"/>
      <c r="L327" s="56"/>
      <c r="O327" s="56"/>
    </row>
    <row r="328" spans="1:15" ht="13" x14ac:dyDescent="0.15">
      <c r="A328" s="56"/>
      <c r="B328" s="56"/>
      <c r="J328" s="58"/>
      <c r="K328" s="56"/>
      <c r="L328" s="56"/>
      <c r="O328" s="56"/>
    </row>
    <row r="329" spans="1:15" ht="13" x14ac:dyDescent="0.15">
      <c r="A329" s="56"/>
      <c r="B329" s="56"/>
      <c r="J329" s="58"/>
      <c r="K329" s="56"/>
      <c r="L329" s="56"/>
      <c r="O329" s="56"/>
    </row>
    <row r="330" spans="1:15" ht="13" x14ac:dyDescent="0.15">
      <c r="A330" s="56"/>
      <c r="B330" s="56"/>
      <c r="J330" s="58"/>
      <c r="K330" s="56"/>
      <c r="L330" s="56"/>
      <c r="O330" s="56"/>
    </row>
    <row r="331" spans="1:15" ht="13" x14ac:dyDescent="0.15">
      <c r="A331" s="56"/>
      <c r="B331" s="56"/>
      <c r="J331" s="58"/>
      <c r="K331" s="56"/>
      <c r="L331" s="56"/>
      <c r="O331" s="56"/>
    </row>
    <row r="332" spans="1:15" ht="13" x14ac:dyDescent="0.15">
      <c r="A332" s="56"/>
      <c r="B332" s="56"/>
      <c r="J332" s="58"/>
      <c r="K332" s="56"/>
      <c r="L332" s="56"/>
      <c r="O332" s="56"/>
    </row>
    <row r="333" spans="1:15" ht="13" x14ac:dyDescent="0.15">
      <c r="A333" s="56"/>
      <c r="B333" s="56"/>
      <c r="J333" s="58"/>
      <c r="K333" s="56"/>
      <c r="L333" s="56"/>
      <c r="O333" s="56"/>
    </row>
    <row r="334" spans="1:15" ht="13" x14ac:dyDescent="0.15">
      <c r="A334" s="56"/>
      <c r="B334" s="56"/>
      <c r="J334" s="58"/>
      <c r="K334" s="56"/>
      <c r="L334" s="56"/>
      <c r="O334" s="56"/>
    </row>
    <row r="335" spans="1:15" ht="13" x14ac:dyDescent="0.15">
      <c r="A335" s="56"/>
      <c r="B335" s="56"/>
      <c r="J335" s="58"/>
      <c r="K335" s="56"/>
      <c r="L335" s="56"/>
      <c r="O335" s="56"/>
    </row>
    <row r="336" spans="1:15" ht="13" x14ac:dyDescent="0.15">
      <c r="A336" s="56"/>
      <c r="B336" s="56"/>
      <c r="J336" s="58"/>
      <c r="K336" s="56"/>
      <c r="L336" s="56"/>
      <c r="O336" s="56"/>
    </row>
    <row r="337" spans="1:15" ht="13" x14ac:dyDescent="0.15">
      <c r="A337" s="56"/>
      <c r="B337" s="56"/>
      <c r="J337" s="58"/>
      <c r="K337" s="56"/>
      <c r="L337" s="56"/>
      <c r="O337" s="56"/>
    </row>
    <row r="338" spans="1:15" ht="13" x14ac:dyDescent="0.15">
      <c r="A338" s="56"/>
      <c r="B338" s="56"/>
      <c r="J338" s="58"/>
      <c r="K338" s="56"/>
      <c r="L338" s="56"/>
      <c r="O338" s="56"/>
    </row>
    <row r="339" spans="1:15" ht="13" x14ac:dyDescent="0.15">
      <c r="A339" s="56"/>
      <c r="B339" s="56"/>
      <c r="J339" s="58"/>
      <c r="K339" s="56"/>
      <c r="L339" s="56"/>
      <c r="O339" s="56"/>
    </row>
    <row r="340" spans="1:15" ht="13" x14ac:dyDescent="0.15">
      <c r="A340" s="56"/>
      <c r="B340" s="56"/>
      <c r="J340" s="58"/>
      <c r="K340" s="56"/>
      <c r="L340" s="56"/>
      <c r="O340" s="56"/>
    </row>
    <row r="341" spans="1:15" ht="13" x14ac:dyDescent="0.15">
      <c r="A341" s="56"/>
      <c r="B341" s="56"/>
      <c r="J341" s="58"/>
      <c r="K341" s="56"/>
      <c r="L341" s="56"/>
      <c r="O341" s="56"/>
    </row>
    <row r="342" spans="1:15" ht="13" x14ac:dyDescent="0.15">
      <c r="A342" s="56"/>
      <c r="B342" s="56"/>
      <c r="J342" s="58"/>
      <c r="K342" s="56"/>
      <c r="L342" s="56"/>
      <c r="O342" s="56"/>
    </row>
    <row r="343" spans="1:15" ht="13" x14ac:dyDescent="0.15">
      <c r="A343" s="56"/>
      <c r="B343" s="56"/>
      <c r="J343" s="58"/>
      <c r="K343" s="56"/>
      <c r="L343" s="56"/>
      <c r="O343" s="56"/>
    </row>
    <row r="344" spans="1:15" ht="13" x14ac:dyDescent="0.15">
      <c r="A344" s="56"/>
      <c r="B344" s="56"/>
      <c r="J344" s="58"/>
      <c r="K344" s="56"/>
      <c r="L344" s="56"/>
      <c r="O344" s="56"/>
    </row>
    <row r="345" spans="1:15" ht="13" x14ac:dyDescent="0.15">
      <c r="A345" s="56"/>
      <c r="B345" s="56"/>
      <c r="J345" s="58"/>
      <c r="K345" s="56"/>
      <c r="L345" s="56"/>
      <c r="O345" s="56"/>
    </row>
    <row r="346" spans="1:15" ht="13" x14ac:dyDescent="0.15">
      <c r="A346" s="56"/>
      <c r="B346" s="56"/>
      <c r="J346" s="58"/>
      <c r="K346" s="56"/>
      <c r="L346" s="56"/>
      <c r="O346" s="56"/>
    </row>
    <row r="347" spans="1:15" ht="13" x14ac:dyDescent="0.15">
      <c r="A347" s="56"/>
      <c r="B347" s="56"/>
      <c r="J347" s="58"/>
      <c r="K347" s="56"/>
      <c r="L347" s="56"/>
      <c r="O347" s="56"/>
    </row>
    <row r="348" spans="1:15" ht="13" x14ac:dyDescent="0.15">
      <c r="A348" s="56"/>
      <c r="B348" s="56"/>
      <c r="J348" s="58"/>
      <c r="K348" s="56"/>
      <c r="L348" s="56"/>
      <c r="O348" s="56"/>
    </row>
    <row r="349" spans="1:15" ht="13" x14ac:dyDescent="0.15">
      <c r="A349" s="56"/>
      <c r="B349" s="56"/>
      <c r="J349" s="58"/>
      <c r="K349" s="56"/>
      <c r="L349" s="56"/>
      <c r="O349" s="56"/>
    </row>
    <row r="350" spans="1:15" ht="13" x14ac:dyDescent="0.15">
      <c r="A350" s="56"/>
      <c r="B350" s="56"/>
      <c r="J350" s="58"/>
      <c r="K350" s="56"/>
      <c r="L350" s="56"/>
      <c r="O350" s="56"/>
    </row>
    <row r="351" spans="1:15" ht="13" x14ac:dyDescent="0.15">
      <c r="A351" s="56"/>
      <c r="B351" s="56"/>
      <c r="J351" s="58"/>
      <c r="K351" s="56"/>
      <c r="L351" s="56"/>
      <c r="O351" s="56"/>
    </row>
    <row r="352" spans="1:15" ht="13" x14ac:dyDescent="0.15">
      <c r="A352" s="56"/>
      <c r="B352" s="56"/>
      <c r="J352" s="58"/>
      <c r="K352" s="56"/>
      <c r="L352" s="56"/>
      <c r="O352" s="56"/>
    </row>
    <row r="353" spans="1:15" ht="13" x14ac:dyDescent="0.15">
      <c r="A353" s="56"/>
      <c r="B353" s="56"/>
      <c r="J353" s="58"/>
      <c r="K353" s="56"/>
      <c r="L353" s="56"/>
      <c r="O353" s="56"/>
    </row>
    <row r="354" spans="1:15" ht="13" x14ac:dyDescent="0.15">
      <c r="A354" s="56"/>
      <c r="B354" s="56"/>
      <c r="J354" s="58"/>
      <c r="K354" s="56"/>
      <c r="L354" s="56"/>
      <c r="O354" s="56"/>
    </row>
    <row r="355" spans="1:15" ht="13" x14ac:dyDescent="0.15">
      <c r="A355" s="56"/>
      <c r="B355" s="56"/>
      <c r="J355" s="58"/>
      <c r="K355" s="56"/>
      <c r="L355" s="56"/>
      <c r="O355" s="56"/>
    </row>
    <row r="356" spans="1:15" ht="13" x14ac:dyDescent="0.15">
      <c r="A356" s="56"/>
      <c r="B356" s="56"/>
      <c r="J356" s="58"/>
      <c r="K356" s="56"/>
      <c r="L356" s="56"/>
      <c r="O356" s="56"/>
    </row>
    <row r="357" spans="1:15" ht="13" x14ac:dyDescent="0.15">
      <c r="A357" s="56"/>
      <c r="B357" s="56"/>
      <c r="J357" s="58"/>
      <c r="K357" s="56"/>
      <c r="L357" s="56"/>
      <c r="O357" s="56"/>
    </row>
    <row r="358" spans="1:15" ht="13" x14ac:dyDescent="0.15">
      <c r="A358" s="56"/>
      <c r="B358" s="56"/>
      <c r="J358" s="58"/>
      <c r="K358" s="56"/>
      <c r="L358" s="56"/>
      <c r="O358" s="56"/>
    </row>
    <row r="359" spans="1:15" ht="13" x14ac:dyDescent="0.15">
      <c r="A359" s="56"/>
      <c r="B359" s="56"/>
      <c r="J359" s="58"/>
      <c r="K359" s="56"/>
      <c r="L359" s="56"/>
      <c r="O359" s="56"/>
    </row>
    <row r="360" spans="1:15" ht="13" x14ac:dyDescent="0.15">
      <c r="A360" s="56"/>
      <c r="B360" s="56"/>
      <c r="J360" s="58"/>
      <c r="K360" s="56"/>
      <c r="L360" s="56"/>
      <c r="O360" s="56"/>
    </row>
    <row r="361" spans="1:15" ht="13" x14ac:dyDescent="0.15">
      <c r="A361" s="56"/>
      <c r="B361" s="56"/>
      <c r="J361" s="58"/>
      <c r="K361" s="56"/>
      <c r="L361" s="56"/>
      <c r="O361" s="56"/>
    </row>
    <row r="362" spans="1:15" ht="13" x14ac:dyDescent="0.15">
      <c r="A362" s="56"/>
      <c r="B362" s="56"/>
      <c r="J362" s="58"/>
      <c r="K362" s="56"/>
      <c r="L362" s="56"/>
      <c r="O362" s="56"/>
    </row>
    <row r="363" spans="1:15" ht="13" x14ac:dyDescent="0.15">
      <c r="A363" s="56"/>
      <c r="B363" s="56"/>
      <c r="J363" s="58"/>
      <c r="K363" s="56"/>
      <c r="L363" s="56"/>
      <c r="O363" s="56"/>
    </row>
    <row r="364" spans="1:15" ht="13" x14ac:dyDescent="0.15">
      <c r="A364" s="56"/>
      <c r="B364" s="56"/>
      <c r="J364" s="58"/>
      <c r="K364" s="56"/>
      <c r="L364" s="56"/>
      <c r="O364" s="56"/>
    </row>
    <row r="365" spans="1:15" ht="13" x14ac:dyDescent="0.15">
      <c r="A365" s="56"/>
      <c r="B365" s="56"/>
      <c r="J365" s="58"/>
      <c r="K365" s="56"/>
      <c r="L365" s="56"/>
      <c r="O365" s="56"/>
    </row>
    <row r="366" spans="1:15" ht="13" x14ac:dyDescent="0.15">
      <c r="A366" s="56"/>
      <c r="B366" s="56"/>
      <c r="J366" s="58"/>
      <c r="K366" s="56"/>
      <c r="L366" s="56"/>
      <c r="O366" s="56"/>
    </row>
    <row r="367" spans="1:15" ht="13" x14ac:dyDescent="0.15">
      <c r="A367" s="56"/>
      <c r="B367" s="56"/>
      <c r="J367" s="58"/>
      <c r="K367" s="56"/>
      <c r="L367" s="56"/>
      <c r="O367" s="56"/>
    </row>
    <row r="368" spans="1:15" ht="13" x14ac:dyDescent="0.15">
      <c r="A368" s="56"/>
      <c r="B368" s="56"/>
      <c r="J368" s="58"/>
      <c r="K368" s="56"/>
      <c r="L368" s="56"/>
      <c r="O368" s="56"/>
    </row>
    <row r="369" spans="1:15" ht="13" x14ac:dyDescent="0.15">
      <c r="A369" s="56"/>
      <c r="B369" s="56"/>
      <c r="J369" s="58"/>
      <c r="K369" s="56"/>
      <c r="L369" s="56"/>
      <c r="O369" s="56"/>
    </row>
    <row r="370" spans="1:15" ht="13" x14ac:dyDescent="0.15">
      <c r="A370" s="56"/>
      <c r="B370" s="56"/>
      <c r="J370" s="58"/>
      <c r="K370" s="56"/>
      <c r="L370" s="56"/>
      <c r="O370" s="56"/>
    </row>
    <row r="371" spans="1:15" ht="13" x14ac:dyDescent="0.15">
      <c r="A371" s="56"/>
      <c r="B371" s="56"/>
      <c r="J371" s="58"/>
      <c r="K371" s="56"/>
      <c r="L371" s="56"/>
      <c r="O371" s="56"/>
    </row>
    <row r="372" spans="1:15" ht="13" x14ac:dyDescent="0.15">
      <c r="A372" s="56"/>
      <c r="B372" s="56"/>
      <c r="J372" s="58"/>
      <c r="K372" s="56"/>
      <c r="L372" s="56"/>
      <c r="O372" s="56"/>
    </row>
    <row r="373" spans="1:15" ht="13" x14ac:dyDescent="0.15">
      <c r="A373" s="56"/>
      <c r="B373" s="56"/>
      <c r="J373" s="58"/>
      <c r="K373" s="56"/>
      <c r="L373" s="56"/>
      <c r="O373" s="56"/>
    </row>
    <row r="374" spans="1:15" ht="13" x14ac:dyDescent="0.15">
      <c r="A374" s="56"/>
      <c r="B374" s="56"/>
      <c r="J374" s="58"/>
      <c r="K374" s="56"/>
      <c r="L374" s="56"/>
      <c r="O374" s="56"/>
    </row>
    <row r="375" spans="1:15" ht="13" x14ac:dyDescent="0.15">
      <c r="A375" s="56"/>
      <c r="B375" s="56"/>
      <c r="J375" s="58"/>
      <c r="K375" s="56"/>
      <c r="L375" s="56"/>
      <c r="O375" s="56"/>
    </row>
    <row r="376" spans="1:15" ht="13" x14ac:dyDescent="0.15">
      <c r="A376" s="56"/>
      <c r="B376" s="56"/>
      <c r="J376" s="58"/>
      <c r="K376" s="56"/>
      <c r="L376" s="56"/>
      <c r="O376" s="56"/>
    </row>
    <row r="377" spans="1:15" ht="13" x14ac:dyDescent="0.15">
      <c r="A377" s="56"/>
      <c r="B377" s="56"/>
      <c r="J377" s="58"/>
      <c r="K377" s="56"/>
      <c r="L377" s="56"/>
      <c r="O377" s="56"/>
    </row>
    <row r="378" spans="1:15" ht="13" x14ac:dyDescent="0.15">
      <c r="A378" s="56"/>
      <c r="B378" s="56"/>
      <c r="J378" s="58"/>
      <c r="K378" s="56"/>
      <c r="L378" s="56"/>
      <c r="O378" s="56"/>
    </row>
    <row r="379" spans="1:15" ht="13" x14ac:dyDescent="0.15">
      <c r="A379" s="56"/>
      <c r="B379" s="56"/>
      <c r="J379" s="58"/>
      <c r="K379" s="56"/>
      <c r="L379" s="56"/>
      <c r="O379" s="56"/>
    </row>
    <row r="380" spans="1:15" ht="13" x14ac:dyDescent="0.15">
      <c r="A380" s="56"/>
      <c r="B380" s="56"/>
      <c r="J380" s="58"/>
      <c r="K380" s="56"/>
      <c r="L380" s="56"/>
      <c r="O380" s="56"/>
    </row>
    <row r="381" spans="1:15" ht="13" x14ac:dyDescent="0.15">
      <c r="A381" s="56"/>
      <c r="B381" s="56"/>
      <c r="J381" s="58"/>
      <c r="K381" s="56"/>
      <c r="L381" s="56"/>
      <c r="O381" s="56"/>
    </row>
    <row r="382" spans="1:15" ht="13" x14ac:dyDescent="0.15">
      <c r="A382" s="56"/>
      <c r="B382" s="56"/>
      <c r="J382" s="58"/>
      <c r="K382" s="56"/>
      <c r="L382" s="56"/>
      <c r="O382" s="56"/>
    </row>
    <row r="383" spans="1:15" ht="13" x14ac:dyDescent="0.15">
      <c r="A383" s="56"/>
      <c r="B383" s="56"/>
      <c r="J383" s="58"/>
      <c r="K383" s="56"/>
      <c r="L383" s="56"/>
      <c r="O383" s="56"/>
    </row>
    <row r="384" spans="1:15" ht="13" x14ac:dyDescent="0.15">
      <c r="A384" s="56"/>
      <c r="B384" s="56"/>
      <c r="J384" s="58"/>
      <c r="K384" s="56"/>
      <c r="L384" s="56"/>
      <c r="O384" s="56"/>
    </row>
    <row r="385" spans="1:15" ht="13" x14ac:dyDescent="0.15">
      <c r="A385" s="56"/>
      <c r="B385" s="56"/>
      <c r="J385" s="58"/>
      <c r="K385" s="56"/>
      <c r="L385" s="56"/>
      <c r="O385" s="56"/>
    </row>
    <row r="386" spans="1:15" ht="13" x14ac:dyDescent="0.15">
      <c r="A386" s="56"/>
      <c r="B386" s="56"/>
      <c r="J386" s="58"/>
      <c r="K386" s="56"/>
      <c r="L386" s="56"/>
      <c r="O386" s="56"/>
    </row>
    <row r="387" spans="1:15" ht="13" x14ac:dyDescent="0.15">
      <c r="A387" s="56"/>
      <c r="B387" s="56"/>
      <c r="J387" s="58"/>
      <c r="K387" s="56"/>
      <c r="L387" s="56"/>
      <c r="O387" s="56"/>
    </row>
    <row r="388" spans="1:15" ht="13" x14ac:dyDescent="0.15">
      <c r="A388" s="56"/>
      <c r="B388" s="56"/>
      <c r="J388" s="58"/>
      <c r="K388" s="56"/>
      <c r="L388" s="56"/>
      <c r="O388" s="56"/>
    </row>
    <row r="389" spans="1:15" ht="13" x14ac:dyDescent="0.15">
      <c r="A389" s="56"/>
      <c r="B389" s="56"/>
      <c r="J389" s="58"/>
      <c r="K389" s="56"/>
      <c r="L389" s="56"/>
      <c r="O389" s="56"/>
    </row>
    <row r="390" spans="1:15" ht="13" x14ac:dyDescent="0.15">
      <c r="A390" s="56"/>
      <c r="B390" s="56"/>
      <c r="J390" s="58"/>
      <c r="K390" s="56"/>
      <c r="L390" s="56"/>
      <c r="O390" s="56"/>
    </row>
    <row r="391" spans="1:15" ht="13" x14ac:dyDescent="0.15">
      <c r="A391" s="56"/>
      <c r="B391" s="56"/>
      <c r="J391" s="58"/>
      <c r="K391" s="56"/>
      <c r="L391" s="56"/>
      <c r="O391" s="56"/>
    </row>
    <row r="392" spans="1:15" ht="13" x14ac:dyDescent="0.15">
      <c r="A392" s="56"/>
      <c r="B392" s="56"/>
      <c r="J392" s="58"/>
      <c r="K392" s="56"/>
      <c r="L392" s="56"/>
      <c r="O392" s="56"/>
    </row>
    <row r="393" spans="1:15" ht="13" x14ac:dyDescent="0.15">
      <c r="A393" s="56"/>
      <c r="B393" s="56"/>
      <c r="J393" s="58"/>
      <c r="K393" s="56"/>
      <c r="L393" s="56"/>
      <c r="O393" s="56"/>
    </row>
    <row r="394" spans="1:15" ht="13" x14ac:dyDescent="0.15">
      <c r="A394" s="56"/>
      <c r="B394" s="56"/>
      <c r="J394" s="58"/>
      <c r="K394" s="56"/>
      <c r="L394" s="56"/>
      <c r="O394" s="56"/>
    </row>
    <row r="395" spans="1:15" ht="13" x14ac:dyDescent="0.15">
      <c r="A395" s="56"/>
      <c r="B395" s="56"/>
      <c r="J395" s="58"/>
      <c r="K395" s="56"/>
      <c r="L395" s="56"/>
      <c r="O395" s="56"/>
    </row>
    <row r="396" spans="1:15" ht="13" x14ac:dyDescent="0.15">
      <c r="A396" s="56"/>
      <c r="B396" s="56"/>
      <c r="J396" s="58"/>
      <c r="K396" s="56"/>
      <c r="L396" s="56"/>
      <c r="O396" s="56"/>
    </row>
    <row r="397" spans="1:15" ht="13" x14ac:dyDescent="0.15">
      <c r="A397" s="56"/>
      <c r="B397" s="56"/>
      <c r="J397" s="58"/>
      <c r="K397" s="56"/>
      <c r="L397" s="56"/>
      <c r="O397" s="56"/>
    </row>
    <row r="398" spans="1:15" ht="13" x14ac:dyDescent="0.15">
      <c r="A398" s="56"/>
      <c r="B398" s="56"/>
      <c r="J398" s="58"/>
      <c r="K398" s="56"/>
      <c r="L398" s="56"/>
      <c r="O398" s="56"/>
    </row>
    <row r="399" spans="1:15" ht="13" x14ac:dyDescent="0.15">
      <c r="A399" s="56"/>
      <c r="B399" s="56"/>
      <c r="J399" s="58"/>
      <c r="K399" s="56"/>
      <c r="L399" s="56"/>
      <c r="O399" s="56"/>
    </row>
    <row r="400" spans="1:15" ht="13" x14ac:dyDescent="0.15">
      <c r="A400" s="56"/>
      <c r="B400" s="56"/>
      <c r="J400" s="58"/>
      <c r="K400" s="56"/>
      <c r="L400" s="56"/>
      <c r="O400" s="56"/>
    </row>
    <row r="401" spans="1:15" ht="13" x14ac:dyDescent="0.15">
      <c r="A401" s="56"/>
      <c r="B401" s="56"/>
      <c r="J401" s="58"/>
      <c r="K401" s="56"/>
      <c r="L401" s="56"/>
      <c r="O401" s="56"/>
    </row>
    <row r="402" spans="1:15" ht="13" x14ac:dyDescent="0.15">
      <c r="A402" s="56"/>
      <c r="B402" s="56"/>
      <c r="J402" s="58"/>
      <c r="K402" s="56"/>
      <c r="L402" s="56"/>
      <c r="O402" s="56"/>
    </row>
    <row r="403" spans="1:15" ht="13" x14ac:dyDescent="0.15">
      <c r="A403" s="56"/>
      <c r="B403" s="56"/>
      <c r="J403" s="58"/>
      <c r="K403" s="56"/>
      <c r="L403" s="56"/>
      <c r="O403" s="56"/>
    </row>
    <row r="404" spans="1:15" ht="13" x14ac:dyDescent="0.15">
      <c r="A404" s="56"/>
      <c r="B404" s="56"/>
      <c r="J404" s="58"/>
      <c r="K404" s="56"/>
      <c r="L404" s="56"/>
      <c r="O404" s="56"/>
    </row>
    <row r="405" spans="1:15" ht="13" x14ac:dyDescent="0.15">
      <c r="A405" s="56"/>
      <c r="B405" s="56"/>
      <c r="J405" s="58"/>
      <c r="K405" s="56"/>
      <c r="L405" s="56"/>
      <c r="O405" s="56"/>
    </row>
    <row r="406" spans="1:15" ht="13" x14ac:dyDescent="0.15">
      <c r="A406" s="56"/>
      <c r="B406" s="56"/>
      <c r="J406" s="58"/>
      <c r="K406" s="56"/>
      <c r="L406" s="56"/>
      <c r="O406" s="56"/>
    </row>
    <row r="407" spans="1:15" ht="13" x14ac:dyDescent="0.15">
      <c r="A407" s="56"/>
      <c r="B407" s="56"/>
      <c r="J407" s="58"/>
      <c r="K407" s="56"/>
      <c r="L407" s="56"/>
      <c r="O407" s="56"/>
    </row>
    <row r="408" spans="1:15" ht="13" x14ac:dyDescent="0.15">
      <c r="A408" s="56"/>
      <c r="B408" s="56"/>
      <c r="J408" s="58"/>
      <c r="K408" s="56"/>
      <c r="L408" s="56"/>
      <c r="O408" s="56"/>
    </row>
    <row r="409" spans="1:15" ht="13" x14ac:dyDescent="0.15">
      <c r="A409" s="56"/>
      <c r="B409" s="56"/>
      <c r="J409" s="58"/>
      <c r="K409" s="56"/>
      <c r="L409" s="56"/>
      <c r="O409" s="56"/>
    </row>
    <row r="410" spans="1:15" ht="13" x14ac:dyDescent="0.15">
      <c r="A410" s="56"/>
      <c r="B410" s="56"/>
      <c r="J410" s="58"/>
      <c r="K410" s="56"/>
      <c r="L410" s="56"/>
      <c r="O410" s="56"/>
    </row>
    <row r="411" spans="1:15" ht="13" x14ac:dyDescent="0.15">
      <c r="A411" s="56"/>
      <c r="B411" s="56"/>
      <c r="J411" s="58"/>
      <c r="K411" s="56"/>
      <c r="L411" s="56"/>
      <c r="O411" s="56"/>
    </row>
    <row r="412" spans="1:15" ht="13" x14ac:dyDescent="0.15">
      <c r="A412" s="56"/>
      <c r="B412" s="56"/>
      <c r="J412" s="58"/>
      <c r="K412" s="56"/>
      <c r="L412" s="56"/>
      <c r="O412" s="56"/>
    </row>
    <row r="413" spans="1:15" ht="13" x14ac:dyDescent="0.15">
      <c r="A413" s="56"/>
      <c r="B413" s="56"/>
      <c r="J413" s="58"/>
      <c r="K413" s="56"/>
      <c r="L413" s="56"/>
      <c r="O413" s="56"/>
    </row>
    <row r="414" spans="1:15" ht="13" x14ac:dyDescent="0.15">
      <c r="A414" s="56"/>
      <c r="B414" s="56"/>
      <c r="J414" s="58"/>
      <c r="K414" s="56"/>
      <c r="L414" s="56"/>
      <c r="O414" s="56"/>
    </row>
    <row r="415" spans="1:15" ht="13" x14ac:dyDescent="0.15">
      <c r="A415" s="56"/>
      <c r="B415" s="56"/>
      <c r="J415" s="58"/>
      <c r="K415" s="56"/>
      <c r="L415" s="56"/>
      <c r="O415" s="56"/>
    </row>
    <row r="416" spans="1:15" ht="13" x14ac:dyDescent="0.15">
      <c r="A416" s="56"/>
      <c r="B416" s="56"/>
      <c r="J416" s="58"/>
      <c r="K416" s="56"/>
      <c r="L416" s="56"/>
      <c r="O416" s="56"/>
    </row>
    <row r="417" spans="1:15" ht="13" x14ac:dyDescent="0.15">
      <c r="A417" s="56"/>
      <c r="B417" s="56"/>
      <c r="J417" s="58"/>
      <c r="K417" s="56"/>
      <c r="L417" s="56"/>
      <c r="O417" s="56"/>
    </row>
    <row r="418" spans="1:15" ht="13" x14ac:dyDescent="0.15">
      <c r="A418" s="56"/>
      <c r="B418" s="56"/>
      <c r="J418" s="58"/>
      <c r="K418" s="56"/>
      <c r="L418" s="56"/>
      <c r="O418" s="56"/>
    </row>
    <row r="419" spans="1:15" ht="13" x14ac:dyDescent="0.15">
      <c r="A419" s="56"/>
      <c r="B419" s="56"/>
      <c r="J419" s="58"/>
      <c r="K419" s="56"/>
      <c r="L419" s="56"/>
      <c r="O419" s="56"/>
    </row>
    <row r="420" spans="1:15" ht="13" x14ac:dyDescent="0.15">
      <c r="A420" s="56"/>
      <c r="B420" s="56"/>
      <c r="J420" s="58"/>
      <c r="K420" s="56"/>
      <c r="L420" s="56"/>
      <c r="O420" s="56"/>
    </row>
    <row r="421" spans="1:15" ht="13" x14ac:dyDescent="0.15">
      <c r="A421" s="56"/>
      <c r="B421" s="56"/>
      <c r="J421" s="58"/>
      <c r="K421" s="56"/>
      <c r="L421" s="56"/>
      <c r="O421" s="56"/>
    </row>
    <row r="422" spans="1:15" ht="13" x14ac:dyDescent="0.15">
      <c r="A422" s="56"/>
      <c r="B422" s="56"/>
      <c r="J422" s="58"/>
      <c r="K422" s="56"/>
      <c r="L422" s="56"/>
      <c r="O422" s="56"/>
    </row>
    <row r="423" spans="1:15" ht="13" x14ac:dyDescent="0.15">
      <c r="A423" s="56"/>
      <c r="B423" s="56"/>
      <c r="J423" s="58"/>
      <c r="K423" s="56"/>
      <c r="L423" s="56"/>
      <c r="O423" s="56"/>
    </row>
    <row r="424" spans="1:15" ht="13" x14ac:dyDescent="0.15">
      <c r="A424" s="56"/>
      <c r="B424" s="56"/>
      <c r="J424" s="58"/>
      <c r="K424" s="56"/>
      <c r="L424" s="56"/>
      <c r="O424" s="56"/>
    </row>
    <row r="425" spans="1:15" ht="13" x14ac:dyDescent="0.15">
      <c r="A425" s="56"/>
      <c r="B425" s="56"/>
      <c r="J425" s="58"/>
      <c r="K425" s="56"/>
      <c r="L425" s="56"/>
      <c r="O425" s="56"/>
    </row>
    <row r="426" spans="1:15" ht="13" x14ac:dyDescent="0.15">
      <c r="A426" s="56"/>
      <c r="B426" s="56"/>
      <c r="J426" s="58"/>
      <c r="K426" s="56"/>
      <c r="L426" s="56"/>
      <c r="O426" s="56"/>
    </row>
    <row r="427" spans="1:15" ht="13" x14ac:dyDescent="0.15">
      <c r="A427" s="56"/>
      <c r="B427" s="56"/>
      <c r="J427" s="58"/>
      <c r="K427" s="56"/>
      <c r="L427" s="56"/>
      <c r="O427" s="56"/>
    </row>
    <row r="428" spans="1:15" ht="13" x14ac:dyDescent="0.15">
      <c r="A428" s="56"/>
      <c r="B428" s="56"/>
      <c r="J428" s="58"/>
      <c r="K428" s="56"/>
      <c r="L428" s="56"/>
      <c r="O428" s="56"/>
    </row>
    <row r="429" spans="1:15" ht="13" x14ac:dyDescent="0.15">
      <c r="A429" s="56"/>
      <c r="B429" s="56"/>
      <c r="J429" s="58"/>
      <c r="K429" s="56"/>
      <c r="L429" s="56"/>
      <c r="O429" s="56"/>
    </row>
    <row r="430" spans="1:15" ht="13" x14ac:dyDescent="0.15">
      <c r="A430" s="56"/>
      <c r="B430" s="56"/>
      <c r="J430" s="58"/>
      <c r="K430" s="56"/>
      <c r="L430" s="56"/>
      <c r="O430" s="56"/>
    </row>
    <row r="431" spans="1:15" ht="13" x14ac:dyDescent="0.15">
      <c r="A431" s="56"/>
      <c r="B431" s="56"/>
      <c r="J431" s="58"/>
      <c r="K431" s="56"/>
      <c r="L431" s="56"/>
      <c r="O431" s="56"/>
    </row>
    <row r="432" spans="1:15" ht="13" x14ac:dyDescent="0.15">
      <c r="A432" s="56"/>
      <c r="B432" s="56"/>
      <c r="J432" s="58"/>
      <c r="K432" s="56"/>
      <c r="L432" s="56"/>
      <c r="O432" s="56"/>
    </row>
    <row r="433" spans="1:15" ht="13" x14ac:dyDescent="0.15">
      <c r="A433" s="56"/>
      <c r="B433" s="56"/>
      <c r="J433" s="58"/>
      <c r="K433" s="56"/>
      <c r="L433" s="56"/>
      <c r="O433" s="56"/>
    </row>
    <row r="434" spans="1:15" ht="13" x14ac:dyDescent="0.15">
      <c r="A434" s="56"/>
      <c r="B434" s="56"/>
      <c r="J434" s="58"/>
      <c r="K434" s="56"/>
      <c r="L434" s="56"/>
      <c r="O434" s="56"/>
    </row>
    <row r="435" spans="1:15" ht="13" x14ac:dyDescent="0.15">
      <c r="A435" s="56"/>
      <c r="B435" s="56"/>
      <c r="J435" s="58"/>
      <c r="K435" s="56"/>
      <c r="L435" s="56"/>
      <c r="O435" s="56"/>
    </row>
    <row r="436" spans="1:15" ht="13" x14ac:dyDescent="0.15">
      <c r="A436" s="56"/>
      <c r="B436" s="56"/>
      <c r="J436" s="58"/>
      <c r="K436" s="56"/>
      <c r="L436" s="56"/>
      <c r="O436" s="56"/>
    </row>
    <row r="437" spans="1:15" ht="13" x14ac:dyDescent="0.15">
      <c r="A437" s="56"/>
      <c r="B437" s="56"/>
      <c r="J437" s="58"/>
      <c r="K437" s="56"/>
      <c r="L437" s="56"/>
      <c r="O437" s="56"/>
    </row>
    <row r="438" spans="1:15" ht="13" x14ac:dyDescent="0.15">
      <c r="A438" s="56"/>
      <c r="B438" s="56"/>
      <c r="J438" s="58"/>
      <c r="K438" s="56"/>
      <c r="L438" s="56"/>
      <c r="O438" s="56"/>
    </row>
    <row r="439" spans="1:15" ht="13" x14ac:dyDescent="0.15">
      <c r="A439" s="56"/>
      <c r="B439" s="56"/>
      <c r="J439" s="58"/>
      <c r="K439" s="56"/>
      <c r="L439" s="56"/>
      <c r="O439" s="56"/>
    </row>
    <row r="440" spans="1:15" ht="13" x14ac:dyDescent="0.15">
      <c r="A440" s="56"/>
      <c r="B440" s="56"/>
      <c r="J440" s="58"/>
      <c r="K440" s="56"/>
      <c r="L440" s="56"/>
      <c r="O440" s="56"/>
    </row>
    <row r="441" spans="1:15" ht="13" x14ac:dyDescent="0.15">
      <c r="A441" s="56"/>
      <c r="B441" s="56"/>
      <c r="J441" s="58"/>
      <c r="K441" s="56"/>
      <c r="L441" s="56"/>
      <c r="O441" s="56"/>
    </row>
    <row r="442" spans="1:15" ht="13" x14ac:dyDescent="0.15">
      <c r="A442" s="56"/>
      <c r="B442" s="56"/>
      <c r="J442" s="58"/>
      <c r="K442" s="56"/>
      <c r="L442" s="56"/>
      <c r="O442" s="56"/>
    </row>
    <row r="443" spans="1:15" ht="13" x14ac:dyDescent="0.15">
      <c r="A443" s="56"/>
      <c r="B443" s="56"/>
      <c r="J443" s="58"/>
      <c r="K443" s="56"/>
      <c r="L443" s="56"/>
      <c r="O443" s="56"/>
    </row>
    <row r="444" spans="1:15" ht="13" x14ac:dyDescent="0.15">
      <c r="A444" s="56"/>
      <c r="B444" s="56"/>
      <c r="J444" s="58"/>
      <c r="K444" s="56"/>
      <c r="L444" s="56"/>
      <c r="O444" s="56"/>
    </row>
    <row r="445" spans="1:15" ht="13" x14ac:dyDescent="0.15">
      <c r="A445" s="56"/>
      <c r="B445" s="56"/>
      <c r="J445" s="58"/>
      <c r="K445" s="56"/>
      <c r="L445" s="56"/>
      <c r="O445" s="56"/>
    </row>
    <row r="446" spans="1:15" ht="13" x14ac:dyDescent="0.15">
      <c r="A446" s="56"/>
      <c r="B446" s="56"/>
      <c r="J446" s="58"/>
      <c r="K446" s="56"/>
      <c r="L446" s="56"/>
      <c r="O446" s="56"/>
    </row>
    <row r="447" spans="1:15" ht="13" x14ac:dyDescent="0.15">
      <c r="A447" s="56"/>
      <c r="B447" s="56"/>
      <c r="J447" s="58"/>
      <c r="K447" s="56"/>
      <c r="L447" s="56"/>
      <c r="O447" s="56"/>
    </row>
    <row r="448" spans="1:15" ht="13" x14ac:dyDescent="0.15">
      <c r="A448" s="56"/>
      <c r="B448" s="56"/>
      <c r="J448" s="58"/>
      <c r="K448" s="56"/>
      <c r="L448" s="56"/>
      <c r="O448" s="56"/>
    </row>
    <row r="449" spans="1:15" ht="13" x14ac:dyDescent="0.15">
      <c r="A449" s="56"/>
      <c r="B449" s="56"/>
      <c r="J449" s="58"/>
      <c r="K449" s="56"/>
      <c r="L449" s="56"/>
      <c r="O449" s="56"/>
    </row>
    <row r="450" spans="1:15" ht="13" x14ac:dyDescent="0.15">
      <c r="A450" s="56"/>
      <c r="B450" s="56"/>
      <c r="J450" s="58"/>
      <c r="K450" s="56"/>
      <c r="L450" s="56"/>
      <c r="O450" s="56"/>
    </row>
    <row r="451" spans="1:15" ht="13" x14ac:dyDescent="0.15">
      <c r="A451" s="56"/>
      <c r="B451" s="56"/>
      <c r="J451" s="58"/>
      <c r="K451" s="56"/>
      <c r="L451" s="56"/>
      <c r="O451" s="56"/>
    </row>
    <row r="452" spans="1:15" ht="13" x14ac:dyDescent="0.15">
      <c r="A452" s="56"/>
      <c r="B452" s="56"/>
      <c r="J452" s="58"/>
      <c r="K452" s="56"/>
      <c r="L452" s="56"/>
      <c r="O452" s="56"/>
    </row>
    <row r="453" spans="1:15" ht="13" x14ac:dyDescent="0.15">
      <c r="A453" s="56"/>
      <c r="B453" s="56"/>
      <c r="J453" s="58"/>
      <c r="K453" s="56"/>
      <c r="L453" s="56"/>
      <c r="O453" s="56"/>
    </row>
    <row r="454" spans="1:15" ht="13" x14ac:dyDescent="0.15">
      <c r="A454" s="56"/>
      <c r="B454" s="56"/>
      <c r="J454" s="58"/>
      <c r="K454" s="56"/>
      <c r="L454" s="56"/>
      <c r="O454" s="56"/>
    </row>
    <row r="455" spans="1:15" ht="13" x14ac:dyDescent="0.15">
      <c r="A455" s="56"/>
      <c r="B455" s="56"/>
      <c r="J455" s="58"/>
      <c r="K455" s="56"/>
      <c r="L455" s="56"/>
      <c r="O455" s="56"/>
    </row>
    <row r="456" spans="1:15" ht="13" x14ac:dyDescent="0.15">
      <c r="A456" s="56"/>
      <c r="B456" s="56"/>
      <c r="J456" s="58"/>
      <c r="K456" s="56"/>
      <c r="L456" s="56"/>
      <c r="O456" s="56"/>
    </row>
    <row r="457" spans="1:15" ht="13" x14ac:dyDescent="0.15">
      <c r="A457" s="56"/>
      <c r="B457" s="56"/>
      <c r="J457" s="58"/>
      <c r="K457" s="56"/>
      <c r="L457" s="56"/>
      <c r="O457" s="56"/>
    </row>
    <row r="458" spans="1:15" ht="13" x14ac:dyDescent="0.15">
      <c r="A458" s="56"/>
      <c r="B458" s="56"/>
      <c r="J458" s="58"/>
      <c r="K458" s="56"/>
      <c r="L458" s="56"/>
      <c r="O458" s="56"/>
    </row>
    <row r="459" spans="1:15" ht="13" x14ac:dyDescent="0.15">
      <c r="A459" s="56"/>
      <c r="B459" s="56"/>
      <c r="J459" s="58"/>
      <c r="K459" s="56"/>
      <c r="L459" s="56"/>
      <c r="O459" s="56"/>
    </row>
    <row r="460" spans="1:15" ht="13" x14ac:dyDescent="0.15">
      <c r="A460" s="56"/>
      <c r="B460" s="56"/>
      <c r="J460" s="58"/>
      <c r="K460" s="56"/>
      <c r="L460" s="56"/>
      <c r="O460" s="56"/>
    </row>
    <row r="461" spans="1:15" ht="13" x14ac:dyDescent="0.15">
      <c r="A461" s="56"/>
      <c r="B461" s="56"/>
      <c r="J461" s="58"/>
      <c r="K461" s="56"/>
      <c r="L461" s="56"/>
      <c r="O461" s="56"/>
    </row>
    <row r="462" spans="1:15" ht="13" x14ac:dyDescent="0.15">
      <c r="A462" s="56"/>
      <c r="B462" s="56"/>
      <c r="J462" s="58"/>
      <c r="K462" s="56"/>
      <c r="L462" s="56"/>
      <c r="O462" s="56"/>
    </row>
    <row r="463" spans="1:15" ht="13" x14ac:dyDescent="0.15">
      <c r="A463" s="56"/>
      <c r="B463" s="56"/>
      <c r="J463" s="58"/>
      <c r="K463" s="56"/>
      <c r="L463" s="56"/>
      <c r="O463" s="56"/>
    </row>
    <row r="464" spans="1:15" ht="13" x14ac:dyDescent="0.15">
      <c r="A464" s="56"/>
      <c r="B464" s="56"/>
      <c r="J464" s="58"/>
      <c r="K464" s="56"/>
      <c r="L464" s="56"/>
      <c r="O464" s="56"/>
    </row>
    <row r="465" spans="1:15" ht="13" x14ac:dyDescent="0.15">
      <c r="A465" s="56"/>
      <c r="B465" s="56"/>
      <c r="J465" s="58"/>
      <c r="K465" s="56"/>
      <c r="L465" s="56"/>
      <c r="O465" s="56"/>
    </row>
    <row r="466" spans="1:15" ht="13" x14ac:dyDescent="0.15">
      <c r="A466" s="56"/>
      <c r="B466" s="56"/>
      <c r="J466" s="58"/>
      <c r="K466" s="56"/>
      <c r="L466" s="56"/>
      <c r="O466" s="56"/>
    </row>
    <row r="467" spans="1:15" ht="13" x14ac:dyDescent="0.15">
      <c r="A467" s="56"/>
      <c r="B467" s="56"/>
      <c r="J467" s="58"/>
      <c r="K467" s="56"/>
      <c r="L467" s="56"/>
      <c r="O467" s="56"/>
    </row>
    <row r="468" spans="1:15" ht="13" x14ac:dyDescent="0.15">
      <c r="A468" s="56"/>
      <c r="B468" s="56"/>
      <c r="J468" s="58"/>
      <c r="K468" s="56"/>
      <c r="L468" s="56"/>
      <c r="O468" s="56"/>
    </row>
    <row r="469" spans="1:15" ht="13" x14ac:dyDescent="0.15">
      <c r="A469" s="56"/>
      <c r="B469" s="56"/>
      <c r="J469" s="58"/>
      <c r="K469" s="56"/>
      <c r="L469" s="56"/>
      <c r="O469" s="56"/>
    </row>
    <row r="470" spans="1:15" ht="13" x14ac:dyDescent="0.15">
      <c r="A470" s="56"/>
      <c r="B470" s="56"/>
      <c r="J470" s="58"/>
      <c r="K470" s="56"/>
      <c r="L470" s="56"/>
      <c r="O470" s="56"/>
    </row>
    <row r="471" spans="1:15" ht="13" x14ac:dyDescent="0.15">
      <c r="A471" s="56"/>
      <c r="B471" s="56"/>
      <c r="J471" s="58"/>
      <c r="K471" s="56"/>
      <c r="L471" s="56"/>
      <c r="O471" s="56"/>
    </row>
    <row r="472" spans="1:15" ht="13" x14ac:dyDescent="0.15">
      <c r="A472" s="56"/>
      <c r="B472" s="56"/>
      <c r="J472" s="58"/>
      <c r="K472" s="56"/>
      <c r="L472" s="56"/>
      <c r="O472" s="56"/>
    </row>
    <row r="473" spans="1:15" ht="13" x14ac:dyDescent="0.15">
      <c r="A473" s="56"/>
      <c r="B473" s="56"/>
      <c r="J473" s="58"/>
      <c r="K473" s="56"/>
      <c r="L473" s="56"/>
      <c r="O473" s="56"/>
    </row>
    <row r="474" spans="1:15" ht="13" x14ac:dyDescent="0.15">
      <c r="A474" s="56"/>
      <c r="B474" s="56"/>
      <c r="J474" s="58"/>
      <c r="K474" s="56"/>
      <c r="L474" s="56"/>
      <c r="O474" s="56"/>
    </row>
    <row r="475" spans="1:15" ht="13" x14ac:dyDescent="0.15">
      <c r="A475" s="56"/>
      <c r="B475" s="56"/>
      <c r="J475" s="58"/>
      <c r="K475" s="56"/>
      <c r="L475" s="56"/>
      <c r="O475" s="56"/>
    </row>
    <row r="476" spans="1:15" ht="13" x14ac:dyDescent="0.15">
      <c r="A476" s="56"/>
      <c r="B476" s="56"/>
      <c r="J476" s="58"/>
      <c r="K476" s="56"/>
      <c r="L476" s="56"/>
      <c r="O476" s="56"/>
    </row>
    <row r="477" spans="1:15" ht="13" x14ac:dyDescent="0.15">
      <c r="A477" s="56"/>
      <c r="B477" s="56"/>
      <c r="J477" s="58"/>
      <c r="K477" s="56"/>
      <c r="L477" s="56"/>
      <c r="O477" s="56"/>
    </row>
    <row r="478" spans="1:15" ht="13" x14ac:dyDescent="0.15">
      <c r="A478" s="56"/>
      <c r="B478" s="56"/>
      <c r="J478" s="58"/>
      <c r="K478" s="56"/>
      <c r="L478" s="56"/>
      <c r="O478" s="56"/>
    </row>
    <row r="479" spans="1:15" ht="13" x14ac:dyDescent="0.15">
      <c r="A479" s="56"/>
      <c r="B479" s="56"/>
      <c r="J479" s="58"/>
      <c r="K479" s="56"/>
      <c r="L479" s="56"/>
      <c r="O479" s="56"/>
    </row>
    <row r="480" spans="1:15" ht="13" x14ac:dyDescent="0.15">
      <c r="A480" s="56"/>
      <c r="B480" s="56"/>
      <c r="J480" s="58"/>
      <c r="K480" s="56"/>
      <c r="L480" s="56"/>
      <c r="O480" s="56"/>
    </row>
    <row r="481" spans="1:15" ht="13" x14ac:dyDescent="0.15">
      <c r="A481" s="56"/>
      <c r="B481" s="56"/>
      <c r="J481" s="58"/>
      <c r="K481" s="56"/>
      <c r="L481" s="56"/>
      <c r="O481" s="56"/>
    </row>
    <row r="482" spans="1:15" ht="13" x14ac:dyDescent="0.15">
      <c r="A482" s="56"/>
      <c r="B482" s="56"/>
      <c r="J482" s="58"/>
      <c r="K482" s="56"/>
      <c r="L482" s="56"/>
      <c r="O482" s="56"/>
    </row>
    <row r="483" spans="1:15" ht="13" x14ac:dyDescent="0.15">
      <c r="A483" s="56"/>
      <c r="B483" s="56"/>
      <c r="J483" s="58"/>
      <c r="K483" s="56"/>
      <c r="L483" s="56"/>
      <c r="O483" s="56"/>
    </row>
    <row r="484" spans="1:15" ht="13" x14ac:dyDescent="0.15">
      <c r="A484" s="56"/>
      <c r="B484" s="56"/>
      <c r="J484" s="58"/>
      <c r="K484" s="56"/>
      <c r="L484" s="56"/>
      <c r="O484" s="56"/>
    </row>
    <row r="485" spans="1:15" ht="13" x14ac:dyDescent="0.15">
      <c r="A485" s="56"/>
      <c r="B485" s="56"/>
      <c r="J485" s="58"/>
      <c r="K485" s="56"/>
      <c r="L485" s="56"/>
      <c r="O485" s="56"/>
    </row>
    <row r="486" spans="1:15" ht="13" x14ac:dyDescent="0.15">
      <c r="A486" s="56"/>
      <c r="B486" s="56"/>
      <c r="J486" s="58"/>
      <c r="K486" s="56"/>
      <c r="L486" s="56"/>
      <c r="O486" s="56"/>
    </row>
    <row r="487" spans="1:15" ht="13" x14ac:dyDescent="0.15">
      <c r="A487" s="56"/>
      <c r="B487" s="56"/>
      <c r="J487" s="58"/>
      <c r="K487" s="56"/>
      <c r="L487" s="56"/>
      <c r="O487" s="56"/>
    </row>
    <row r="488" spans="1:15" ht="13" x14ac:dyDescent="0.15">
      <c r="A488" s="56"/>
      <c r="B488" s="56"/>
      <c r="J488" s="58"/>
      <c r="K488" s="56"/>
      <c r="L488" s="56"/>
      <c r="O488" s="56"/>
    </row>
    <row r="489" spans="1:15" ht="13" x14ac:dyDescent="0.15">
      <c r="A489" s="56"/>
      <c r="B489" s="56"/>
      <c r="J489" s="58"/>
      <c r="K489" s="56"/>
      <c r="L489" s="56"/>
      <c r="O489" s="56"/>
    </row>
    <row r="490" spans="1:15" ht="13" x14ac:dyDescent="0.15">
      <c r="A490" s="56"/>
      <c r="B490" s="56"/>
      <c r="J490" s="58"/>
      <c r="K490" s="56"/>
      <c r="L490" s="56"/>
      <c r="O490" s="56"/>
    </row>
    <row r="491" spans="1:15" ht="13" x14ac:dyDescent="0.15">
      <c r="A491" s="56"/>
      <c r="B491" s="56"/>
      <c r="J491" s="58"/>
      <c r="K491" s="56"/>
      <c r="L491" s="56"/>
      <c r="O491" s="56"/>
    </row>
    <row r="492" spans="1:15" ht="13" x14ac:dyDescent="0.15">
      <c r="A492" s="56"/>
      <c r="B492" s="56"/>
      <c r="J492" s="58"/>
      <c r="K492" s="56"/>
      <c r="L492" s="56"/>
      <c r="O492" s="56"/>
    </row>
    <row r="493" spans="1:15" ht="13" x14ac:dyDescent="0.15">
      <c r="A493" s="56"/>
      <c r="B493" s="56"/>
      <c r="J493" s="58"/>
      <c r="K493" s="56"/>
      <c r="L493" s="56"/>
      <c r="O493" s="56"/>
    </row>
    <row r="494" spans="1:15" ht="13" x14ac:dyDescent="0.15">
      <c r="A494" s="56"/>
      <c r="B494" s="56"/>
      <c r="J494" s="58"/>
      <c r="K494" s="56"/>
      <c r="L494" s="56"/>
      <c r="O494" s="56"/>
    </row>
    <row r="495" spans="1:15" ht="13" x14ac:dyDescent="0.15">
      <c r="A495" s="56"/>
      <c r="B495" s="56"/>
      <c r="J495" s="58"/>
      <c r="K495" s="56"/>
      <c r="L495" s="56"/>
      <c r="O495" s="56"/>
    </row>
    <row r="496" spans="1:15" ht="13" x14ac:dyDescent="0.15">
      <c r="A496" s="56"/>
      <c r="B496" s="56"/>
      <c r="J496" s="58"/>
      <c r="K496" s="56"/>
      <c r="L496" s="56"/>
      <c r="O496" s="56"/>
    </row>
    <row r="497" spans="1:15" ht="13" x14ac:dyDescent="0.15">
      <c r="A497" s="56"/>
      <c r="B497" s="56"/>
      <c r="J497" s="58"/>
      <c r="K497" s="56"/>
      <c r="L497" s="56"/>
      <c r="O497" s="56"/>
    </row>
    <row r="498" spans="1:15" ht="13" x14ac:dyDescent="0.15">
      <c r="A498" s="56"/>
      <c r="B498" s="56"/>
      <c r="J498" s="58"/>
      <c r="K498" s="56"/>
      <c r="L498" s="56"/>
      <c r="O498" s="56"/>
    </row>
    <row r="499" spans="1:15" ht="13" x14ac:dyDescent="0.15">
      <c r="A499" s="56"/>
      <c r="B499" s="56"/>
      <c r="J499" s="58"/>
      <c r="K499" s="56"/>
      <c r="L499" s="56"/>
      <c r="O499" s="56"/>
    </row>
    <row r="500" spans="1:15" ht="13" x14ac:dyDescent="0.15">
      <c r="A500" s="56"/>
      <c r="B500" s="56"/>
      <c r="J500" s="58"/>
      <c r="K500" s="56"/>
      <c r="L500" s="56"/>
      <c r="O500" s="56"/>
    </row>
    <row r="501" spans="1:15" ht="13" x14ac:dyDescent="0.15">
      <c r="A501" s="56"/>
      <c r="B501" s="56"/>
      <c r="J501" s="58"/>
      <c r="K501" s="56"/>
      <c r="L501" s="56"/>
      <c r="O501" s="56"/>
    </row>
    <row r="502" spans="1:15" ht="13" x14ac:dyDescent="0.15">
      <c r="A502" s="56"/>
      <c r="B502" s="56"/>
      <c r="J502" s="58"/>
      <c r="K502" s="56"/>
      <c r="L502" s="56"/>
      <c r="O502" s="56"/>
    </row>
    <row r="503" spans="1:15" ht="13" x14ac:dyDescent="0.15">
      <c r="A503" s="56"/>
      <c r="B503" s="56"/>
      <c r="J503" s="58"/>
      <c r="K503" s="56"/>
      <c r="L503" s="56"/>
      <c r="O503" s="56"/>
    </row>
    <row r="504" spans="1:15" ht="13" x14ac:dyDescent="0.15">
      <c r="A504" s="56"/>
      <c r="B504" s="56"/>
      <c r="J504" s="58"/>
      <c r="K504" s="56"/>
      <c r="L504" s="56"/>
      <c r="O504" s="56"/>
    </row>
    <row r="505" spans="1:15" ht="13" x14ac:dyDescent="0.15">
      <c r="A505" s="56"/>
      <c r="B505" s="56"/>
      <c r="J505" s="58"/>
      <c r="K505" s="56"/>
      <c r="L505" s="56"/>
      <c r="O505" s="56"/>
    </row>
    <row r="506" spans="1:15" ht="13" x14ac:dyDescent="0.15">
      <c r="A506" s="56"/>
      <c r="B506" s="56"/>
      <c r="J506" s="58"/>
      <c r="K506" s="56"/>
      <c r="L506" s="56"/>
      <c r="O506" s="56"/>
    </row>
    <row r="507" spans="1:15" ht="13" x14ac:dyDescent="0.15">
      <c r="A507" s="56"/>
      <c r="B507" s="56"/>
      <c r="J507" s="58"/>
      <c r="K507" s="56"/>
      <c r="L507" s="56"/>
      <c r="O507" s="56"/>
    </row>
    <row r="508" spans="1:15" ht="13" x14ac:dyDescent="0.15">
      <c r="A508" s="56"/>
      <c r="B508" s="56"/>
      <c r="J508" s="58"/>
      <c r="K508" s="56"/>
      <c r="L508" s="56"/>
      <c r="O508" s="56"/>
    </row>
    <row r="509" spans="1:15" ht="13" x14ac:dyDescent="0.15">
      <c r="A509" s="56"/>
      <c r="B509" s="56"/>
      <c r="J509" s="58"/>
      <c r="K509" s="56"/>
      <c r="L509" s="56"/>
      <c r="O509" s="56"/>
    </row>
    <row r="510" spans="1:15" ht="13" x14ac:dyDescent="0.15">
      <c r="A510" s="56"/>
      <c r="B510" s="56"/>
      <c r="J510" s="58"/>
      <c r="K510" s="56"/>
      <c r="L510" s="56"/>
      <c r="O510" s="56"/>
    </row>
    <row r="511" spans="1:15" ht="13" x14ac:dyDescent="0.15">
      <c r="A511" s="56"/>
      <c r="B511" s="56"/>
      <c r="J511" s="58"/>
      <c r="K511" s="56"/>
      <c r="L511" s="56"/>
      <c r="O511" s="56"/>
    </row>
    <row r="512" spans="1:15" ht="13" x14ac:dyDescent="0.15">
      <c r="A512" s="56"/>
      <c r="B512" s="56"/>
      <c r="J512" s="58"/>
      <c r="K512" s="56"/>
      <c r="L512" s="56"/>
      <c r="O512" s="56"/>
    </row>
    <row r="513" spans="1:15" ht="13" x14ac:dyDescent="0.15">
      <c r="A513" s="56"/>
      <c r="B513" s="56"/>
      <c r="J513" s="58"/>
      <c r="K513" s="56"/>
      <c r="L513" s="56"/>
      <c r="O513" s="56"/>
    </row>
    <row r="514" spans="1:15" ht="13" x14ac:dyDescent="0.15">
      <c r="A514" s="56"/>
      <c r="B514" s="56"/>
      <c r="J514" s="58"/>
      <c r="K514" s="56"/>
      <c r="L514" s="56"/>
      <c r="O514" s="56"/>
    </row>
    <row r="515" spans="1:15" ht="13" x14ac:dyDescent="0.15">
      <c r="A515" s="56"/>
      <c r="B515" s="56"/>
      <c r="J515" s="58"/>
      <c r="K515" s="56"/>
      <c r="L515" s="56"/>
      <c r="O515" s="56"/>
    </row>
    <row r="516" spans="1:15" ht="13" x14ac:dyDescent="0.15">
      <c r="A516" s="56"/>
      <c r="B516" s="56"/>
      <c r="J516" s="58"/>
      <c r="K516" s="56"/>
      <c r="L516" s="56"/>
      <c r="O516" s="56"/>
    </row>
    <row r="517" spans="1:15" ht="13" x14ac:dyDescent="0.15">
      <c r="A517" s="56"/>
      <c r="B517" s="56"/>
      <c r="J517" s="58"/>
      <c r="K517" s="56"/>
      <c r="L517" s="56"/>
      <c r="O517" s="56"/>
    </row>
    <row r="518" spans="1:15" ht="13" x14ac:dyDescent="0.15">
      <c r="A518" s="56"/>
      <c r="B518" s="56"/>
      <c r="J518" s="58"/>
      <c r="K518" s="56"/>
      <c r="L518" s="56"/>
      <c r="O518" s="56"/>
    </row>
    <row r="519" spans="1:15" ht="13" x14ac:dyDescent="0.15">
      <c r="A519" s="56"/>
      <c r="B519" s="56"/>
      <c r="J519" s="58"/>
      <c r="K519" s="56"/>
      <c r="L519" s="56"/>
      <c r="O519" s="56"/>
    </row>
    <row r="520" spans="1:15" ht="13" x14ac:dyDescent="0.15">
      <c r="A520" s="56"/>
      <c r="B520" s="56"/>
      <c r="J520" s="58"/>
      <c r="K520" s="56"/>
      <c r="L520" s="56"/>
      <c r="O520" s="56"/>
    </row>
    <row r="521" spans="1:15" ht="13" x14ac:dyDescent="0.15">
      <c r="A521" s="56"/>
      <c r="B521" s="56"/>
      <c r="J521" s="58"/>
      <c r="K521" s="56"/>
      <c r="L521" s="56"/>
      <c r="O521" s="56"/>
    </row>
    <row r="522" spans="1:15" ht="13" x14ac:dyDescent="0.15">
      <c r="A522" s="56"/>
      <c r="B522" s="56"/>
      <c r="J522" s="58"/>
      <c r="K522" s="56"/>
      <c r="L522" s="56"/>
      <c r="O522" s="56"/>
    </row>
    <row r="523" spans="1:15" ht="13" x14ac:dyDescent="0.15">
      <c r="A523" s="56"/>
      <c r="B523" s="56"/>
      <c r="J523" s="58"/>
      <c r="K523" s="56"/>
      <c r="L523" s="56"/>
      <c r="O523" s="56"/>
    </row>
    <row r="524" spans="1:15" ht="13" x14ac:dyDescent="0.15">
      <c r="A524" s="56"/>
      <c r="B524" s="56"/>
      <c r="J524" s="58"/>
      <c r="K524" s="56"/>
      <c r="L524" s="56"/>
      <c r="O524" s="56"/>
    </row>
    <row r="525" spans="1:15" ht="13" x14ac:dyDescent="0.15">
      <c r="A525" s="56"/>
      <c r="B525" s="56"/>
      <c r="J525" s="58"/>
      <c r="K525" s="56"/>
      <c r="L525" s="56"/>
      <c r="O525" s="56"/>
    </row>
    <row r="526" spans="1:15" ht="13" x14ac:dyDescent="0.15">
      <c r="A526" s="56"/>
      <c r="B526" s="56"/>
      <c r="J526" s="58"/>
      <c r="K526" s="56"/>
      <c r="L526" s="56"/>
      <c r="O526" s="56"/>
    </row>
    <row r="527" spans="1:15" ht="13" x14ac:dyDescent="0.15">
      <c r="A527" s="56"/>
      <c r="B527" s="56"/>
      <c r="J527" s="58"/>
      <c r="K527" s="56"/>
      <c r="L527" s="56"/>
      <c r="O527" s="56"/>
    </row>
    <row r="528" spans="1:15" ht="13" x14ac:dyDescent="0.15">
      <c r="A528" s="56"/>
      <c r="B528" s="56"/>
      <c r="J528" s="58"/>
      <c r="K528" s="56"/>
      <c r="L528" s="56"/>
      <c r="O528" s="56"/>
    </row>
    <row r="529" spans="1:15" ht="13" x14ac:dyDescent="0.15">
      <c r="A529" s="56"/>
      <c r="B529" s="56"/>
      <c r="J529" s="58"/>
      <c r="K529" s="56"/>
      <c r="L529" s="56"/>
      <c r="O529" s="56"/>
    </row>
    <row r="530" spans="1:15" ht="13" x14ac:dyDescent="0.15">
      <c r="A530" s="56"/>
      <c r="B530" s="56"/>
      <c r="J530" s="58"/>
      <c r="K530" s="56"/>
      <c r="L530" s="56"/>
      <c r="O530" s="56"/>
    </row>
    <row r="531" spans="1:15" ht="13" x14ac:dyDescent="0.15">
      <c r="A531" s="56"/>
      <c r="B531" s="56"/>
      <c r="J531" s="58"/>
      <c r="K531" s="56"/>
      <c r="L531" s="56"/>
      <c r="O531" s="56"/>
    </row>
    <row r="532" spans="1:15" ht="13" x14ac:dyDescent="0.15">
      <c r="A532" s="56"/>
      <c r="B532" s="56"/>
      <c r="J532" s="58"/>
      <c r="K532" s="56"/>
      <c r="L532" s="56"/>
      <c r="O532" s="56"/>
    </row>
    <row r="533" spans="1:15" ht="13" x14ac:dyDescent="0.15">
      <c r="A533" s="56"/>
      <c r="B533" s="56"/>
      <c r="J533" s="58"/>
      <c r="K533" s="56"/>
      <c r="L533" s="56"/>
      <c r="O533" s="56"/>
    </row>
    <row r="534" spans="1:15" ht="13" x14ac:dyDescent="0.15">
      <c r="A534" s="56"/>
      <c r="B534" s="56"/>
      <c r="J534" s="58"/>
      <c r="K534" s="56"/>
      <c r="L534" s="56"/>
      <c r="O534" s="56"/>
    </row>
    <row r="535" spans="1:15" ht="13" x14ac:dyDescent="0.15">
      <c r="A535" s="56"/>
      <c r="B535" s="56"/>
      <c r="J535" s="58"/>
      <c r="K535" s="56"/>
      <c r="L535" s="56"/>
      <c r="O535" s="56"/>
    </row>
    <row r="536" spans="1:15" ht="13" x14ac:dyDescent="0.15">
      <c r="A536" s="56"/>
      <c r="B536" s="56"/>
      <c r="J536" s="58"/>
      <c r="K536" s="56"/>
      <c r="L536" s="56"/>
      <c r="O536" s="56"/>
    </row>
    <row r="537" spans="1:15" ht="13" x14ac:dyDescent="0.15">
      <c r="A537" s="56"/>
      <c r="B537" s="56"/>
      <c r="J537" s="58"/>
      <c r="K537" s="56"/>
      <c r="L537" s="56"/>
      <c r="O537" s="56"/>
    </row>
    <row r="538" spans="1:15" ht="13" x14ac:dyDescent="0.15">
      <c r="A538" s="56"/>
      <c r="B538" s="56"/>
      <c r="J538" s="58"/>
      <c r="K538" s="56"/>
      <c r="L538" s="56"/>
      <c r="O538" s="56"/>
    </row>
    <row r="539" spans="1:15" ht="13" x14ac:dyDescent="0.15">
      <c r="A539" s="56"/>
      <c r="B539" s="56"/>
      <c r="J539" s="58"/>
      <c r="K539" s="56"/>
      <c r="L539" s="56"/>
      <c r="O539" s="56"/>
    </row>
    <row r="540" spans="1:15" ht="13" x14ac:dyDescent="0.15">
      <c r="A540" s="56"/>
      <c r="B540" s="56"/>
      <c r="J540" s="58"/>
      <c r="K540" s="56"/>
      <c r="L540" s="56"/>
      <c r="O540" s="56"/>
    </row>
    <row r="541" spans="1:15" ht="13" x14ac:dyDescent="0.15">
      <c r="A541" s="56"/>
      <c r="B541" s="56"/>
      <c r="J541" s="58"/>
      <c r="K541" s="56"/>
      <c r="L541" s="56"/>
      <c r="O541" s="56"/>
    </row>
    <row r="542" spans="1:15" ht="13" x14ac:dyDescent="0.15">
      <c r="A542" s="56"/>
      <c r="B542" s="56"/>
      <c r="J542" s="58"/>
      <c r="K542" s="56"/>
      <c r="L542" s="56"/>
      <c r="O542" s="56"/>
    </row>
    <row r="543" spans="1:15" ht="13" x14ac:dyDescent="0.15">
      <c r="A543" s="56"/>
      <c r="B543" s="56"/>
      <c r="J543" s="58"/>
      <c r="K543" s="56"/>
      <c r="L543" s="56"/>
      <c r="O543" s="56"/>
    </row>
    <row r="544" spans="1:15" ht="13" x14ac:dyDescent="0.15">
      <c r="A544" s="56"/>
      <c r="B544" s="56"/>
      <c r="J544" s="58"/>
      <c r="K544" s="56"/>
      <c r="L544" s="56"/>
      <c r="O544" s="56"/>
    </row>
    <row r="545" spans="1:15" ht="13" x14ac:dyDescent="0.15">
      <c r="A545" s="56"/>
      <c r="B545" s="56"/>
      <c r="J545" s="58"/>
      <c r="K545" s="56"/>
      <c r="L545" s="56"/>
      <c r="O545" s="56"/>
    </row>
    <row r="546" spans="1:15" ht="13" x14ac:dyDescent="0.15">
      <c r="A546" s="56"/>
      <c r="B546" s="56"/>
      <c r="J546" s="58"/>
      <c r="K546" s="56"/>
      <c r="L546" s="56"/>
      <c r="O546" s="56"/>
    </row>
    <row r="547" spans="1:15" ht="13" x14ac:dyDescent="0.15">
      <c r="A547" s="56"/>
      <c r="B547" s="56"/>
      <c r="J547" s="58"/>
      <c r="K547" s="56"/>
      <c r="L547" s="56"/>
      <c r="O547" s="56"/>
    </row>
    <row r="548" spans="1:15" ht="13" x14ac:dyDescent="0.15">
      <c r="A548" s="56"/>
      <c r="B548" s="56"/>
      <c r="J548" s="58"/>
      <c r="K548" s="56"/>
      <c r="L548" s="56"/>
      <c r="O548" s="56"/>
    </row>
    <row r="549" spans="1:15" ht="13" x14ac:dyDescent="0.15">
      <c r="A549" s="56"/>
      <c r="B549" s="56"/>
      <c r="J549" s="58"/>
      <c r="K549" s="56"/>
      <c r="L549" s="56"/>
      <c r="O549" s="56"/>
    </row>
    <row r="550" spans="1:15" ht="13" x14ac:dyDescent="0.15">
      <c r="A550" s="56"/>
      <c r="B550" s="56"/>
      <c r="J550" s="58"/>
      <c r="K550" s="56"/>
      <c r="L550" s="56"/>
      <c r="O550" s="56"/>
    </row>
    <row r="551" spans="1:15" ht="13" x14ac:dyDescent="0.15">
      <c r="A551" s="56"/>
      <c r="B551" s="56"/>
      <c r="J551" s="58"/>
      <c r="K551" s="56"/>
      <c r="L551" s="56"/>
      <c r="O551" s="56"/>
    </row>
    <row r="552" spans="1:15" ht="13" x14ac:dyDescent="0.15">
      <c r="A552" s="56"/>
      <c r="B552" s="56"/>
      <c r="J552" s="58"/>
      <c r="K552" s="56"/>
      <c r="L552" s="56"/>
      <c r="O552" s="56"/>
    </row>
    <row r="553" spans="1:15" ht="13" x14ac:dyDescent="0.15">
      <c r="A553" s="56"/>
      <c r="B553" s="56"/>
      <c r="J553" s="58"/>
      <c r="K553" s="56"/>
      <c r="L553" s="56"/>
      <c r="O553" s="56"/>
    </row>
    <row r="554" spans="1:15" ht="13" x14ac:dyDescent="0.15">
      <c r="A554" s="56"/>
      <c r="B554" s="56"/>
      <c r="J554" s="58"/>
      <c r="K554" s="56"/>
      <c r="L554" s="56"/>
      <c r="O554" s="56"/>
    </row>
    <row r="555" spans="1:15" ht="13" x14ac:dyDescent="0.15">
      <c r="A555" s="56"/>
      <c r="B555" s="56"/>
      <c r="J555" s="58"/>
      <c r="K555" s="56"/>
      <c r="L555" s="56"/>
      <c r="O555" s="56"/>
    </row>
    <row r="556" spans="1:15" ht="13" x14ac:dyDescent="0.15">
      <c r="A556" s="56"/>
      <c r="B556" s="56"/>
      <c r="J556" s="58"/>
      <c r="K556" s="56"/>
      <c r="L556" s="56"/>
      <c r="O556" s="56"/>
    </row>
    <row r="557" spans="1:15" ht="13" x14ac:dyDescent="0.15">
      <c r="A557" s="56"/>
      <c r="B557" s="56"/>
      <c r="J557" s="58"/>
      <c r="K557" s="56"/>
      <c r="L557" s="56"/>
      <c r="O557" s="56"/>
    </row>
    <row r="558" spans="1:15" ht="13" x14ac:dyDescent="0.15">
      <c r="A558" s="56"/>
      <c r="B558" s="56"/>
      <c r="J558" s="58"/>
      <c r="K558" s="56"/>
      <c r="L558" s="56"/>
      <c r="O558" s="56"/>
    </row>
    <row r="559" spans="1:15" ht="13" x14ac:dyDescent="0.15">
      <c r="A559" s="56"/>
      <c r="B559" s="56"/>
      <c r="J559" s="58"/>
      <c r="K559" s="56"/>
      <c r="L559" s="56"/>
      <c r="O559" s="56"/>
    </row>
    <row r="560" spans="1:15" ht="13" x14ac:dyDescent="0.15">
      <c r="A560" s="56"/>
      <c r="B560" s="56"/>
      <c r="J560" s="58"/>
      <c r="K560" s="56"/>
      <c r="L560" s="56"/>
      <c r="O560" s="56"/>
    </row>
    <row r="561" spans="1:15" ht="13" x14ac:dyDescent="0.15">
      <c r="A561" s="56"/>
      <c r="B561" s="56"/>
      <c r="J561" s="58"/>
      <c r="K561" s="56"/>
      <c r="L561" s="56"/>
      <c r="O561" s="56"/>
    </row>
    <row r="562" spans="1:15" ht="13" x14ac:dyDescent="0.15">
      <c r="A562" s="56"/>
      <c r="B562" s="56"/>
      <c r="J562" s="58"/>
      <c r="K562" s="56"/>
      <c r="L562" s="56"/>
      <c r="O562" s="56"/>
    </row>
    <row r="563" spans="1:15" ht="13" x14ac:dyDescent="0.15">
      <c r="A563" s="56"/>
      <c r="B563" s="56"/>
      <c r="J563" s="58"/>
      <c r="K563" s="56"/>
      <c r="L563" s="56"/>
      <c r="O563" s="56"/>
    </row>
    <row r="564" spans="1:15" ht="13" x14ac:dyDescent="0.15">
      <c r="A564" s="56"/>
      <c r="B564" s="56"/>
      <c r="J564" s="58"/>
      <c r="K564" s="56"/>
      <c r="L564" s="56"/>
      <c r="O564" s="56"/>
    </row>
    <row r="565" spans="1:15" ht="13" x14ac:dyDescent="0.15">
      <c r="A565" s="56"/>
      <c r="B565" s="56"/>
      <c r="J565" s="58"/>
      <c r="K565" s="56"/>
      <c r="L565" s="56"/>
      <c r="O565" s="56"/>
    </row>
    <row r="566" spans="1:15" ht="13" x14ac:dyDescent="0.15">
      <c r="A566" s="56"/>
      <c r="B566" s="56"/>
      <c r="J566" s="58"/>
      <c r="K566" s="56"/>
      <c r="L566" s="56"/>
      <c r="O566" s="56"/>
    </row>
    <row r="567" spans="1:15" ht="13" x14ac:dyDescent="0.15">
      <c r="A567" s="56"/>
      <c r="B567" s="56"/>
      <c r="J567" s="58"/>
      <c r="K567" s="56"/>
      <c r="L567" s="56"/>
      <c r="O567" s="56"/>
    </row>
    <row r="568" spans="1:15" ht="13" x14ac:dyDescent="0.15">
      <c r="A568" s="56"/>
      <c r="B568" s="56"/>
      <c r="J568" s="58"/>
      <c r="K568" s="56"/>
      <c r="L568" s="56"/>
      <c r="O568" s="56"/>
    </row>
    <row r="569" spans="1:15" ht="13" x14ac:dyDescent="0.15">
      <c r="A569" s="56"/>
      <c r="B569" s="56"/>
      <c r="J569" s="58"/>
      <c r="K569" s="56"/>
      <c r="L569" s="56"/>
      <c r="O569" s="56"/>
    </row>
    <row r="570" spans="1:15" ht="13" x14ac:dyDescent="0.15">
      <c r="A570" s="56"/>
      <c r="B570" s="56"/>
      <c r="J570" s="58"/>
      <c r="K570" s="56"/>
      <c r="L570" s="56"/>
      <c r="O570" s="56"/>
    </row>
    <row r="571" spans="1:15" ht="13" x14ac:dyDescent="0.15">
      <c r="A571" s="56"/>
      <c r="B571" s="56"/>
      <c r="J571" s="58"/>
      <c r="K571" s="56"/>
      <c r="L571" s="56"/>
      <c r="O571" s="56"/>
    </row>
    <row r="572" spans="1:15" ht="13" x14ac:dyDescent="0.15">
      <c r="A572" s="56"/>
      <c r="B572" s="56"/>
      <c r="J572" s="58"/>
      <c r="K572" s="56"/>
      <c r="L572" s="56"/>
      <c r="O572" s="56"/>
    </row>
    <row r="573" spans="1:15" ht="13" x14ac:dyDescent="0.15">
      <c r="A573" s="56"/>
      <c r="B573" s="56"/>
      <c r="J573" s="58"/>
      <c r="K573" s="56"/>
      <c r="L573" s="56"/>
      <c r="O573" s="56"/>
    </row>
    <row r="574" spans="1:15" ht="13" x14ac:dyDescent="0.15">
      <c r="A574" s="56"/>
      <c r="B574" s="56"/>
      <c r="J574" s="58"/>
      <c r="K574" s="56"/>
      <c r="L574" s="56"/>
      <c r="O574" s="56"/>
    </row>
    <row r="575" spans="1:15" ht="13" x14ac:dyDescent="0.15">
      <c r="A575" s="56"/>
      <c r="B575" s="56"/>
      <c r="J575" s="58"/>
      <c r="K575" s="56"/>
      <c r="L575" s="56"/>
      <c r="O575" s="56"/>
    </row>
    <row r="576" spans="1:15" ht="13" x14ac:dyDescent="0.15">
      <c r="A576" s="56"/>
      <c r="B576" s="56"/>
      <c r="J576" s="58"/>
      <c r="K576" s="56"/>
      <c r="L576" s="56"/>
      <c r="O576" s="56"/>
    </row>
    <row r="577" spans="1:15" ht="13" x14ac:dyDescent="0.15">
      <c r="A577" s="56"/>
      <c r="B577" s="56"/>
      <c r="J577" s="58"/>
      <c r="K577" s="56"/>
      <c r="L577" s="56"/>
      <c r="O577" s="56"/>
    </row>
    <row r="578" spans="1:15" ht="13" x14ac:dyDescent="0.15">
      <c r="A578" s="56"/>
      <c r="B578" s="56"/>
      <c r="J578" s="58"/>
      <c r="K578" s="56"/>
      <c r="L578" s="56"/>
      <c r="O578" s="56"/>
    </row>
    <row r="579" spans="1:15" ht="13" x14ac:dyDescent="0.15">
      <c r="A579" s="56"/>
      <c r="B579" s="56"/>
      <c r="J579" s="58"/>
      <c r="K579" s="56"/>
      <c r="L579" s="56"/>
      <c r="O579" s="56"/>
    </row>
    <row r="580" spans="1:15" ht="13" x14ac:dyDescent="0.15">
      <c r="A580" s="56"/>
      <c r="B580" s="56"/>
      <c r="J580" s="58"/>
      <c r="K580" s="56"/>
      <c r="L580" s="56"/>
      <c r="O580" s="56"/>
    </row>
    <row r="581" spans="1:15" ht="13" x14ac:dyDescent="0.15">
      <c r="A581" s="56"/>
      <c r="B581" s="56"/>
      <c r="J581" s="58"/>
      <c r="K581" s="56"/>
      <c r="L581" s="56"/>
      <c r="O581" s="56"/>
    </row>
    <row r="582" spans="1:15" ht="13" x14ac:dyDescent="0.15">
      <c r="A582" s="56"/>
      <c r="B582" s="56"/>
      <c r="J582" s="58"/>
      <c r="K582" s="56"/>
      <c r="L582" s="56"/>
      <c r="O582" s="56"/>
    </row>
    <row r="583" spans="1:15" ht="13" x14ac:dyDescent="0.15">
      <c r="A583" s="56"/>
      <c r="B583" s="56"/>
      <c r="J583" s="58"/>
      <c r="K583" s="56"/>
      <c r="L583" s="56"/>
      <c r="O583" s="56"/>
    </row>
    <row r="584" spans="1:15" ht="13" x14ac:dyDescent="0.15">
      <c r="A584" s="56"/>
      <c r="B584" s="56"/>
      <c r="J584" s="58"/>
      <c r="K584" s="56"/>
      <c r="L584" s="56"/>
      <c r="O584" s="56"/>
    </row>
    <row r="585" spans="1:15" ht="13" x14ac:dyDescent="0.15">
      <c r="A585" s="56"/>
      <c r="B585" s="56"/>
      <c r="J585" s="58"/>
      <c r="K585" s="56"/>
      <c r="L585" s="56"/>
      <c r="O585" s="56"/>
    </row>
    <row r="586" spans="1:15" ht="13" x14ac:dyDescent="0.15">
      <c r="A586" s="56"/>
      <c r="B586" s="56"/>
      <c r="J586" s="58"/>
      <c r="K586" s="56"/>
      <c r="L586" s="56"/>
      <c r="O586" s="56"/>
    </row>
    <row r="587" spans="1:15" ht="13" x14ac:dyDescent="0.15">
      <c r="A587" s="56"/>
      <c r="B587" s="56"/>
      <c r="J587" s="58"/>
      <c r="K587" s="56"/>
      <c r="L587" s="56"/>
      <c r="O587" s="56"/>
    </row>
    <row r="588" spans="1:15" ht="13" x14ac:dyDescent="0.15">
      <c r="A588" s="56"/>
      <c r="B588" s="56"/>
      <c r="J588" s="58"/>
      <c r="K588" s="56"/>
      <c r="L588" s="56"/>
      <c r="O588" s="56"/>
    </row>
    <row r="589" spans="1:15" ht="13" x14ac:dyDescent="0.15">
      <c r="A589" s="56"/>
      <c r="B589" s="56"/>
      <c r="J589" s="58"/>
      <c r="K589" s="56"/>
      <c r="L589" s="56"/>
      <c r="O589" s="56"/>
    </row>
    <row r="590" spans="1:15" ht="13" x14ac:dyDescent="0.15">
      <c r="A590" s="56"/>
      <c r="B590" s="56"/>
      <c r="J590" s="58"/>
      <c r="K590" s="56"/>
      <c r="L590" s="56"/>
      <c r="O590" s="56"/>
    </row>
    <row r="591" spans="1:15" ht="13" x14ac:dyDescent="0.15">
      <c r="A591" s="56"/>
      <c r="B591" s="56"/>
      <c r="J591" s="58"/>
      <c r="K591" s="56"/>
      <c r="L591" s="56"/>
      <c r="O591" s="56"/>
    </row>
    <row r="592" spans="1:15" ht="13" x14ac:dyDescent="0.15">
      <c r="A592" s="56"/>
      <c r="B592" s="56"/>
      <c r="J592" s="58"/>
      <c r="K592" s="56"/>
      <c r="L592" s="56"/>
      <c r="O592" s="56"/>
    </row>
    <row r="593" spans="1:15" ht="13" x14ac:dyDescent="0.15">
      <c r="A593" s="56"/>
      <c r="B593" s="56"/>
      <c r="J593" s="58"/>
      <c r="K593" s="56"/>
      <c r="L593" s="56"/>
      <c r="O593" s="56"/>
    </row>
    <row r="594" spans="1:15" ht="13" x14ac:dyDescent="0.15">
      <c r="A594" s="56"/>
      <c r="B594" s="56"/>
      <c r="J594" s="58"/>
      <c r="K594" s="56"/>
      <c r="L594" s="56"/>
      <c r="O594" s="56"/>
    </row>
    <row r="595" spans="1:15" ht="13" x14ac:dyDescent="0.15">
      <c r="A595" s="56"/>
      <c r="B595" s="56"/>
      <c r="J595" s="58"/>
      <c r="K595" s="56"/>
      <c r="L595" s="56"/>
      <c r="O595" s="56"/>
    </row>
    <row r="596" spans="1:15" ht="13" x14ac:dyDescent="0.15">
      <c r="A596" s="56"/>
      <c r="B596" s="56"/>
      <c r="J596" s="58"/>
      <c r="K596" s="56"/>
      <c r="L596" s="56"/>
      <c r="O596" s="56"/>
    </row>
    <row r="597" spans="1:15" ht="13" x14ac:dyDescent="0.15">
      <c r="A597" s="56"/>
      <c r="B597" s="56"/>
      <c r="J597" s="58"/>
      <c r="K597" s="56"/>
      <c r="L597" s="56"/>
      <c r="O597" s="56"/>
    </row>
    <row r="598" spans="1:15" ht="13" x14ac:dyDescent="0.15">
      <c r="A598" s="56"/>
      <c r="B598" s="56"/>
      <c r="J598" s="58"/>
      <c r="K598" s="56"/>
      <c r="L598" s="56"/>
      <c r="O598" s="56"/>
    </row>
    <row r="599" spans="1:15" ht="13" x14ac:dyDescent="0.15">
      <c r="A599" s="56"/>
      <c r="B599" s="56"/>
      <c r="J599" s="58"/>
      <c r="K599" s="56"/>
      <c r="L599" s="56"/>
      <c r="O599" s="56"/>
    </row>
    <row r="600" spans="1:15" ht="13" x14ac:dyDescent="0.15">
      <c r="A600" s="56"/>
      <c r="B600" s="56"/>
      <c r="J600" s="58"/>
      <c r="K600" s="56"/>
      <c r="L600" s="56"/>
      <c r="O600" s="56"/>
    </row>
    <row r="601" spans="1:15" ht="13" x14ac:dyDescent="0.15">
      <c r="A601" s="56"/>
      <c r="B601" s="56"/>
      <c r="J601" s="58"/>
      <c r="K601" s="56"/>
      <c r="L601" s="56"/>
      <c r="O601" s="56"/>
    </row>
    <row r="602" spans="1:15" ht="13" x14ac:dyDescent="0.15">
      <c r="A602" s="56"/>
      <c r="B602" s="56"/>
      <c r="J602" s="58"/>
      <c r="K602" s="56"/>
      <c r="L602" s="56"/>
      <c r="O602" s="56"/>
    </row>
    <row r="603" spans="1:15" ht="13" x14ac:dyDescent="0.15">
      <c r="A603" s="56"/>
      <c r="B603" s="56"/>
      <c r="J603" s="58"/>
      <c r="K603" s="56"/>
      <c r="L603" s="56"/>
      <c r="O603" s="56"/>
    </row>
    <row r="604" spans="1:15" ht="13" x14ac:dyDescent="0.15">
      <c r="A604" s="56"/>
      <c r="B604" s="56"/>
      <c r="J604" s="58"/>
      <c r="K604" s="56"/>
      <c r="L604" s="56"/>
      <c r="O604" s="56"/>
    </row>
    <row r="605" spans="1:15" ht="13" x14ac:dyDescent="0.15">
      <c r="A605" s="56"/>
      <c r="B605" s="56"/>
      <c r="J605" s="58"/>
      <c r="K605" s="56"/>
      <c r="L605" s="56"/>
      <c r="O605" s="56"/>
    </row>
    <row r="606" spans="1:15" ht="13" x14ac:dyDescent="0.15">
      <c r="A606" s="56"/>
      <c r="B606" s="56"/>
      <c r="J606" s="58"/>
      <c r="K606" s="56"/>
      <c r="L606" s="56"/>
      <c r="O606" s="56"/>
    </row>
    <row r="607" spans="1:15" ht="13" x14ac:dyDescent="0.15">
      <c r="A607" s="56"/>
      <c r="B607" s="56"/>
      <c r="J607" s="58"/>
      <c r="K607" s="56"/>
      <c r="L607" s="56"/>
      <c r="O607" s="56"/>
    </row>
    <row r="608" spans="1:15" ht="13" x14ac:dyDescent="0.15">
      <c r="A608" s="56"/>
      <c r="B608" s="56"/>
      <c r="J608" s="58"/>
      <c r="K608" s="56"/>
      <c r="L608" s="56"/>
      <c r="O608" s="56"/>
    </row>
    <row r="609" spans="1:15" ht="13" x14ac:dyDescent="0.15">
      <c r="A609" s="56"/>
      <c r="B609" s="56"/>
      <c r="J609" s="58"/>
      <c r="K609" s="56"/>
      <c r="L609" s="56"/>
      <c r="O609" s="56"/>
    </row>
    <row r="610" spans="1:15" ht="13" x14ac:dyDescent="0.15">
      <c r="A610" s="56"/>
      <c r="B610" s="56"/>
      <c r="J610" s="58"/>
      <c r="K610" s="56"/>
      <c r="L610" s="56"/>
      <c r="O610" s="56"/>
    </row>
    <row r="611" spans="1:15" ht="13" x14ac:dyDescent="0.15">
      <c r="A611" s="56"/>
      <c r="B611" s="56"/>
      <c r="J611" s="58"/>
      <c r="K611" s="56"/>
      <c r="L611" s="56"/>
      <c r="O611" s="56"/>
    </row>
    <row r="612" spans="1:15" ht="13" x14ac:dyDescent="0.15">
      <c r="A612" s="56"/>
      <c r="B612" s="56"/>
      <c r="J612" s="58"/>
      <c r="K612" s="56"/>
      <c r="L612" s="56"/>
      <c r="O612" s="56"/>
    </row>
    <row r="613" spans="1:15" ht="13" x14ac:dyDescent="0.15">
      <c r="A613" s="56"/>
      <c r="B613" s="56"/>
      <c r="J613" s="58"/>
      <c r="K613" s="56"/>
      <c r="L613" s="56"/>
      <c r="O613" s="56"/>
    </row>
    <row r="614" spans="1:15" ht="13" x14ac:dyDescent="0.15">
      <c r="A614" s="56"/>
      <c r="B614" s="56"/>
      <c r="J614" s="58"/>
      <c r="K614" s="56"/>
      <c r="L614" s="56"/>
      <c r="O614" s="56"/>
    </row>
    <row r="615" spans="1:15" ht="13" x14ac:dyDescent="0.15">
      <c r="A615" s="56"/>
      <c r="B615" s="56"/>
      <c r="J615" s="58"/>
      <c r="K615" s="56"/>
      <c r="L615" s="56"/>
      <c r="O615" s="56"/>
    </row>
    <row r="616" spans="1:15" ht="13" x14ac:dyDescent="0.15">
      <c r="A616" s="56"/>
      <c r="B616" s="56"/>
      <c r="J616" s="58"/>
      <c r="K616" s="56"/>
      <c r="L616" s="56"/>
      <c r="O616" s="56"/>
    </row>
    <row r="617" spans="1:15" ht="13" x14ac:dyDescent="0.15">
      <c r="A617" s="56"/>
      <c r="B617" s="56"/>
      <c r="J617" s="58"/>
      <c r="K617" s="56"/>
      <c r="L617" s="56"/>
      <c r="O617" s="56"/>
    </row>
    <row r="618" spans="1:15" ht="13" x14ac:dyDescent="0.15">
      <c r="A618" s="56"/>
      <c r="B618" s="56"/>
      <c r="J618" s="58"/>
      <c r="K618" s="56"/>
      <c r="L618" s="56"/>
      <c r="O618" s="56"/>
    </row>
    <row r="619" spans="1:15" ht="13" x14ac:dyDescent="0.15">
      <c r="A619" s="56"/>
      <c r="B619" s="56"/>
      <c r="J619" s="58"/>
      <c r="K619" s="56"/>
      <c r="L619" s="56"/>
      <c r="O619" s="56"/>
    </row>
    <row r="620" spans="1:15" ht="13" x14ac:dyDescent="0.15">
      <c r="A620" s="56"/>
      <c r="B620" s="56"/>
      <c r="J620" s="58"/>
      <c r="K620" s="56"/>
      <c r="L620" s="56"/>
      <c r="O620" s="56"/>
    </row>
    <row r="621" spans="1:15" ht="13" x14ac:dyDescent="0.15">
      <c r="A621" s="56"/>
      <c r="B621" s="56"/>
      <c r="J621" s="58"/>
      <c r="K621" s="56"/>
      <c r="L621" s="56"/>
      <c r="O621" s="56"/>
    </row>
    <row r="622" spans="1:15" ht="13" x14ac:dyDescent="0.15">
      <c r="A622" s="56"/>
      <c r="B622" s="56"/>
      <c r="J622" s="58"/>
      <c r="K622" s="56"/>
      <c r="L622" s="56"/>
      <c r="O622" s="56"/>
    </row>
    <row r="623" spans="1:15" ht="13" x14ac:dyDescent="0.15">
      <c r="A623" s="56"/>
      <c r="B623" s="56"/>
      <c r="J623" s="58"/>
      <c r="K623" s="56"/>
      <c r="L623" s="56"/>
      <c r="O623" s="56"/>
    </row>
    <row r="624" spans="1:15" ht="13" x14ac:dyDescent="0.15">
      <c r="A624" s="56"/>
      <c r="B624" s="56"/>
      <c r="J624" s="58"/>
      <c r="K624" s="56"/>
      <c r="L624" s="56"/>
      <c r="O624" s="56"/>
    </row>
    <row r="625" spans="1:15" ht="13" x14ac:dyDescent="0.15">
      <c r="A625" s="56"/>
      <c r="B625" s="56"/>
      <c r="J625" s="58"/>
      <c r="K625" s="56"/>
      <c r="L625" s="56"/>
      <c r="O625" s="56"/>
    </row>
    <row r="626" spans="1:15" ht="13" x14ac:dyDescent="0.15">
      <c r="A626" s="56"/>
      <c r="B626" s="56"/>
      <c r="J626" s="58"/>
      <c r="K626" s="56"/>
      <c r="L626" s="56"/>
      <c r="O626" s="56"/>
    </row>
    <row r="627" spans="1:15" ht="13" x14ac:dyDescent="0.15">
      <c r="A627" s="56"/>
      <c r="B627" s="56"/>
      <c r="J627" s="58"/>
      <c r="K627" s="56"/>
      <c r="L627" s="56"/>
      <c r="O627" s="56"/>
    </row>
    <row r="628" spans="1:15" ht="13" x14ac:dyDescent="0.15">
      <c r="A628" s="56"/>
      <c r="B628" s="56"/>
      <c r="J628" s="58"/>
      <c r="K628" s="56"/>
      <c r="L628" s="56"/>
      <c r="O628" s="56"/>
    </row>
    <row r="629" spans="1:15" ht="13" x14ac:dyDescent="0.15">
      <c r="A629" s="56"/>
      <c r="B629" s="56"/>
      <c r="J629" s="58"/>
      <c r="K629" s="56"/>
      <c r="L629" s="56"/>
      <c r="O629" s="56"/>
    </row>
    <row r="630" spans="1:15" ht="13" x14ac:dyDescent="0.15">
      <c r="A630" s="56"/>
      <c r="B630" s="56"/>
      <c r="J630" s="58"/>
      <c r="K630" s="56"/>
      <c r="L630" s="56"/>
      <c r="O630" s="56"/>
    </row>
    <row r="631" spans="1:15" ht="13" x14ac:dyDescent="0.15">
      <c r="A631" s="56"/>
      <c r="B631" s="56"/>
      <c r="J631" s="58"/>
      <c r="K631" s="56"/>
      <c r="L631" s="56"/>
      <c r="O631" s="56"/>
    </row>
    <row r="632" spans="1:15" ht="13" x14ac:dyDescent="0.15">
      <c r="A632" s="56"/>
      <c r="B632" s="56"/>
      <c r="J632" s="58"/>
      <c r="K632" s="56"/>
      <c r="L632" s="56"/>
      <c r="O632" s="56"/>
    </row>
    <row r="633" spans="1:15" ht="13" x14ac:dyDescent="0.15">
      <c r="A633" s="56"/>
      <c r="B633" s="56"/>
      <c r="J633" s="58"/>
      <c r="K633" s="56"/>
      <c r="L633" s="56"/>
      <c r="O633" s="56"/>
    </row>
    <row r="634" spans="1:15" ht="13" x14ac:dyDescent="0.15">
      <c r="A634" s="56"/>
      <c r="B634" s="56"/>
      <c r="J634" s="58"/>
      <c r="K634" s="56"/>
      <c r="L634" s="56"/>
      <c r="O634" s="56"/>
    </row>
    <row r="635" spans="1:15" ht="13" x14ac:dyDescent="0.15">
      <c r="A635" s="56"/>
      <c r="B635" s="56"/>
      <c r="J635" s="58"/>
      <c r="K635" s="56"/>
      <c r="L635" s="56"/>
      <c r="O635" s="56"/>
    </row>
    <row r="636" spans="1:15" ht="13" x14ac:dyDescent="0.15">
      <c r="A636" s="56"/>
      <c r="B636" s="56"/>
      <c r="J636" s="58"/>
      <c r="K636" s="56"/>
      <c r="L636" s="56"/>
      <c r="O636" s="56"/>
    </row>
    <row r="637" spans="1:15" ht="13" x14ac:dyDescent="0.15">
      <c r="A637" s="56"/>
      <c r="B637" s="56"/>
      <c r="J637" s="58"/>
      <c r="K637" s="56"/>
      <c r="L637" s="56"/>
      <c r="O637" s="56"/>
    </row>
    <row r="638" spans="1:15" ht="13" x14ac:dyDescent="0.15">
      <c r="A638" s="56"/>
      <c r="B638" s="56"/>
      <c r="J638" s="58"/>
      <c r="K638" s="56"/>
      <c r="L638" s="56"/>
      <c r="O638" s="56"/>
    </row>
    <row r="639" spans="1:15" ht="13" x14ac:dyDescent="0.15">
      <c r="A639" s="56"/>
      <c r="B639" s="56"/>
      <c r="J639" s="58"/>
      <c r="K639" s="56"/>
      <c r="L639" s="56"/>
      <c r="O639" s="56"/>
    </row>
    <row r="640" spans="1:15" ht="13" x14ac:dyDescent="0.15">
      <c r="A640" s="56"/>
      <c r="B640" s="56"/>
      <c r="J640" s="58"/>
      <c r="K640" s="56"/>
      <c r="L640" s="56"/>
      <c r="O640" s="56"/>
    </row>
    <row r="641" spans="1:15" ht="13" x14ac:dyDescent="0.15">
      <c r="A641" s="56"/>
      <c r="B641" s="56"/>
      <c r="J641" s="58"/>
      <c r="K641" s="56"/>
      <c r="L641" s="56"/>
      <c r="O641" s="56"/>
    </row>
    <row r="642" spans="1:15" ht="13" x14ac:dyDescent="0.15">
      <c r="A642" s="56"/>
      <c r="B642" s="56"/>
      <c r="J642" s="58"/>
      <c r="K642" s="56"/>
      <c r="L642" s="56"/>
      <c r="O642" s="56"/>
    </row>
    <row r="643" spans="1:15" ht="13" x14ac:dyDescent="0.15">
      <c r="A643" s="56"/>
      <c r="B643" s="56"/>
      <c r="J643" s="58"/>
      <c r="K643" s="56"/>
      <c r="L643" s="56"/>
      <c r="O643" s="56"/>
    </row>
    <row r="644" spans="1:15" ht="13" x14ac:dyDescent="0.15">
      <c r="A644" s="56"/>
      <c r="B644" s="56"/>
      <c r="J644" s="58"/>
      <c r="K644" s="56"/>
      <c r="L644" s="56"/>
      <c r="O644" s="56"/>
    </row>
    <row r="645" spans="1:15" ht="13" x14ac:dyDescent="0.15">
      <c r="A645" s="56"/>
      <c r="B645" s="56"/>
      <c r="J645" s="58"/>
      <c r="K645" s="56"/>
      <c r="L645" s="56"/>
      <c r="O645" s="56"/>
    </row>
    <row r="646" spans="1:15" ht="13" x14ac:dyDescent="0.15">
      <c r="A646" s="56"/>
      <c r="B646" s="56"/>
      <c r="J646" s="58"/>
      <c r="K646" s="56"/>
      <c r="L646" s="56"/>
      <c r="O646" s="56"/>
    </row>
    <row r="647" spans="1:15" ht="13" x14ac:dyDescent="0.15">
      <c r="A647" s="56"/>
      <c r="B647" s="56"/>
      <c r="J647" s="58"/>
      <c r="K647" s="56"/>
      <c r="L647" s="56"/>
      <c r="O647" s="56"/>
    </row>
    <row r="648" spans="1:15" ht="13" x14ac:dyDescent="0.15">
      <c r="A648" s="56"/>
      <c r="B648" s="56"/>
      <c r="J648" s="58"/>
      <c r="K648" s="56"/>
      <c r="L648" s="56"/>
      <c r="O648" s="56"/>
    </row>
    <row r="649" spans="1:15" ht="13" x14ac:dyDescent="0.15">
      <c r="A649" s="56"/>
      <c r="B649" s="56"/>
      <c r="J649" s="58"/>
      <c r="K649" s="56"/>
      <c r="L649" s="56"/>
      <c r="O649" s="56"/>
    </row>
    <row r="650" spans="1:15" ht="13" x14ac:dyDescent="0.15">
      <c r="A650" s="56"/>
      <c r="B650" s="56"/>
      <c r="J650" s="58"/>
      <c r="K650" s="56"/>
      <c r="L650" s="56"/>
      <c r="O650" s="56"/>
    </row>
    <row r="651" spans="1:15" ht="13" x14ac:dyDescent="0.15">
      <c r="A651" s="56"/>
      <c r="B651" s="56"/>
      <c r="J651" s="58"/>
      <c r="K651" s="56"/>
      <c r="L651" s="56"/>
      <c r="O651" s="56"/>
    </row>
    <row r="652" spans="1:15" ht="13" x14ac:dyDescent="0.15">
      <c r="A652" s="56"/>
      <c r="B652" s="56"/>
      <c r="J652" s="58"/>
      <c r="K652" s="56"/>
      <c r="L652" s="56"/>
      <c r="O652" s="56"/>
    </row>
    <row r="653" spans="1:15" ht="13" x14ac:dyDescent="0.15">
      <c r="A653" s="56"/>
      <c r="B653" s="56"/>
      <c r="J653" s="58"/>
      <c r="K653" s="56"/>
      <c r="L653" s="56"/>
      <c r="O653" s="56"/>
    </row>
    <row r="654" spans="1:15" ht="13" x14ac:dyDescent="0.15">
      <c r="A654" s="56"/>
      <c r="B654" s="56"/>
      <c r="J654" s="58"/>
      <c r="K654" s="56"/>
      <c r="L654" s="56"/>
      <c r="O654" s="56"/>
    </row>
    <row r="655" spans="1:15" ht="13" x14ac:dyDescent="0.15">
      <c r="A655" s="56"/>
      <c r="B655" s="56"/>
      <c r="J655" s="58"/>
      <c r="K655" s="56"/>
      <c r="L655" s="56"/>
      <c r="O655" s="56"/>
    </row>
    <row r="656" spans="1:15" ht="13" x14ac:dyDescent="0.15">
      <c r="A656" s="56"/>
      <c r="B656" s="56"/>
      <c r="J656" s="58"/>
      <c r="K656" s="56"/>
      <c r="L656" s="56"/>
      <c r="O656" s="56"/>
    </row>
    <row r="657" spans="1:15" ht="13" x14ac:dyDescent="0.15">
      <c r="A657" s="56"/>
      <c r="B657" s="56"/>
      <c r="J657" s="58"/>
      <c r="K657" s="56"/>
      <c r="L657" s="56"/>
      <c r="O657" s="56"/>
    </row>
    <row r="658" spans="1:15" ht="13" x14ac:dyDescent="0.15">
      <c r="A658" s="56"/>
      <c r="B658" s="56"/>
      <c r="J658" s="58"/>
      <c r="K658" s="56"/>
      <c r="L658" s="56"/>
      <c r="O658" s="56"/>
    </row>
    <row r="659" spans="1:15" ht="13" x14ac:dyDescent="0.15">
      <c r="A659" s="56"/>
      <c r="B659" s="56"/>
      <c r="J659" s="58"/>
      <c r="K659" s="56"/>
      <c r="L659" s="56"/>
      <c r="O659" s="56"/>
    </row>
    <row r="660" spans="1:15" ht="13" x14ac:dyDescent="0.15">
      <c r="A660" s="56"/>
      <c r="B660" s="56"/>
      <c r="J660" s="58"/>
      <c r="K660" s="56"/>
      <c r="L660" s="56"/>
      <c r="O660" s="56"/>
    </row>
    <row r="661" spans="1:15" ht="13" x14ac:dyDescent="0.15">
      <c r="A661" s="56"/>
      <c r="B661" s="56"/>
      <c r="J661" s="58"/>
      <c r="K661" s="56"/>
      <c r="L661" s="56"/>
      <c r="O661" s="56"/>
    </row>
    <row r="662" spans="1:15" ht="13" x14ac:dyDescent="0.15">
      <c r="A662" s="56"/>
      <c r="B662" s="56"/>
      <c r="J662" s="58"/>
      <c r="K662" s="56"/>
      <c r="L662" s="56"/>
      <c r="O662" s="56"/>
    </row>
    <row r="663" spans="1:15" ht="13" x14ac:dyDescent="0.15">
      <c r="A663" s="56"/>
      <c r="B663" s="56"/>
      <c r="J663" s="58"/>
      <c r="K663" s="56"/>
      <c r="L663" s="56"/>
      <c r="O663" s="56"/>
    </row>
    <row r="664" spans="1:15" ht="13" x14ac:dyDescent="0.15">
      <c r="A664" s="56"/>
      <c r="B664" s="56"/>
      <c r="J664" s="58"/>
      <c r="K664" s="56"/>
      <c r="L664" s="56"/>
      <c r="O664" s="56"/>
    </row>
    <row r="665" spans="1:15" ht="13" x14ac:dyDescent="0.15">
      <c r="A665" s="56"/>
      <c r="B665" s="56"/>
      <c r="J665" s="58"/>
      <c r="K665" s="56"/>
      <c r="L665" s="56"/>
      <c r="O665" s="56"/>
    </row>
    <row r="666" spans="1:15" ht="13" x14ac:dyDescent="0.15">
      <c r="A666" s="56"/>
      <c r="B666" s="56"/>
      <c r="J666" s="58"/>
      <c r="K666" s="56"/>
      <c r="L666" s="56"/>
      <c r="O666" s="56"/>
    </row>
    <row r="667" spans="1:15" ht="13" x14ac:dyDescent="0.15">
      <c r="A667" s="56"/>
      <c r="B667" s="56"/>
      <c r="J667" s="58"/>
      <c r="K667" s="56"/>
      <c r="L667" s="56"/>
      <c r="O667" s="56"/>
    </row>
    <row r="668" spans="1:15" ht="13" x14ac:dyDescent="0.15">
      <c r="A668" s="56"/>
      <c r="B668" s="56"/>
      <c r="J668" s="58"/>
      <c r="K668" s="56"/>
      <c r="L668" s="56"/>
      <c r="O668" s="56"/>
    </row>
    <row r="669" spans="1:15" ht="13" x14ac:dyDescent="0.15">
      <c r="A669" s="56"/>
      <c r="B669" s="56"/>
      <c r="J669" s="58"/>
      <c r="K669" s="56"/>
      <c r="L669" s="56"/>
      <c r="O669" s="56"/>
    </row>
    <row r="670" spans="1:15" ht="13" x14ac:dyDescent="0.15">
      <c r="A670" s="56"/>
      <c r="B670" s="56"/>
      <c r="J670" s="58"/>
      <c r="K670" s="56"/>
      <c r="L670" s="56"/>
      <c r="O670" s="56"/>
    </row>
    <row r="671" spans="1:15" ht="13" x14ac:dyDescent="0.15">
      <c r="A671" s="56"/>
      <c r="B671" s="56"/>
      <c r="J671" s="58"/>
      <c r="K671" s="56"/>
      <c r="L671" s="56"/>
      <c r="O671" s="56"/>
    </row>
    <row r="672" spans="1:15" ht="13" x14ac:dyDescent="0.15">
      <c r="A672" s="56"/>
      <c r="B672" s="56"/>
      <c r="J672" s="58"/>
      <c r="K672" s="56"/>
      <c r="L672" s="56"/>
      <c r="O672" s="56"/>
    </row>
    <row r="673" spans="1:15" ht="13" x14ac:dyDescent="0.15">
      <c r="A673" s="56"/>
      <c r="B673" s="56"/>
      <c r="J673" s="58"/>
      <c r="K673" s="56"/>
      <c r="L673" s="56"/>
      <c r="O673" s="56"/>
    </row>
    <row r="674" spans="1:15" ht="13" x14ac:dyDescent="0.15">
      <c r="A674" s="56"/>
      <c r="B674" s="56"/>
      <c r="J674" s="58"/>
      <c r="K674" s="56"/>
      <c r="L674" s="56"/>
      <c r="O674" s="56"/>
    </row>
    <row r="675" spans="1:15" ht="13" x14ac:dyDescent="0.15">
      <c r="A675" s="56"/>
      <c r="B675" s="56"/>
      <c r="J675" s="58"/>
      <c r="K675" s="56"/>
      <c r="L675" s="56"/>
      <c r="O675" s="56"/>
    </row>
    <row r="676" spans="1:15" ht="13" x14ac:dyDescent="0.15">
      <c r="A676" s="56"/>
      <c r="B676" s="56"/>
      <c r="J676" s="58"/>
      <c r="K676" s="56"/>
      <c r="L676" s="56"/>
      <c r="O676" s="56"/>
    </row>
    <row r="677" spans="1:15" ht="13" x14ac:dyDescent="0.15">
      <c r="A677" s="56"/>
      <c r="B677" s="56"/>
      <c r="J677" s="58"/>
      <c r="K677" s="56"/>
      <c r="L677" s="56"/>
      <c r="O677" s="56"/>
    </row>
    <row r="678" spans="1:15" ht="13" x14ac:dyDescent="0.15">
      <c r="A678" s="56"/>
      <c r="B678" s="56"/>
      <c r="J678" s="58"/>
      <c r="K678" s="56"/>
      <c r="L678" s="56"/>
      <c r="O678" s="56"/>
    </row>
    <row r="679" spans="1:15" ht="13" x14ac:dyDescent="0.15">
      <c r="A679" s="56"/>
      <c r="B679" s="56"/>
      <c r="J679" s="58"/>
      <c r="K679" s="56"/>
      <c r="L679" s="56"/>
      <c r="O679" s="56"/>
    </row>
    <row r="680" spans="1:15" ht="13" x14ac:dyDescent="0.15">
      <c r="A680" s="56"/>
      <c r="B680" s="56"/>
      <c r="J680" s="58"/>
      <c r="K680" s="56"/>
      <c r="L680" s="56"/>
      <c r="O680" s="56"/>
    </row>
    <row r="681" spans="1:15" ht="13" x14ac:dyDescent="0.15">
      <c r="A681" s="56"/>
      <c r="B681" s="56"/>
      <c r="J681" s="58"/>
      <c r="K681" s="56"/>
      <c r="L681" s="56"/>
      <c r="O681" s="56"/>
    </row>
    <row r="682" spans="1:15" ht="13" x14ac:dyDescent="0.15">
      <c r="A682" s="56"/>
      <c r="B682" s="56"/>
      <c r="J682" s="58"/>
      <c r="K682" s="56"/>
      <c r="L682" s="56"/>
      <c r="O682" s="56"/>
    </row>
    <row r="683" spans="1:15" ht="13" x14ac:dyDescent="0.15">
      <c r="A683" s="56"/>
      <c r="B683" s="56"/>
      <c r="J683" s="58"/>
      <c r="K683" s="56"/>
      <c r="L683" s="56"/>
      <c r="O683" s="56"/>
    </row>
    <row r="684" spans="1:15" ht="13" x14ac:dyDescent="0.15">
      <c r="A684" s="56"/>
      <c r="B684" s="56"/>
      <c r="J684" s="58"/>
      <c r="K684" s="56"/>
      <c r="L684" s="56"/>
      <c r="O684" s="56"/>
    </row>
    <row r="685" spans="1:15" ht="13" x14ac:dyDescent="0.15">
      <c r="A685" s="56"/>
      <c r="B685" s="56"/>
      <c r="J685" s="58"/>
      <c r="K685" s="56"/>
      <c r="L685" s="56"/>
      <c r="O685" s="56"/>
    </row>
    <row r="686" spans="1:15" ht="13" x14ac:dyDescent="0.15">
      <c r="A686" s="56"/>
      <c r="B686" s="56"/>
      <c r="J686" s="58"/>
      <c r="K686" s="56"/>
      <c r="L686" s="56"/>
      <c r="O686" s="56"/>
    </row>
    <row r="687" spans="1:15" ht="13" x14ac:dyDescent="0.15">
      <c r="A687" s="56"/>
      <c r="B687" s="56"/>
      <c r="J687" s="58"/>
      <c r="K687" s="56"/>
      <c r="L687" s="56"/>
      <c r="O687" s="56"/>
    </row>
    <row r="688" spans="1:15" ht="13" x14ac:dyDescent="0.15">
      <c r="A688" s="56"/>
      <c r="B688" s="56"/>
      <c r="J688" s="58"/>
      <c r="K688" s="56"/>
      <c r="L688" s="56"/>
      <c r="O688" s="56"/>
    </row>
    <row r="689" spans="1:15" ht="13" x14ac:dyDescent="0.15">
      <c r="A689" s="56"/>
      <c r="B689" s="56"/>
      <c r="J689" s="58"/>
      <c r="K689" s="56"/>
      <c r="L689" s="56"/>
      <c r="O689" s="56"/>
    </row>
    <row r="690" spans="1:15" ht="13" x14ac:dyDescent="0.15">
      <c r="A690" s="56"/>
      <c r="B690" s="56"/>
      <c r="J690" s="58"/>
      <c r="K690" s="56"/>
      <c r="L690" s="56"/>
      <c r="O690" s="56"/>
    </row>
    <row r="691" spans="1:15" ht="13" x14ac:dyDescent="0.15">
      <c r="A691" s="56"/>
      <c r="B691" s="56"/>
      <c r="J691" s="58"/>
      <c r="K691" s="56"/>
      <c r="L691" s="56"/>
      <c r="O691" s="56"/>
    </row>
    <row r="692" spans="1:15" ht="13" x14ac:dyDescent="0.15">
      <c r="A692" s="56"/>
      <c r="B692" s="56"/>
      <c r="J692" s="58"/>
      <c r="K692" s="56"/>
      <c r="L692" s="56"/>
      <c r="O692" s="56"/>
    </row>
    <row r="693" spans="1:15" ht="13" x14ac:dyDescent="0.15">
      <c r="A693" s="56"/>
      <c r="B693" s="56"/>
      <c r="J693" s="58"/>
      <c r="K693" s="56"/>
      <c r="L693" s="56"/>
      <c r="O693" s="56"/>
    </row>
    <row r="694" spans="1:15" ht="13" x14ac:dyDescent="0.15">
      <c r="A694" s="56"/>
      <c r="B694" s="56"/>
      <c r="J694" s="58"/>
      <c r="K694" s="56"/>
      <c r="L694" s="56"/>
      <c r="O694" s="56"/>
    </row>
    <row r="695" spans="1:15" ht="13" x14ac:dyDescent="0.15">
      <c r="A695" s="56"/>
      <c r="B695" s="56"/>
      <c r="J695" s="58"/>
      <c r="K695" s="56"/>
      <c r="L695" s="56"/>
      <c r="O695" s="56"/>
    </row>
    <row r="696" spans="1:15" ht="13" x14ac:dyDescent="0.15">
      <c r="A696" s="56"/>
      <c r="B696" s="56"/>
      <c r="J696" s="58"/>
      <c r="K696" s="56"/>
      <c r="L696" s="56"/>
      <c r="O696" s="56"/>
    </row>
    <row r="697" spans="1:15" ht="13" x14ac:dyDescent="0.15">
      <c r="A697" s="56"/>
      <c r="B697" s="56"/>
      <c r="J697" s="58"/>
      <c r="K697" s="56"/>
      <c r="L697" s="56"/>
      <c r="O697" s="56"/>
    </row>
    <row r="698" spans="1:15" ht="13" x14ac:dyDescent="0.15">
      <c r="A698" s="56"/>
      <c r="B698" s="56"/>
      <c r="J698" s="58"/>
      <c r="K698" s="56"/>
      <c r="L698" s="56"/>
      <c r="O698" s="56"/>
    </row>
    <row r="699" spans="1:15" ht="13" x14ac:dyDescent="0.15">
      <c r="A699" s="56"/>
      <c r="B699" s="56"/>
      <c r="J699" s="58"/>
      <c r="K699" s="56"/>
      <c r="L699" s="56"/>
      <c r="O699" s="56"/>
    </row>
    <row r="700" spans="1:15" ht="13" x14ac:dyDescent="0.15">
      <c r="A700" s="56"/>
      <c r="B700" s="56"/>
      <c r="J700" s="58"/>
      <c r="K700" s="56"/>
      <c r="L700" s="56"/>
      <c r="O700" s="56"/>
    </row>
    <row r="701" spans="1:15" ht="13" x14ac:dyDescent="0.15">
      <c r="A701" s="56"/>
      <c r="B701" s="56"/>
      <c r="J701" s="58"/>
      <c r="K701" s="56"/>
      <c r="L701" s="56"/>
      <c r="O701" s="56"/>
    </row>
    <row r="702" spans="1:15" ht="13" x14ac:dyDescent="0.15">
      <c r="A702" s="56"/>
      <c r="B702" s="56"/>
      <c r="J702" s="58"/>
      <c r="K702" s="56"/>
      <c r="L702" s="56"/>
      <c r="O702" s="56"/>
    </row>
    <row r="703" spans="1:15" ht="13" x14ac:dyDescent="0.15">
      <c r="A703" s="56"/>
      <c r="B703" s="56"/>
      <c r="J703" s="58"/>
      <c r="K703" s="56"/>
      <c r="L703" s="56"/>
      <c r="O703" s="56"/>
    </row>
    <row r="704" spans="1:15" ht="13" x14ac:dyDescent="0.15">
      <c r="A704" s="56"/>
      <c r="B704" s="56"/>
      <c r="J704" s="58"/>
      <c r="K704" s="56"/>
      <c r="L704" s="56"/>
      <c r="O704" s="56"/>
    </row>
    <row r="705" spans="1:15" ht="13" x14ac:dyDescent="0.15">
      <c r="A705" s="56"/>
      <c r="B705" s="56"/>
      <c r="J705" s="58"/>
      <c r="K705" s="56"/>
      <c r="L705" s="56"/>
      <c r="O705" s="56"/>
    </row>
    <row r="706" spans="1:15" ht="13" x14ac:dyDescent="0.15">
      <c r="A706" s="56"/>
      <c r="B706" s="56"/>
      <c r="J706" s="58"/>
      <c r="K706" s="56"/>
      <c r="L706" s="56"/>
      <c r="O706" s="56"/>
    </row>
    <row r="707" spans="1:15" ht="13" x14ac:dyDescent="0.15">
      <c r="A707" s="56"/>
      <c r="B707" s="56"/>
      <c r="J707" s="58"/>
      <c r="K707" s="56"/>
      <c r="L707" s="56"/>
      <c r="O707" s="56"/>
    </row>
    <row r="708" spans="1:15" ht="13" x14ac:dyDescent="0.15">
      <c r="A708" s="56"/>
      <c r="B708" s="56"/>
      <c r="J708" s="58"/>
      <c r="K708" s="56"/>
      <c r="L708" s="56"/>
      <c r="O708" s="56"/>
    </row>
    <row r="709" spans="1:15" ht="13" x14ac:dyDescent="0.15">
      <c r="A709" s="56"/>
      <c r="B709" s="56"/>
      <c r="J709" s="58"/>
      <c r="K709" s="56"/>
      <c r="L709" s="56"/>
      <c r="O709" s="56"/>
    </row>
    <row r="710" spans="1:15" ht="13" x14ac:dyDescent="0.15">
      <c r="A710" s="56"/>
      <c r="B710" s="56"/>
      <c r="J710" s="58"/>
      <c r="K710" s="56"/>
      <c r="L710" s="56"/>
      <c r="O710" s="56"/>
    </row>
    <row r="711" spans="1:15" ht="13" x14ac:dyDescent="0.15">
      <c r="A711" s="56"/>
      <c r="B711" s="56"/>
      <c r="J711" s="58"/>
      <c r="K711" s="56"/>
      <c r="L711" s="56"/>
      <c r="O711" s="56"/>
    </row>
    <row r="712" spans="1:15" ht="13" x14ac:dyDescent="0.15">
      <c r="A712" s="56"/>
      <c r="B712" s="56"/>
      <c r="J712" s="58"/>
      <c r="K712" s="56"/>
      <c r="L712" s="56"/>
      <c r="O712" s="56"/>
    </row>
    <row r="713" spans="1:15" ht="13" x14ac:dyDescent="0.15">
      <c r="A713" s="56"/>
      <c r="B713" s="56"/>
      <c r="J713" s="58"/>
      <c r="K713" s="56"/>
      <c r="L713" s="56"/>
      <c r="O713" s="56"/>
    </row>
    <row r="714" spans="1:15" ht="13" x14ac:dyDescent="0.15">
      <c r="A714" s="56"/>
      <c r="B714" s="56"/>
      <c r="J714" s="58"/>
      <c r="K714" s="56"/>
      <c r="L714" s="56"/>
      <c r="O714" s="56"/>
    </row>
    <row r="715" spans="1:15" ht="13" x14ac:dyDescent="0.15">
      <c r="A715" s="56"/>
      <c r="B715" s="56"/>
      <c r="J715" s="58"/>
      <c r="K715" s="56"/>
      <c r="L715" s="56"/>
      <c r="O715" s="56"/>
    </row>
    <row r="716" spans="1:15" ht="13" x14ac:dyDescent="0.15">
      <c r="A716" s="56"/>
      <c r="B716" s="56"/>
      <c r="J716" s="58"/>
      <c r="K716" s="56"/>
      <c r="L716" s="56"/>
      <c r="O716" s="56"/>
    </row>
    <row r="717" spans="1:15" ht="13" x14ac:dyDescent="0.15">
      <c r="A717" s="56"/>
      <c r="B717" s="56"/>
      <c r="J717" s="58"/>
      <c r="K717" s="56"/>
      <c r="L717" s="56"/>
      <c r="O717" s="56"/>
    </row>
    <row r="718" spans="1:15" ht="13" x14ac:dyDescent="0.15">
      <c r="A718" s="56"/>
      <c r="B718" s="56"/>
      <c r="J718" s="58"/>
      <c r="K718" s="56"/>
      <c r="L718" s="56"/>
      <c r="O718" s="56"/>
    </row>
    <row r="719" spans="1:15" ht="13" x14ac:dyDescent="0.15">
      <c r="A719" s="56"/>
      <c r="B719" s="56"/>
      <c r="J719" s="58"/>
      <c r="K719" s="56"/>
      <c r="L719" s="56"/>
      <c r="O719" s="56"/>
    </row>
    <row r="720" spans="1:15" ht="13" x14ac:dyDescent="0.15">
      <c r="A720" s="56"/>
      <c r="B720" s="56"/>
      <c r="J720" s="58"/>
      <c r="K720" s="56"/>
      <c r="L720" s="56"/>
      <c r="O720" s="56"/>
    </row>
    <row r="721" spans="1:15" ht="13" x14ac:dyDescent="0.15">
      <c r="A721" s="56"/>
      <c r="B721" s="56"/>
      <c r="J721" s="58"/>
      <c r="K721" s="56"/>
      <c r="L721" s="56"/>
      <c r="O721" s="56"/>
    </row>
    <row r="722" spans="1:15" ht="13" x14ac:dyDescent="0.15">
      <c r="A722" s="56"/>
      <c r="B722" s="56"/>
      <c r="J722" s="58"/>
      <c r="K722" s="56"/>
      <c r="L722" s="56"/>
      <c r="O722" s="56"/>
    </row>
    <row r="723" spans="1:15" ht="13" x14ac:dyDescent="0.15">
      <c r="A723" s="56"/>
      <c r="B723" s="56"/>
      <c r="J723" s="58"/>
      <c r="K723" s="56"/>
      <c r="L723" s="56"/>
      <c r="O723" s="56"/>
    </row>
    <row r="724" spans="1:15" ht="13" x14ac:dyDescent="0.15">
      <c r="A724" s="56"/>
      <c r="B724" s="56"/>
      <c r="J724" s="58"/>
      <c r="K724" s="56"/>
      <c r="L724" s="56"/>
      <c r="O724" s="56"/>
    </row>
    <row r="725" spans="1:15" ht="13" x14ac:dyDescent="0.15">
      <c r="A725" s="56"/>
      <c r="B725" s="56"/>
      <c r="J725" s="58"/>
      <c r="K725" s="56"/>
      <c r="L725" s="56"/>
      <c r="O725" s="56"/>
    </row>
    <row r="726" spans="1:15" ht="13" x14ac:dyDescent="0.15">
      <c r="A726" s="56"/>
      <c r="B726" s="56"/>
      <c r="J726" s="58"/>
      <c r="K726" s="56"/>
      <c r="L726" s="56"/>
      <c r="O726" s="56"/>
    </row>
    <row r="727" spans="1:15" ht="13" x14ac:dyDescent="0.15">
      <c r="A727" s="56"/>
      <c r="B727" s="56"/>
      <c r="J727" s="58"/>
      <c r="K727" s="56"/>
      <c r="L727" s="56"/>
      <c r="O727" s="56"/>
    </row>
    <row r="728" spans="1:15" ht="13" x14ac:dyDescent="0.15">
      <c r="A728" s="56"/>
      <c r="B728" s="56"/>
      <c r="J728" s="58"/>
      <c r="K728" s="56"/>
      <c r="L728" s="56"/>
      <c r="O728" s="56"/>
    </row>
    <row r="729" spans="1:15" ht="13" x14ac:dyDescent="0.15">
      <c r="A729" s="56"/>
      <c r="B729" s="56"/>
      <c r="J729" s="58"/>
      <c r="K729" s="56"/>
      <c r="L729" s="56"/>
      <c r="O729" s="56"/>
    </row>
    <row r="730" spans="1:15" ht="13" x14ac:dyDescent="0.15">
      <c r="A730" s="56"/>
      <c r="B730" s="56"/>
      <c r="J730" s="58"/>
      <c r="K730" s="56"/>
      <c r="L730" s="56"/>
      <c r="O730" s="56"/>
    </row>
    <row r="731" spans="1:15" ht="13" x14ac:dyDescent="0.15">
      <c r="A731" s="56"/>
      <c r="B731" s="56"/>
      <c r="J731" s="58"/>
      <c r="K731" s="56"/>
      <c r="L731" s="56"/>
      <c r="O731" s="56"/>
    </row>
    <row r="732" spans="1:15" ht="13" x14ac:dyDescent="0.15">
      <c r="A732" s="56"/>
      <c r="B732" s="56"/>
      <c r="J732" s="58"/>
      <c r="K732" s="56"/>
      <c r="L732" s="56"/>
      <c r="O732" s="56"/>
    </row>
    <row r="733" spans="1:15" ht="13" x14ac:dyDescent="0.15">
      <c r="A733" s="56"/>
      <c r="B733" s="56"/>
      <c r="J733" s="58"/>
      <c r="K733" s="56"/>
      <c r="L733" s="56"/>
      <c r="O733" s="56"/>
    </row>
    <row r="734" spans="1:15" ht="13" x14ac:dyDescent="0.15">
      <c r="A734" s="56"/>
      <c r="B734" s="56"/>
      <c r="J734" s="58"/>
      <c r="K734" s="56"/>
      <c r="L734" s="56"/>
      <c r="O734" s="56"/>
    </row>
    <row r="735" spans="1:15" ht="13" x14ac:dyDescent="0.15">
      <c r="A735" s="56"/>
      <c r="B735" s="56"/>
      <c r="J735" s="58"/>
      <c r="K735" s="56"/>
      <c r="L735" s="56"/>
      <c r="O735" s="56"/>
    </row>
    <row r="736" spans="1:15" ht="13" x14ac:dyDescent="0.15">
      <c r="A736" s="56"/>
      <c r="B736" s="56"/>
      <c r="J736" s="58"/>
      <c r="K736" s="56"/>
      <c r="L736" s="56"/>
      <c r="O736" s="56"/>
    </row>
    <row r="737" spans="1:15" ht="13" x14ac:dyDescent="0.15">
      <c r="A737" s="56"/>
      <c r="B737" s="56"/>
      <c r="J737" s="58"/>
      <c r="K737" s="56"/>
      <c r="L737" s="56"/>
      <c r="O737" s="56"/>
    </row>
    <row r="738" spans="1:15" ht="13" x14ac:dyDescent="0.15">
      <c r="A738" s="56"/>
      <c r="B738" s="56"/>
      <c r="J738" s="58"/>
      <c r="K738" s="56"/>
      <c r="L738" s="56"/>
      <c r="O738" s="56"/>
    </row>
    <row r="739" spans="1:15" ht="13" x14ac:dyDescent="0.15">
      <c r="A739" s="56"/>
      <c r="B739" s="56"/>
      <c r="J739" s="58"/>
      <c r="K739" s="56"/>
      <c r="L739" s="56"/>
      <c r="O739" s="56"/>
    </row>
    <row r="740" spans="1:15" ht="13" x14ac:dyDescent="0.15">
      <c r="A740" s="56"/>
      <c r="B740" s="56"/>
      <c r="J740" s="58"/>
      <c r="K740" s="56"/>
      <c r="L740" s="56"/>
      <c r="O740" s="56"/>
    </row>
    <row r="741" spans="1:15" ht="13" x14ac:dyDescent="0.15">
      <c r="A741" s="56"/>
      <c r="B741" s="56"/>
      <c r="J741" s="58"/>
      <c r="K741" s="56"/>
      <c r="L741" s="56"/>
      <c r="O741" s="56"/>
    </row>
    <row r="742" spans="1:15" ht="13" x14ac:dyDescent="0.15">
      <c r="A742" s="56"/>
      <c r="B742" s="56"/>
      <c r="J742" s="58"/>
      <c r="K742" s="56"/>
      <c r="L742" s="56"/>
      <c r="O742" s="56"/>
    </row>
    <row r="743" spans="1:15" ht="13" x14ac:dyDescent="0.15">
      <c r="A743" s="56"/>
      <c r="B743" s="56"/>
      <c r="J743" s="58"/>
      <c r="K743" s="56"/>
      <c r="L743" s="56"/>
      <c r="O743" s="56"/>
    </row>
    <row r="744" spans="1:15" ht="13" x14ac:dyDescent="0.15">
      <c r="A744" s="56"/>
      <c r="B744" s="56"/>
      <c r="J744" s="58"/>
      <c r="K744" s="56"/>
      <c r="L744" s="56"/>
      <c r="O744" s="56"/>
    </row>
    <row r="745" spans="1:15" ht="13" x14ac:dyDescent="0.15">
      <c r="A745" s="56"/>
      <c r="B745" s="56"/>
      <c r="J745" s="58"/>
      <c r="K745" s="56"/>
      <c r="L745" s="56"/>
      <c r="O745" s="56"/>
    </row>
    <row r="746" spans="1:15" ht="13" x14ac:dyDescent="0.15">
      <c r="A746" s="56"/>
      <c r="B746" s="56"/>
      <c r="J746" s="58"/>
      <c r="K746" s="56"/>
      <c r="L746" s="56"/>
      <c r="O746" s="56"/>
    </row>
    <row r="747" spans="1:15" ht="13" x14ac:dyDescent="0.15">
      <c r="A747" s="56"/>
      <c r="B747" s="56"/>
      <c r="J747" s="58"/>
      <c r="K747" s="56"/>
      <c r="L747" s="56"/>
      <c r="O747" s="56"/>
    </row>
    <row r="748" spans="1:15" ht="13" x14ac:dyDescent="0.15">
      <c r="A748" s="56"/>
      <c r="B748" s="56"/>
      <c r="J748" s="58"/>
      <c r="K748" s="56"/>
      <c r="L748" s="56"/>
      <c r="O748" s="56"/>
    </row>
    <row r="749" spans="1:15" ht="13" x14ac:dyDescent="0.15">
      <c r="A749" s="56"/>
      <c r="B749" s="56"/>
      <c r="J749" s="58"/>
      <c r="K749" s="56"/>
      <c r="L749" s="56"/>
      <c r="O749" s="56"/>
    </row>
    <row r="750" spans="1:15" ht="13" x14ac:dyDescent="0.15">
      <c r="A750" s="56"/>
      <c r="B750" s="56"/>
      <c r="J750" s="58"/>
      <c r="K750" s="56"/>
      <c r="L750" s="56"/>
      <c r="O750" s="56"/>
    </row>
    <row r="751" spans="1:15" ht="13" x14ac:dyDescent="0.15">
      <c r="A751" s="56"/>
      <c r="B751" s="56"/>
      <c r="J751" s="58"/>
      <c r="K751" s="56"/>
      <c r="L751" s="56"/>
      <c r="O751" s="56"/>
    </row>
    <row r="752" spans="1:15" ht="13" x14ac:dyDescent="0.15">
      <c r="A752" s="56"/>
      <c r="B752" s="56"/>
      <c r="J752" s="58"/>
      <c r="K752" s="56"/>
      <c r="L752" s="56"/>
      <c r="O752" s="56"/>
    </row>
    <row r="753" spans="1:15" ht="13" x14ac:dyDescent="0.15">
      <c r="A753" s="56"/>
      <c r="B753" s="56"/>
      <c r="J753" s="58"/>
      <c r="K753" s="56"/>
      <c r="L753" s="56"/>
      <c r="O753" s="56"/>
    </row>
    <row r="754" spans="1:15" ht="13" x14ac:dyDescent="0.15">
      <c r="A754" s="56"/>
      <c r="B754" s="56"/>
      <c r="J754" s="58"/>
      <c r="K754" s="56"/>
      <c r="L754" s="56"/>
      <c r="O754" s="56"/>
    </row>
    <row r="755" spans="1:15" ht="13" x14ac:dyDescent="0.15">
      <c r="A755" s="56"/>
      <c r="B755" s="56"/>
      <c r="J755" s="58"/>
      <c r="K755" s="56"/>
      <c r="L755" s="56"/>
      <c r="O755" s="56"/>
    </row>
    <row r="756" spans="1:15" ht="13" x14ac:dyDescent="0.15">
      <c r="A756" s="56"/>
      <c r="B756" s="56"/>
      <c r="J756" s="58"/>
      <c r="K756" s="56"/>
      <c r="L756" s="56"/>
      <c r="O756" s="56"/>
    </row>
    <row r="757" spans="1:15" ht="13" x14ac:dyDescent="0.15">
      <c r="A757" s="56"/>
      <c r="B757" s="56"/>
      <c r="J757" s="58"/>
      <c r="K757" s="56"/>
      <c r="L757" s="56"/>
      <c r="O757" s="56"/>
    </row>
    <row r="758" spans="1:15" ht="13" x14ac:dyDescent="0.15">
      <c r="A758" s="56"/>
      <c r="B758" s="56"/>
      <c r="J758" s="58"/>
      <c r="K758" s="56"/>
      <c r="L758" s="56"/>
      <c r="O758" s="56"/>
    </row>
    <row r="759" spans="1:15" ht="13" x14ac:dyDescent="0.15">
      <c r="A759" s="56"/>
      <c r="B759" s="56"/>
      <c r="J759" s="58"/>
      <c r="K759" s="56"/>
      <c r="L759" s="56"/>
      <c r="O759" s="56"/>
    </row>
    <row r="760" spans="1:15" ht="13" x14ac:dyDescent="0.15">
      <c r="A760" s="56"/>
      <c r="B760" s="56"/>
      <c r="J760" s="58"/>
      <c r="K760" s="56"/>
      <c r="L760" s="56"/>
      <c r="O760" s="56"/>
    </row>
    <row r="761" spans="1:15" ht="13" x14ac:dyDescent="0.15">
      <c r="A761" s="56"/>
      <c r="B761" s="56"/>
      <c r="J761" s="58"/>
      <c r="K761" s="56"/>
      <c r="L761" s="56"/>
      <c r="O761" s="56"/>
    </row>
    <row r="762" spans="1:15" ht="13" x14ac:dyDescent="0.15">
      <c r="A762" s="56"/>
      <c r="B762" s="56"/>
      <c r="J762" s="58"/>
      <c r="K762" s="56"/>
      <c r="L762" s="56"/>
      <c r="O762" s="56"/>
    </row>
    <row r="763" spans="1:15" ht="13" x14ac:dyDescent="0.15">
      <c r="A763" s="56"/>
      <c r="B763" s="56"/>
      <c r="J763" s="58"/>
      <c r="K763" s="56"/>
      <c r="L763" s="56"/>
      <c r="O763" s="56"/>
    </row>
    <row r="764" spans="1:15" ht="13" x14ac:dyDescent="0.15">
      <c r="A764" s="56"/>
      <c r="B764" s="56"/>
      <c r="J764" s="58"/>
      <c r="K764" s="56"/>
      <c r="L764" s="56"/>
      <c r="O764" s="56"/>
    </row>
    <row r="765" spans="1:15" ht="13" x14ac:dyDescent="0.15">
      <c r="A765" s="56"/>
      <c r="B765" s="56"/>
      <c r="J765" s="58"/>
      <c r="K765" s="56"/>
      <c r="L765" s="56"/>
      <c r="O765" s="56"/>
    </row>
    <row r="766" spans="1:15" ht="13" x14ac:dyDescent="0.15">
      <c r="A766" s="56"/>
      <c r="B766" s="56"/>
      <c r="J766" s="58"/>
      <c r="K766" s="56"/>
      <c r="L766" s="56"/>
      <c r="O766" s="56"/>
    </row>
    <row r="767" spans="1:15" ht="13" x14ac:dyDescent="0.15">
      <c r="A767" s="56"/>
      <c r="B767" s="56"/>
      <c r="J767" s="58"/>
      <c r="K767" s="56"/>
      <c r="L767" s="56"/>
      <c r="O767" s="56"/>
    </row>
    <row r="768" spans="1:15" ht="13" x14ac:dyDescent="0.15">
      <c r="A768" s="56"/>
      <c r="B768" s="56"/>
      <c r="J768" s="58"/>
      <c r="K768" s="56"/>
      <c r="L768" s="56"/>
      <c r="O768" s="56"/>
    </row>
    <row r="769" spans="1:15" ht="13" x14ac:dyDescent="0.15">
      <c r="A769" s="56"/>
      <c r="B769" s="56"/>
      <c r="J769" s="58"/>
      <c r="K769" s="56"/>
      <c r="L769" s="56"/>
      <c r="O769" s="56"/>
    </row>
    <row r="770" spans="1:15" ht="13" x14ac:dyDescent="0.15">
      <c r="A770" s="56"/>
      <c r="B770" s="56"/>
      <c r="J770" s="58"/>
      <c r="K770" s="56"/>
      <c r="L770" s="56"/>
      <c r="O770" s="56"/>
    </row>
    <row r="771" spans="1:15" ht="13" x14ac:dyDescent="0.15">
      <c r="A771" s="56"/>
      <c r="B771" s="56"/>
      <c r="J771" s="58"/>
      <c r="K771" s="56"/>
      <c r="L771" s="56"/>
      <c r="O771" s="56"/>
    </row>
    <row r="772" spans="1:15" ht="13" x14ac:dyDescent="0.15">
      <c r="A772" s="56"/>
      <c r="B772" s="56"/>
      <c r="J772" s="58"/>
      <c r="K772" s="56"/>
      <c r="L772" s="56"/>
      <c r="O772" s="56"/>
    </row>
    <row r="773" spans="1:15" ht="13" x14ac:dyDescent="0.15">
      <c r="A773" s="56"/>
      <c r="B773" s="56"/>
      <c r="J773" s="58"/>
      <c r="K773" s="56"/>
      <c r="L773" s="56"/>
      <c r="O773" s="56"/>
    </row>
    <row r="774" spans="1:15" ht="13" x14ac:dyDescent="0.15">
      <c r="A774" s="56"/>
      <c r="B774" s="56"/>
      <c r="J774" s="58"/>
      <c r="K774" s="56"/>
      <c r="L774" s="56"/>
      <c r="O774" s="56"/>
    </row>
    <row r="775" spans="1:15" ht="13" x14ac:dyDescent="0.15">
      <c r="A775" s="56"/>
      <c r="B775" s="56"/>
      <c r="J775" s="58"/>
      <c r="K775" s="56"/>
      <c r="L775" s="56"/>
      <c r="O775" s="56"/>
    </row>
    <row r="776" spans="1:15" ht="13" x14ac:dyDescent="0.15">
      <c r="A776" s="56"/>
      <c r="B776" s="56"/>
      <c r="J776" s="58"/>
      <c r="K776" s="56"/>
      <c r="L776" s="56"/>
      <c r="O776" s="56"/>
    </row>
    <row r="777" spans="1:15" ht="13" x14ac:dyDescent="0.15">
      <c r="A777" s="56"/>
      <c r="B777" s="56"/>
      <c r="J777" s="58"/>
      <c r="K777" s="56"/>
      <c r="L777" s="56"/>
      <c r="O777" s="56"/>
    </row>
    <row r="778" spans="1:15" ht="13" x14ac:dyDescent="0.15">
      <c r="A778" s="56"/>
      <c r="B778" s="56"/>
      <c r="J778" s="58"/>
      <c r="K778" s="56"/>
      <c r="L778" s="56"/>
      <c r="O778" s="56"/>
    </row>
    <row r="779" spans="1:15" ht="13" x14ac:dyDescent="0.15">
      <c r="A779" s="56"/>
      <c r="B779" s="56"/>
      <c r="J779" s="58"/>
      <c r="K779" s="56"/>
      <c r="L779" s="56"/>
      <c r="O779" s="56"/>
    </row>
    <row r="780" spans="1:15" ht="13" x14ac:dyDescent="0.15">
      <c r="A780" s="56"/>
      <c r="B780" s="56"/>
      <c r="J780" s="58"/>
      <c r="K780" s="56"/>
      <c r="L780" s="56"/>
      <c r="O780" s="56"/>
    </row>
    <row r="781" spans="1:15" ht="13" x14ac:dyDescent="0.15">
      <c r="A781" s="56"/>
      <c r="B781" s="56"/>
      <c r="J781" s="58"/>
      <c r="K781" s="56"/>
      <c r="L781" s="56"/>
      <c r="O781" s="56"/>
    </row>
    <row r="782" spans="1:15" ht="13" x14ac:dyDescent="0.15">
      <c r="A782" s="56"/>
      <c r="B782" s="56"/>
      <c r="J782" s="58"/>
      <c r="K782" s="56"/>
      <c r="L782" s="56"/>
      <c r="O782" s="56"/>
    </row>
    <row r="783" spans="1:15" ht="13" x14ac:dyDescent="0.15">
      <c r="A783" s="56"/>
      <c r="B783" s="56"/>
      <c r="J783" s="58"/>
      <c r="K783" s="56"/>
      <c r="L783" s="56"/>
      <c r="O783" s="56"/>
    </row>
    <row r="784" spans="1:15" ht="13" x14ac:dyDescent="0.15">
      <c r="A784" s="56"/>
      <c r="B784" s="56"/>
      <c r="J784" s="58"/>
      <c r="K784" s="56"/>
      <c r="L784" s="56"/>
      <c r="O784" s="56"/>
    </row>
    <row r="785" spans="1:15" ht="13" x14ac:dyDescent="0.15">
      <c r="A785" s="56"/>
      <c r="B785" s="56"/>
      <c r="J785" s="58"/>
      <c r="K785" s="56"/>
      <c r="L785" s="56"/>
      <c r="O785" s="56"/>
    </row>
    <row r="786" spans="1:15" ht="13" x14ac:dyDescent="0.15">
      <c r="A786" s="56"/>
      <c r="B786" s="56"/>
      <c r="J786" s="58"/>
      <c r="K786" s="56"/>
      <c r="L786" s="56"/>
      <c r="O786" s="56"/>
    </row>
    <row r="787" spans="1:15" ht="13" x14ac:dyDescent="0.15">
      <c r="A787" s="56"/>
      <c r="B787" s="56"/>
      <c r="J787" s="58"/>
      <c r="K787" s="56"/>
      <c r="L787" s="56"/>
      <c r="O787" s="56"/>
    </row>
    <row r="788" spans="1:15" ht="13" x14ac:dyDescent="0.15">
      <c r="A788" s="56"/>
      <c r="B788" s="56"/>
      <c r="J788" s="58"/>
      <c r="K788" s="56"/>
      <c r="L788" s="56"/>
      <c r="O788" s="56"/>
    </row>
    <row r="789" spans="1:15" ht="13" x14ac:dyDescent="0.15">
      <c r="A789" s="56"/>
      <c r="B789" s="56"/>
      <c r="J789" s="58"/>
      <c r="K789" s="56"/>
      <c r="L789" s="56"/>
      <c r="O789" s="56"/>
    </row>
    <row r="790" spans="1:15" ht="13" x14ac:dyDescent="0.15">
      <c r="A790" s="56"/>
      <c r="B790" s="56"/>
      <c r="J790" s="58"/>
      <c r="K790" s="56"/>
      <c r="L790" s="56"/>
      <c r="O790" s="56"/>
    </row>
    <row r="791" spans="1:15" ht="13" x14ac:dyDescent="0.15">
      <c r="A791" s="56"/>
      <c r="B791" s="56"/>
      <c r="J791" s="58"/>
      <c r="K791" s="56"/>
      <c r="L791" s="56"/>
      <c r="O791" s="56"/>
    </row>
    <row r="792" spans="1:15" ht="13" x14ac:dyDescent="0.15">
      <c r="A792" s="56"/>
      <c r="B792" s="56"/>
      <c r="J792" s="58"/>
      <c r="K792" s="56"/>
      <c r="L792" s="56"/>
      <c r="O792" s="56"/>
    </row>
    <row r="793" spans="1:15" ht="13" x14ac:dyDescent="0.15">
      <c r="A793" s="56"/>
      <c r="B793" s="56"/>
      <c r="J793" s="58"/>
      <c r="K793" s="56"/>
      <c r="L793" s="56"/>
      <c r="O793" s="56"/>
    </row>
    <row r="794" spans="1:15" ht="13" x14ac:dyDescent="0.15">
      <c r="A794" s="56"/>
      <c r="B794" s="56"/>
      <c r="J794" s="58"/>
      <c r="K794" s="56"/>
      <c r="L794" s="56"/>
      <c r="O794" s="56"/>
    </row>
    <row r="795" spans="1:15" ht="13" x14ac:dyDescent="0.15">
      <c r="A795" s="56"/>
      <c r="B795" s="56"/>
      <c r="J795" s="58"/>
      <c r="K795" s="56"/>
      <c r="L795" s="56"/>
      <c r="O795" s="56"/>
    </row>
    <row r="796" spans="1:15" ht="13" x14ac:dyDescent="0.15">
      <c r="A796" s="56"/>
      <c r="B796" s="56"/>
      <c r="J796" s="58"/>
      <c r="K796" s="56"/>
      <c r="L796" s="56"/>
      <c r="O796" s="56"/>
    </row>
    <row r="797" spans="1:15" ht="13" x14ac:dyDescent="0.15">
      <c r="A797" s="56"/>
      <c r="B797" s="56"/>
      <c r="J797" s="58"/>
      <c r="K797" s="56"/>
      <c r="L797" s="56"/>
      <c r="O797" s="56"/>
    </row>
    <row r="798" spans="1:15" ht="13" x14ac:dyDescent="0.15">
      <c r="A798" s="56"/>
      <c r="B798" s="56"/>
      <c r="J798" s="58"/>
      <c r="K798" s="56"/>
      <c r="L798" s="56"/>
      <c r="O798" s="56"/>
    </row>
    <row r="799" spans="1:15" ht="13" x14ac:dyDescent="0.15">
      <c r="A799" s="56"/>
      <c r="B799" s="56"/>
      <c r="J799" s="58"/>
      <c r="K799" s="56"/>
      <c r="L799" s="56"/>
      <c r="O799" s="56"/>
    </row>
    <row r="800" spans="1:15" ht="13" x14ac:dyDescent="0.15">
      <c r="A800" s="56"/>
      <c r="B800" s="56"/>
      <c r="J800" s="58"/>
      <c r="K800" s="56"/>
      <c r="L800" s="56"/>
      <c r="O800" s="56"/>
    </row>
    <row r="801" spans="1:15" ht="13" x14ac:dyDescent="0.15">
      <c r="A801" s="56"/>
      <c r="B801" s="56"/>
      <c r="J801" s="58"/>
      <c r="K801" s="56"/>
      <c r="L801" s="56"/>
      <c r="O801" s="56"/>
    </row>
    <row r="802" spans="1:15" ht="13" x14ac:dyDescent="0.15">
      <c r="A802" s="56"/>
      <c r="B802" s="56"/>
      <c r="J802" s="58"/>
      <c r="K802" s="56"/>
      <c r="L802" s="56"/>
      <c r="O802" s="56"/>
    </row>
    <row r="803" spans="1:15" ht="13" x14ac:dyDescent="0.15">
      <c r="A803" s="56"/>
      <c r="B803" s="56"/>
      <c r="J803" s="58"/>
      <c r="K803" s="56"/>
      <c r="L803" s="56"/>
      <c r="O803" s="56"/>
    </row>
    <row r="804" spans="1:15" ht="13" x14ac:dyDescent="0.15">
      <c r="A804" s="56"/>
      <c r="B804" s="56"/>
      <c r="J804" s="58"/>
      <c r="K804" s="56"/>
      <c r="L804" s="56"/>
      <c r="O804" s="56"/>
    </row>
    <row r="805" spans="1:15" ht="13" x14ac:dyDescent="0.15">
      <c r="A805" s="56"/>
      <c r="B805" s="56"/>
      <c r="J805" s="58"/>
      <c r="K805" s="56"/>
      <c r="L805" s="56"/>
      <c r="O805" s="56"/>
    </row>
    <row r="806" spans="1:15" ht="13" x14ac:dyDescent="0.15">
      <c r="A806" s="56"/>
      <c r="B806" s="56"/>
      <c r="J806" s="58"/>
      <c r="K806" s="56"/>
      <c r="L806" s="56"/>
      <c r="O806" s="56"/>
    </row>
    <row r="807" spans="1:15" ht="13" x14ac:dyDescent="0.15">
      <c r="A807" s="56"/>
      <c r="B807" s="56"/>
      <c r="J807" s="58"/>
      <c r="K807" s="56"/>
      <c r="L807" s="56"/>
      <c r="O807" s="56"/>
    </row>
    <row r="808" spans="1:15" ht="13" x14ac:dyDescent="0.15">
      <c r="A808" s="56"/>
      <c r="B808" s="56"/>
      <c r="J808" s="58"/>
      <c r="K808" s="56"/>
      <c r="L808" s="56"/>
      <c r="O808" s="56"/>
    </row>
    <row r="809" spans="1:15" ht="13" x14ac:dyDescent="0.15">
      <c r="A809" s="56"/>
      <c r="B809" s="56"/>
      <c r="J809" s="58"/>
      <c r="K809" s="56"/>
      <c r="L809" s="56"/>
      <c r="O809" s="56"/>
    </row>
    <row r="810" spans="1:15" ht="13" x14ac:dyDescent="0.15">
      <c r="A810" s="56"/>
      <c r="B810" s="56"/>
      <c r="J810" s="58"/>
      <c r="K810" s="56"/>
      <c r="L810" s="56"/>
      <c r="O810" s="56"/>
    </row>
    <row r="811" spans="1:15" ht="13" x14ac:dyDescent="0.15">
      <c r="A811" s="56"/>
      <c r="B811" s="56"/>
      <c r="J811" s="58"/>
      <c r="K811" s="56"/>
      <c r="L811" s="56"/>
      <c r="O811" s="56"/>
    </row>
    <row r="812" spans="1:15" ht="13" x14ac:dyDescent="0.15">
      <c r="A812" s="56"/>
      <c r="B812" s="56"/>
      <c r="J812" s="58"/>
      <c r="K812" s="56"/>
      <c r="L812" s="56"/>
      <c r="O812" s="56"/>
    </row>
    <row r="813" spans="1:15" ht="13" x14ac:dyDescent="0.15">
      <c r="A813" s="56"/>
      <c r="B813" s="56"/>
      <c r="J813" s="58"/>
      <c r="K813" s="56"/>
      <c r="L813" s="56"/>
      <c r="O813" s="56"/>
    </row>
    <row r="814" spans="1:15" ht="13" x14ac:dyDescent="0.15">
      <c r="A814" s="56"/>
      <c r="B814" s="56"/>
      <c r="J814" s="58"/>
      <c r="K814" s="56"/>
      <c r="L814" s="56"/>
      <c r="O814" s="56"/>
    </row>
    <row r="815" spans="1:15" ht="13" x14ac:dyDescent="0.15">
      <c r="A815" s="56"/>
      <c r="B815" s="56"/>
      <c r="J815" s="58"/>
      <c r="K815" s="56"/>
      <c r="L815" s="56"/>
      <c r="O815" s="56"/>
    </row>
    <row r="816" spans="1:15" ht="13" x14ac:dyDescent="0.15">
      <c r="A816" s="56"/>
      <c r="B816" s="56"/>
      <c r="J816" s="58"/>
      <c r="K816" s="56"/>
      <c r="L816" s="56"/>
      <c r="O816" s="56"/>
    </row>
    <row r="817" spans="1:15" ht="13" x14ac:dyDescent="0.15">
      <c r="A817" s="56"/>
      <c r="B817" s="56"/>
      <c r="J817" s="58"/>
      <c r="K817" s="56"/>
      <c r="L817" s="56"/>
      <c r="O817" s="56"/>
    </row>
    <row r="818" spans="1:15" ht="13" x14ac:dyDescent="0.15">
      <c r="A818" s="56"/>
      <c r="B818" s="56"/>
      <c r="J818" s="58"/>
      <c r="K818" s="56"/>
      <c r="L818" s="56"/>
      <c r="O818" s="56"/>
    </row>
    <row r="819" spans="1:15" ht="13" x14ac:dyDescent="0.15">
      <c r="A819" s="56"/>
      <c r="B819" s="56"/>
      <c r="J819" s="58"/>
      <c r="K819" s="56"/>
      <c r="L819" s="56"/>
      <c r="O819" s="56"/>
    </row>
    <row r="820" spans="1:15" ht="13" x14ac:dyDescent="0.15">
      <c r="A820" s="56"/>
      <c r="B820" s="56"/>
      <c r="J820" s="58"/>
      <c r="K820" s="56"/>
      <c r="L820" s="56"/>
      <c r="O820" s="56"/>
    </row>
    <row r="821" spans="1:15" ht="13" x14ac:dyDescent="0.15">
      <c r="A821" s="56"/>
      <c r="B821" s="56"/>
      <c r="J821" s="58"/>
      <c r="K821" s="56"/>
      <c r="L821" s="56"/>
      <c r="O821" s="56"/>
    </row>
    <row r="822" spans="1:15" ht="13" x14ac:dyDescent="0.15">
      <c r="A822" s="56"/>
      <c r="B822" s="56"/>
      <c r="J822" s="58"/>
      <c r="K822" s="56"/>
      <c r="L822" s="56"/>
      <c r="O822" s="56"/>
    </row>
    <row r="823" spans="1:15" ht="13" x14ac:dyDescent="0.15">
      <c r="A823" s="56"/>
      <c r="B823" s="56"/>
      <c r="J823" s="58"/>
      <c r="K823" s="56"/>
      <c r="L823" s="56"/>
      <c r="O823" s="56"/>
    </row>
    <row r="824" spans="1:15" ht="13" x14ac:dyDescent="0.15">
      <c r="A824" s="56"/>
      <c r="B824" s="56"/>
      <c r="J824" s="58"/>
      <c r="K824" s="56"/>
      <c r="L824" s="56"/>
      <c r="O824" s="56"/>
    </row>
    <row r="825" spans="1:15" ht="13" x14ac:dyDescent="0.15">
      <c r="A825" s="56"/>
      <c r="B825" s="56"/>
      <c r="J825" s="58"/>
      <c r="K825" s="56"/>
      <c r="L825" s="56"/>
      <c r="O825" s="56"/>
    </row>
    <row r="826" spans="1:15" ht="13" x14ac:dyDescent="0.15">
      <c r="A826" s="56"/>
      <c r="B826" s="56"/>
      <c r="J826" s="58"/>
      <c r="K826" s="56"/>
      <c r="L826" s="56"/>
      <c r="O826" s="56"/>
    </row>
    <row r="827" spans="1:15" ht="13" x14ac:dyDescent="0.15">
      <c r="A827" s="56"/>
      <c r="B827" s="56"/>
      <c r="J827" s="58"/>
      <c r="K827" s="56"/>
      <c r="L827" s="56"/>
      <c r="O827" s="56"/>
    </row>
    <row r="828" spans="1:15" ht="13" x14ac:dyDescent="0.15">
      <c r="A828" s="56"/>
      <c r="B828" s="56"/>
      <c r="J828" s="58"/>
      <c r="K828" s="56"/>
      <c r="L828" s="56"/>
      <c r="O828" s="56"/>
    </row>
    <row r="829" spans="1:15" ht="13" x14ac:dyDescent="0.15">
      <c r="A829" s="56"/>
      <c r="B829" s="56"/>
      <c r="J829" s="58"/>
      <c r="K829" s="56"/>
      <c r="L829" s="56"/>
      <c r="O829" s="56"/>
    </row>
    <row r="830" spans="1:15" ht="13" x14ac:dyDescent="0.15">
      <c r="A830" s="56"/>
      <c r="B830" s="56"/>
      <c r="J830" s="58"/>
      <c r="K830" s="56"/>
      <c r="L830" s="56"/>
      <c r="O830" s="56"/>
    </row>
    <row r="831" spans="1:15" ht="13" x14ac:dyDescent="0.15">
      <c r="A831" s="56"/>
      <c r="B831" s="56"/>
      <c r="J831" s="58"/>
      <c r="K831" s="56"/>
      <c r="L831" s="56"/>
      <c r="O831" s="56"/>
    </row>
    <row r="832" spans="1:15" ht="13" x14ac:dyDescent="0.15">
      <c r="A832" s="56"/>
      <c r="B832" s="56"/>
      <c r="J832" s="58"/>
      <c r="K832" s="56"/>
      <c r="L832" s="56"/>
      <c r="O832" s="56"/>
    </row>
    <row r="833" spans="1:15" ht="13" x14ac:dyDescent="0.15">
      <c r="A833" s="56"/>
      <c r="B833" s="56"/>
      <c r="J833" s="58"/>
      <c r="K833" s="56"/>
      <c r="L833" s="56"/>
      <c r="O833" s="56"/>
    </row>
    <row r="834" spans="1:15" ht="13" x14ac:dyDescent="0.15">
      <c r="A834" s="56"/>
      <c r="B834" s="56"/>
      <c r="J834" s="58"/>
      <c r="K834" s="56"/>
      <c r="L834" s="56"/>
      <c r="O834" s="56"/>
    </row>
    <row r="835" spans="1:15" ht="13" x14ac:dyDescent="0.15">
      <c r="A835" s="56"/>
      <c r="B835" s="56"/>
      <c r="J835" s="58"/>
      <c r="K835" s="56"/>
      <c r="L835" s="56"/>
      <c r="O835" s="56"/>
    </row>
    <row r="836" spans="1:15" ht="13" x14ac:dyDescent="0.15">
      <c r="A836" s="56"/>
      <c r="B836" s="56"/>
      <c r="J836" s="58"/>
      <c r="K836" s="56"/>
      <c r="L836" s="56"/>
      <c r="O836" s="56"/>
    </row>
    <row r="837" spans="1:15" ht="13" x14ac:dyDescent="0.15">
      <c r="A837" s="56"/>
      <c r="B837" s="56"/>
      <c r="J837" s="58"/>
      <c r="K837" s="56"/>
      <c r="L837" s="56"/>
      <c r="O837" s="56"/>
    </row>
    <row r="838" spans="1:15" ht="13" x14ac:dyDescent="0.15">
      <c r="A838" s="56"/>
      <c r="B838" s="56"/>
      <c r="J838" s="58"/>
      <c r="K838" s="56"/>
      <c r="L838" s="56"/>
      <c r="O838" s="56"/>
    </row>
    <row r="839" spans="1:15" ht="13" x14ac:dyDescent="0.15">
      <c r="A839" s="56"/>
      <c r="B839" s="56"/>
      <c r="J839" s="58"/>
      <c r="K839" s="56"/>
      <c r="L839" s="56"/>
      <c r="O839" s="56"/>
    </row>
    <row r="840" spans="1:15" ht="13" x14ac:dyDescent="0.15">
      <c r="A840" s="56"/>
      <c r="B840" s="56"/>
      <c r="J840" s="58"/>
      <c r="K840" s="56"/>
      <c r="L840" s="56"/>
      <c r="O840" s="56"/>
    </row>
    <row r="841" spans="1:15" ht="13" x14ac:dyDescent="0.15">
      <c r="A841" s="56"/>
      <c r="B841" s="56"/>
      <c r="J841" s="58"/>
      <c r="K841" s="56"/>
      <c r="L841" s="56"/>
      <c r="O841" s="56"/>
    </row>
    <row r="842" spans="1:15" ht="13" x14ac:dyDescent="0.15">
      <c r="A842" s="56"/>
      <c r="B842" s="56"/>
      <c r="J842" s="58"/>
      <c r="K842" s="56"/>
      <c r="L842" s="56"/>
      <c r="O842" s="56"/>
    </row>
    <row r="843" spans="1:15" ht="13" x14ac:dyDescent="0.15">
      <c r="A843" s="56"/>
      <c r="B843" s="56"/>
      <c r="J843" s="58"/>
      <c r="K843" s="56"/>
      <c r="L843" s="56"/>
      <c r="O843" s="56"/>
    </row>
    <row r="844" spans="1:15" ht="13" x14ac:dyDescent="0.15">
      <c r="A844" s="56"/>
      <c r="B844" s="56"/>
      <c r="J844" s="58"/>
      <c r="K844" s="56"/>
      <c r="L844" s="56"/>
      <c r="O844" s="56"/>
    </row>
    <row r="845" spans="1:15" ht="13" x14ac:dyDescent="0.15">
      <c r="A845" s="56"/>
      <c r="B845" s="56"/>
      <c r="J845" s="58"/>
      <c r="K845" s="56"/>
      <c r="L845" s="56"/>
      <c r="O845" s="56"/>
    </row>
    <row r="846" spans="1:15" ht="13" x14ac:dyDescent="0.15">
      <c r="A846" s="56"/>
      <c r="B846" s="56"/>
      <c r="J846" s="58"/>
      <c r="K846" s="56"/>
      <c r="L846" s="56"/>
      <c r="O846" s="56"/>
    </row>
    <row r="847" spans="1:15" ht="13" x14ac:dyDescent="0.15">
      <c r="A847" s="56"/>
      <c r="B847" s="56"/>
      <c r="J847" s="58"/>
      <c r="K847" s="56"/>
      <c r="L847" s="56"/>
      <c r="O847" s="56"/>
    </row>
    <row r="848" spans="1:15" ht="13" x14ac:dyDescent="0.15">
      <c r="A848" s="56"/>
      <c r="B848" s="56"/>
      <c r="J848" s="58"/>
      <c r="K848" s="56"/>
      <c r="L848" s="56"/>
      <c r="O848" s="56"/>
    </row>
    <row r="849" spans="1:15" ht="13" x14ac:dyDescent="0.15">
      <c r="A849" s="56"/>
      <c r="B849" s="56"/>
      <c r="J849" s="58"/>
      <c r="K849" s="56"/>
      <c r="L849" s="56"/>
      <c r="O849" s="56"/>
    </row>
    <row r="850" spans="1:15" ht="13" x14ac:dyDescent="0.15">
      <c r="A850" s="56"/>
      <c r="B850" s="56"/>
      <c r="J850" s="58"/>
      <c r="K850" s="56"/>
      <c r="L850" s="56"/>
      <c r="O850" s="56"/>
    </row>
    <row r="851" spans="1:15" ht="13" x14ac:dyDescent="0.15">
      <c r="A851" s="56"/>
      <c r="B851" s="56"/>
      <c r="J851" s="58"/>
      <c r="K851" s="56"/>
      <c r="L851" s="56"/>
      <c r="O851" s="56"/>
    </row>
    <row r="852" spans="1:15" ht="13" x14ac:dyDescent="0.15">
      <c r="A852" s="56"/>
      <c r="B852" s="56"/>
      <c r="J852" s="58"/>
      <c r="K852" s="56"/>
      <c r="L852" s="56"/>
      <c r="O852" s="56"/>
    </row>
    <row r="853" spans="1:15" ht="13" x14ac:dyDescent="0.15">
      <c r="A853" s="56"/>
      <c r="B853" s="56"/>
      <c r="J853" s="58"/>
      <c r="K853" s="56"/>
      <c r="L853" s="56"/>
      <c r="O853" s="56"/>
    </row>
    <row r="854" spans="1:15" ht="13" x14ac:dyDescent="0.15">
      <c r="A854" s="56"/>
      <c r="B854" s="56"/>
      <c r="J854" s="58"/>
      <c r="K854" s="56"/>
      <c r="L854" s="56"/>
      <c r="O854" s="56"/>
    </row>
    <row r="855" spans="1:15" ht="13" x14ac:dyDescent="0.15">
      <c r="A855" s="56"/>
      <c r="B855" s="56"/>
      <c r="J855" s="58"/>
      <c r="K855" s="56"/>
      <c r="L855" s="56"/>
      <c r="O855" s="56"/>
    </row>
    <row r="856" spans="1:15" ht="13" x14ac:dyDescent="0.15">
      <c r="A856" s="56"/>
      <c r="B856" s="56"/>
      <c r="J856" s="58"/>
      <c r="K856" s="56"/>
      <c r="L856" s="56"/>
      <c r="O856" s="56"/>
    </row>
    <row r="857" spans="1:15" ht="13" x14ac:dyDescent="0.15">
      <c r="A857" s="56"/>
      <c r="B857" s="56"/>
      <c r="J857" s="58"/>
      <c r="K857" s="56"/>
      <c r="L857" s="56"/>
      <c r="O857" s="56"/>
    </row>
    <row r="858" spans="1:15" ht="13" x14ac:dyDescent="0.15">
      <c r="A858" s="56"/>
      <c r="B858" s="56"/>
      <c r="J858" s="58"/>
      <c r="K858" s="56"/>
      <c r="L858" s="56"/>
      <c r="O858" s="56"/>
    </row>
    <row r="859" spans="1:15" ht="13" x14ac:dyDescent="0.15">
      <c r="A859" s="56"/>
      <c r="B859" s="56"/>
      <c r="J859" s="58"/>
      <c r="K859" s="56"/>
      <c r="L859" s="56"/>
      <c r="O859" s="56"/>
    </row>
    <row r="860" spans="1:15" ht="13" x14ac:dyDescent="0.15">
      <c r="A860" s="56"/>
      <c r="B860" s="56"/>
      <c r="J860" s="58"/>
      <c r="K860" s="56"/>
      <c r="L860" s="56"/>
      <c r="O860" s="56"/>
    </row>
    <row r="861" spans="1:15" ht="13" x14ac:dyDescent="0.15">
      <c r="A861" s="56"/>
      <c r="B861" s="56"/>
      <c r="J861" s="58"/>
      <c r="K861" s="56"/>
      <c r="L861" s="56"/>
      <c r="O861" s="56"/>
    </row>
    <row r="862" spans="1:15" ht="13" x14ac:dyDescent="0.15">
      <c r="A862" s="56"/>
      <c r="B862" s="56"/>
      <c r="J862" s="58"/>
      <c r="K862" s="56"/>
      <c r="L862" s="56"/>
      <c r="O862" s="56"/>
    </row>
    <row r="863" spans="1:15" ht="13" x14ac:dyDescent="0.15">
      <c r="A863" s="56"/>
      <c r="B863" s="56"/>
      <c r="J863" s="58"/>
      <c r="K863" s="56"/>
      <c r="L863" s="56"/>
      <c r="O863" s="56"/>
    </row>
    <row r="864" spans="1:15" ht="13" x14ac:dyDescent="0.15">
      <c r="A864" s="56"/>
      <c r="B864" s="56"/>
      <c r="J864" s="58"/>
      <c r="K864" s="56"/>
      <c r="L864" s="56"/>
      <c r="O864" s="56"/>
    </row>
    <row r="865" spans="1:15" ht="13" x14ac:dyDescent="0.15">
      <c r="A865" s="56"/>
      <c r="B865" s="56"/>
      <c r="J865" s="58"/>
      <c r="K865" s="56"/>
      <c r="L865" s="56"/>
      <c r="O865" s="56"/>
    </row>
    <row r="866" spans="1:15" ht="13" x14ac:dyDescent="0.15">
      <c r="A866" s="56"/>
      <c r="B866" s="56"/>
      <c r="J866" s="58"/>
      <c r="K866" s="56"/>
      <c r="L866" s="56"/>
      <c r="O866" s="56"/>
    </row>
    <row r="867" spans="1:15" ht="13" x14ac:dyDescent="0.15">
      <c r="A867" s="56"/>
      <c r="B867" s="56"/>
      <c r="J867" s="58"/>
      <c r="K867" s="56"/>
      <c r="L867" s="56"/>
      <c r="O867" s="56"/>
    </row>
    <row r="868" spans="1:15" ht="13" x14ac:dyDescent="0.15">
      <c r="A868" s="56"/>
      <c r="B868" s="56"/>
      <c r="J868" s="58"/>
      <c r="K868" s="56"/>
      <c r="L868" s="56"/>
      <c r="O868" s="56"/>
    </row>
    <row r="869" spans="1:15" ht="13" x14ac:dyDescent="0.15">
      <c r="A869" s="56"/>
      <c r="B869" s="56"/>
      <c r="J869" s="58"/>
      <c r="K869" s="56"/>
      <c r="L869" s="56"/>
      <c r="O869" s="56"/>
    </row>
    <row r="870" spans="1:15" ht="13" x14ac:dyDescent="0.15">
      <c r="A870" s="56"/>
      <c r="B870" s="56"/>
      <c r="J870" s="58"/>
      <c r="K870" s="56"/>
      <c r="L870" s="56"/>
      <c r="O870" s="56"/>
    </row>
    <row r="871" spans="1:15" ht="13" x14ac:dyDescent="0.15">
      <c r="A871" s="56"/>
      <c r="B871" s="56"/>
      <c r="J871" s="58"/>
      <c r="K871" s="56"/>
      <c r="L871" s="56"/>
      <c r="O871" s="56"/>
    </row>
    <row r="872" spans="1:15" ht="13" x14ac:dyDescent="0.15">
      <c r="A872" s="56"/>
      <c r="B872" s="56"/>
      <c r="J872" s="58"/>
      <c r="K872" s="56"/>
      <c r="L872" s="56"/>
      <c r="O872" s="56"/>
    </row>
    <row r="873" spans="1:15" ht="13" x14ac:dyDescent="0.15">
      <c r="A873" s="56"/>
      <c r="B873" s="56"/>
      <c r="J873" s="58"/>
      <c r="K873" s="56"/>
      <c r="L873" s="56"/>
      <c r="O873" s="56"/>
    </row>
    <row r="874" spans="1:15" ht="13" x14ac:dyDescent="0.15">
      <c r="A874" s="56"/>
      <c r="B874" s="56"/>
      <c r="J874" s="58"/>
      <c r="K874" s="56"/>
      <c r="L874" s="56"/>
      <c r="O874" s="56"/>
    </row>
    <row r="875" spans="1:15" ht="13" x14ac:dyDescent="0.15">
      <c r="A875" s="56"/>
      <c r="B875" s="56"/>
      <c r="J875" s="58"/>
      <c r="K875" s="56"/>
      <c r="L875" s="56"/>
      <c r="O875" s="56"/>
    </row>
    <row r="876" spans="1:15" ht="13" x14ac:dyDescent="0.15">
      <c r="A876" s="56"/>
      <c r="B876" s="56"/>
      <c r="J876" s="58"/>
      <c r="K876" s="56"/>
      <c r="L876" s="56"/>
      <c r="O876" s="56"/>
    </row>
    <row r="877" spans="1:15" ht="13" x14ac:dyDescent="0.15">
      <c r="A877" s="56"/>
      <c r="B877" s="56"/>
      <c r="J877" s="58"/>
      <c r="K877" s="56"/>
      <c r="L877" s="56"/>
      <c r="O877" s="56"/>
    </row>
    <row r="878" spans="1:15" ht="13" x14ac:dyDescent="0.15">
      <c r="A878" s="56"/>
      <c r="B878" s="56"/>
      <c r="J878" s="58"/>
      <c r="K878" s="56"/>
      <c r="L878" s="56"/>
      <c r="O878" s="56"/>
    </row>
    <row r="879" spans="1:15" ht="13" x14ac:dyDescent="0.15">
      <c r="A879" s="56"/>
      <c r="B879" s="56"/>
      <c r="J879" s="58"/>
      <c r="K879" s="56"/>
      <c r="L879" s="56"/>
      <c r="O879" s="56"/>
    </row>
    <row r="880" spans="1:15" ht="13" x14ac:dyDescent="0.15">
      <c r="A880" s="56"/>
      <c r="B880" s="56"/>
      <c r="J880" s="58"/>
      <c r="K880" s="56"/>
      <c r="L880" s="56"/>
      <c r="O880" s="56"/>
    </row>
    <row r="881" spans="1:15" ht="13" x14ac:dyDescent="0.15">
      <c r="A881" s="56"/>
      <c r="B881" s="56"/>
      <c r="J881" s="58"/>
      <c r="K881" s="56"/>
      <c r="L881" s="56"/>
      <c r="O881" s="56"/>
    </row>
    <row r="882" spans="1:15" ht="13" x14ac:dyDescent="0.15">
      <c r="A882" s="56"/>
      <c r="B882" s="56"/>
      <c r="J882" s="58"/>
      <c r="K882" s="56"/>
      <c r="L882" s="56"/>
      <c r="O882" s="56"/>
    </row>
    <row r="883" spans="1:15" ht="13" x14ac:dyDescent="0.15">
      <c r="A883" s="56"/>
      <c r="B883" s="56"/>
      <c r="J883" s="58"/>
      <c r="K883" s="56"/>
      <c r="L883" s="56"/>
      <c r="O883" s="56"/>
    </row>
    <row r="884" spans="1:15" ht="13" x14ac:dyDescent="0.15">
      <c r="A884" s="56"/>
      <c r="B884" s="56"/>
      <c r="J884" s="58"/>
      <c r="K884" s="56"/>
      <c r="L884" s="56"/>
      <c r="O884" s="56"/>
    </row>
    <row r="885" spans="1:15" ht="13" x14ac:dyDescent="0.15">
      <c r="A885" s="56"/>
      <c r="B885" s="56"/>
      <c r="J885" s="58"/>
      <c r="K885" s="56"/>
      <c r="L885" s="56"/>
      <c r="O885" s="56"/>
    </row>
    <row r="886" spans="1:15" ht="13" x14ac:dyDescent="0.15">
      <c r="A886" s="56"/>
      <c r="B886" s="56"/>
      <c r="J886" s="58"/>
      <c r="K886" s="56"/>
      <c r="L886" s="56"/>
      <c r="O886" s="56"/>
    </row>
    <row r="887" spans="1:15" ht="13" x14ac:dyDescent="0.15">
      <c r="A887" s="56"/>
      <c r="B887" s="56"/>
      <c r="J887" s="58"/>
      <c r="K887" s="56"/>
      <c r="L887" s="56"/>
      <c r="O887" s="56"/>
    </row>
    <row r="888" spans="1:15" ht="13" x14ac:dyDescent="0.15">
      <c r="A888" s="56"/>
      <c r="B888" s="56"/>
      <c r="J888" s="58"/>
      <c r="K888" s="56"/>
      <c r="L888" s="56"/>
      <c r="O888" s="56"/>
    </row>
    <row r="889" spans="1:15" ht="13" x14ac:dyDescent="0.15">
      <c r="A889" s="56"/>
      <c r="B889" s="56"/>
      <c r="J889" s="58"/>
      <c r="K889" s="56"/>
      <c r="L889" s="56"/>
      <c r="O889" s="56"/>
    </row>
    <row r="890" spans="1:15" ht="13" x14ac:dyDescent="0.15">
      <c r="A890" s="56"/>
      <c r="B890" s="56"/>
      <c r="J890" s="58"/>
      <c r="K890" s="56"/>
      <c r="L890" s="56"/>
      <c r="O890" s="56"/>
    </row>
    <row r="891" spans="1:15" ht="13" x14ac:dyDescent="0.15">
      <c r="A891" s="56"/>
      <c r="B891" s="56"/>
      <c r="J891" s="58"/>
      <c r="K891" s="56"/>
      <c r="L891" s="56"/>
      <c r="O891" s="56"/>
    </row>
    <row r="892" spans="1:15" ht="13" x14ac:dyDescent="0.15">
      <c r="A892" s="56"/>
      <c r="B892" s="56"/>
      <c r="J892" s="58"/>
      <c r="K892" s="56"/>
      <c r="L892" s="56"/>
      <c r="O892" s="56"/>
    </row>
    <row r="893" spans="1:15" ht="13" x14ac:dyDescent="0.15">
      <c r="A893" s="56"/>
      <c r="B893" s="56"/>
      <c r="J893" s="58"/>
      <c r="K893" s="56"/>
      <c r="L893" s="56"/>
      <c r="O893" s="56"/>
    </row>
    <row r="894" spans="1:15" ht="13" x14ac:dyDescent="0.15">
      <c r="A894" s="56"/>
      <c r="B894" s="56"/>
      <c r="J894" s="58"/>
      <c r="K894" s="56"/>
      <c r="L894" s="56"/>
      <c r="O894" s="56"/>
    </row>
    <row r="895" spans="1:15" ht="13" x14ac:dyDescent="0.15">
      <c r="A895" s="56"/>
      <c r="B895" s="56"/>
      <c r="J895" s="58"/>
      <c r="K895" s="56"/>
      <c r="L895" s="56"/>
      <c r="O895" s="56"/>
    </row>
    <row r="896" spans="1:15" ht="13" x14ac:dyDescent="0.15">
      <c r="A896" s="56"/>
      <c r="B896" s="56"/>
      <c r="J896" s="58"/>
      <c r="K896" s="56"/>
      <c r="L896" s="56"/>
      <c r="O896" s="56"/>
    </row>
    <row r="897" spans="1:15" ht="13" x14ac:dyDescent="0.15">
      <c r="A897" s="56"/>
      <c r="B897" s="56"/>
      <c r="J897" s="58"/>
      <c r="K897" s="56"/>
      <c r="L897" s="56"/>
      <c r="O897" s="56"/>
    </row>
    <row r="898" spans="1:15" ht="13" x14ac:dyDescent="0.15">
      <c r="A898" s="56"/>
      <c r="B898" s="56"/>
      <c r="J898" s="58"/>
      <c r="K898" s="56"/>
      <c r="L898" s="56"/>
      <c r="O898" s="56"/>
    </row>
    <row r="899" spans="1:15" ht="13" x14ac:dyDescent="0.15">
      <c r="A899" s="56"/>
      <c r="B899" s="56"/>
      <c r="J899" s="58"/>
      <c r="K899" s="56"/>
      <c r="L899" s="56"/>
      <c r="O899" s="56"/>
    </row>
    <row r="900" spans="1:15" ht="13" x14ac:dyDescent="0.15">
      <c r="A900" s="56"/>
      <c r="B900" s="56"/>
      <c r="J900" s="58"/>
      <c r="K900" s="56"/>
      <c r="L900" s="56"/>
      <c r="O900" s="56"/>
    </row>
    <row r="901" spans="1:15" ht="13" x14ac:dyDescent="0.15">
      <c r="A901" s="56"/>
      <c r="B901" s="56"/>
      <c r="J901" s="58"/>
      <c r="K901" s="56"/>
      <c r="L901" s="56"/>
      <c r="O901" s="56"/>
    </row>
    <row r="902" spans="1:15" ht="13" x14ac:dyDescent="0.15">
      <c r="A902" s="56"/>
      <c r="B902" s="56"/>
      <c r="J902" s="58"/>
      <c r="K902" s="56"/>
      <c r="L902" s="56"/>
      <c r="O902" s="56"/>
    </row>
    <row r="903" spans="1:15" ht="13" x14ac:dyDescent="0.15">
      <c r="A903" s="56"/>
      <c r="B903" s="56"/>
      <c r="J903" s="58"/>
      <c r="K903" s="56"/>
      <c r="L903" s="56"/>
      <c r="O903" s="56"/>
    </row>
    <row r="904" spans="1:15" ht="13" x14ac:dyDescent="0.15">
      <c r="A904" s="56"/>
      <c r="B904" s="56"/>
      <c r="J904" s="58"/>
      <c r="K904" s="56"/>
      <c r="L904" s="56"/>
      <c r="O904" s="56"/>
    </row>
    <row r="905" spans="1:15" ht="13" x14ac:dyDescent="0.15">
      <c r="A905" s="56"/>
      <c r="B905" s="56"/>
      <c r="J905" s="58"/>
      <c r="K905" s="56"/>
      <c r="L905" s="56"/>
      <c r="O905" s="56"/>
    </row>
    <row r="906" spans="1:15" ht="13" x14ac:dyDescent="0.15">
      <c r="A906" s="56"/>
      <c r="B906" s="56"/>
      <c r="J906" s="58"/>
      <c r="K906" s="56"/>
      <c r="L906" s="56"/>
      <c r="O906" s="56"/>
    </row>
    <row r="907" spans="1:15" ht="13" x14ac:dyDescent="0.15">
      <c r="A907" s="56"/>
      <c r="B907" s="56"/>
      <c r="J907" s="58"/>
      <c r="K907" s="56"/>
      <c r="L907" s="56"/>
      <c r="O907" s="56"/>
    </row>
    <row r="908" spans="1:15" ht="13" x14ac:dyDescent="0.15">
      <c r="A908" s="56"/>
      <c r="B908" s="56"/>
      <c r="J908" s="58"/>
      <c r="K908" s="56"/>
      <c r="L908" s="56"/>
      <c r="O908" s="56"/>
    </row>
    <row r="909" spans="1:15" ht="13" x14ac:dyDescent="0.15">
      <c r="A909" s="56"/>
      <c r="B909" s="56"/>
      <c r="J909" s="58"/>
      <c r="K909" s="56"/>
      <c r="L909" s="56"/>
      <c r="O909" s="56"/>
    </row>
    <row r="910" spans="1:15" ht="13" x14ac:dyDescent="0.15">
      <c r="A910" s="56"/>
      <c r="B910" s="56"/>
      <c r="J910" s="58"/>
      <c r="K910" s="56"/>
      <c r="L910" s="56"/>
      <c r="O910" s="56"/>
    </row>
    <row r="911" spans="1:15" ht="13" x14ac:dyDescent="0.15">
      <c r="A911" s="56"/>
      <c r="B911" s="56"/>
      <c r="J911" s="58"/>
      <c r="K911" s="56"/>
      <c r="L911" s="56"/>
      <c r="O911" s="56"/>
    </row>
    <row r="912" spans="1:15" ht="13" x14ac:dyDescent="0.15">
      <c r="A912" s="56"/>
      <c r="B912" s="56"/>
      <c r="J912" s="58"/>
      <c r="K912" s="56"/>
      <c r="L912" s="56"/>
      <c r="O912" s="56"/>
    </row>
    <row r="913" spans="1:15" ht="13" x14ac:dyDescent="0.15">
      <c r="A913" s="56"/>
      <c r="B913" s="56"/>
      <c r="J913" s="58"/>
      <c r="K913" s="56"/>
      <c r="L913" s="56"/>
      <c r="O913" s="56"/>
    </row>
    <row r="914" spans="1:15" ht="13" x14ac:dyDescent="0.15">
      <c r="A914" s="56"/>
      <c r="B914" s="56"/>
      <c r="J914" s="58"/>
      <c r="K914" s="56"/>
      <c r="L914" s="56"/>
      <c r="O914" s="56"/>
    </row>
    <row r="915" spans="1:15" ht="13" x14ac:dyDescent="0.15">
      <c r="A915" s="56"/>
      <c r="B915" s="56"/>
      <c r="J915" s="58"/>
      <c r="K915" s="56"/>
      <c r="L915" s="56"/>
      <c r="O915" s="56"/>
    </row>
    <row r="916" spans="1:15" ht="13" x14ac:dyDescent="0.15">
      <c r="A916" s="56"/>
      <c r="B916" s="56"/>
      <c r="J916" s="58"/>
      <c r="K916" s="56"/>
      <c r="L916" s="56"/>
      <c r="O916" s="56"/>
    </row>
    <row r="917" spans="1:15" ht="13" x14ac:dyDescent="0.15">
      <c r="A917" s="56"/>
      <c r="B917" s="56"/>
      <c r="J917" s="58"/>
      <c r="K917" s="56"/>
      <c r="L917" s="56"/>
      <c r="O917" s="56"/>
    </row>
    <row r="918" spans="1:15" ht="13" x14ac:dyDescent="0.15">
      <c r="A918" s="56"/>
      <c r="B918" s="56"/>
      <c r="J918" s="58"/>
      <c r="K918" s="56"/>
      <c r="L918" s="56"/>
      <c r="O918" s="56"/>
    </row>
    <row r="919" spans="1:15" ht="13" x14ac:dyDescent="0.15">
      <c r="A919" s="56"/>
      <c r="B919" s="56"/>
      <c r="J919" s="58"/>
      <c r="K919" s="56"/>
      <c r="L919" s="56"/>
      <c r="O919" s="56"/>
    </row>
    <row r="920" spans="1:15" ht="13" x14ac:dyDescent="0.15">
      <c r="A920" s="56"/>
      <c r="B920" s="56"/>
      <c r="J920" s="58"/>
      <c r="K920" s="56"/>
      <c r="L920" s="56"/>
      <c r="O920" s="56"/>
    </row>
    <row r="921" spans="1:15" ht="13" x14ac:dyDescent="0.15">
      <c r="A921" s="56"/>
      <c r="B921" s="56"/>
      <c r="J921" s="58"/>
      <c r="K921" s="56"/>
      <c r="L921" s="56"/>
      <c r="O921" s="56"/>
    </row>
    <row r="922" spans="1:15" ht="13" x14ac:dyDescent="0.15">
      <c r="A922" s="56"/>
      <c r="B922" s="56"/>
      <c r="J922" s="58"/>
      <c r="K922" s="56"/>
      <c r="L922" s="56"/>
      <c r="O922" s="56"/>
    </row>
    <row r="923" spans="1:15" ht="13" x14ac:dyDescent="0.15">
      <c r="A923" s="56"/>
      <c r="B923" s="56"/>
      <c r="J923" s="58"/>
      <c r="K923" s="56"/>
      <c r="L923" s="56"/>
      <c r="O923" s="56"/>
    </row>
    <row r="924" spans="1:15" ht="13" x14ac:dyDescent="0.15">
      <c r="A924" s="56"/>
      <c r="B924" s="56"/>
      <c r="J924" s="58"/>
      <c r="K924" s="56"/>
      <c r="L924" s="56"/>
      <c r="O924" s="56"/>
    </row>
    <row r="925" spans="1:15" ht="13" x14ac:dyDescent="0.15">
      <c r="A925" s="56"/>
      <c r="B925" s="56"/>
      <c r="J925" s="58"/>
      <c r="K925" s="56"/>
      <c r="L925" s="56"/>
      <c r="O925" s="56"/>
    </row>
    <row r="926" spans="1:15" ht="13" x14ac:dyDescent="0.15">
      <c r="A926" s="56"/>
      <c r="B926" s="56"/>
      <c r="J926" s="58"/>
      <c r="K926" s="56"/>
      <c r="L926" s="56"/>
      <c r="O926" s="56"/>
    </row>
    <row r="927" spans="1:15" ht="13" x14ac:dyDescent="0.15">
      <c r="A927" s="56"/>
      <c r="B927" s="56"/>
      <c r="J927" s="58"/>
      <c r="K927" s="56"/>
      <c r="L927" s="56"/>
      <c r="O927" s="56"/>
    </row>
    <row r="928" spans="1:15" ht="13" x14ac:dyDescent="0.15">
      <c r="A928" s="56"/>
      <c r="B928" s="56"/>
      <c r="J928" s="58"/>
      <c r="K928" s="56"/>
      <c r="L928" s="56"/>
      <c r="O928" s="56"/>
    </row>
    <row r="929" spans="1:15" ht="13" x14ac:dyDescent="0.15">
      <c r="A929" s="56"/>
      <c r="B929" s="56"/>
      <c r="J929" s="58"/>
      <c r="K929" s="56"/>
      <c r="L929" s="56"/>
      <c r="O929" s="56"/>
    </row>
    <row r="930" spans="1:15" ht="13" x14ac:dyDescent="0.15">
      <c r="A930" s="56"/>
      <c r="B930" s="56"/>
      <c r="J930" s="58"/>
      <c r="K930" s="56"/>
      <c r="L930" s="56"/>
      <c r="O930" s="56"/>
    </row>
    <row r="931" spans="1:15" ht="13" x14ac:dyDescent="0.15">
      <c r="A931" s="56"/>
      <c r="B931" s="56"/>
      <c r="J931" s="58"/>
      <c r="K931" s="56"/>
      <c r="L931" s="56"/>
      <c r="O931" s="56"/>
    </row>
    <row r="932" spans="1:15" ht="13" x14ac:dyDescent="0.15">
      <c r="A932" s="56"/>
      <c r="B932" s="56"/>
      <c r="J932" s="58"/>
      <c r="K932" s="56"/>
      <c r="L932" s="56"/>
      <c r="O932" s="56"/>
    </row>
    <row r="933" spans="1:15" ht="13" x14ac:dyDescent="0.15">
      <c r="A933" s="56"/>
      <c r="B933" s="56"/>
      <c r="J933" s="58"/>
      <c r="K933" s="56"/>
      <c r="L933" s="56"/>
      <c r="O933" s="56"/>
    </row>
    <row r="934" spans="1:15" ht="13" x14ac:dyDescent="0.15">
      <c r="A934" s="56"/>
      <c r="B934" s="56"/>
      <c r="J934" s="58"/>
      <c r="K934" s="56"/>
      <c r="L934" s="56"/>
      <c r="O934" s="56"/>
    </row>
    <row r="935" spans="1:15" ht="13" x14ac:dyDescent="0.15">
      <c r="A935" s="56"/>
      <c r="B935" s="56"/>
      <c r="J935" s="58"/>
      <c r="K935" s="56"/>
      <c r="L935" s="56"/>
      <c r="O935" s="56"/>
    </row>
    <row r="936" spans="1:15" ht="13" x14ac:dyDescent="0.15">
      <c r="A936" s="56"/>
      <c r="B936" s="56"/>
      <c r="J936" s="58"/>
      <c r="K936" s="56"/>
      <c r="L936" s="56"/>
      <c r="O936" s="56"/>
    </row>
    <row r="937" spans="1:15" ht="13" x14ac:dyDescent="0.15">
      <c r="A937" s="56"/>
      <c r="B937" s="56"/>
      <c r="J937" s="58"/>
      <c r="K937" s="56"/>
      <c r="L937" s="56"/>
      <c r="O937" s="56"/>
    </row>
    <row r="938" spans="1:15" ht="13" x14ac:dyDescent="0.15">
      <c r="A938" s="56"/>
      <c r="B938" s="56"/>
      <c r="J938" s="58"/>
      <c r="K938" s="56"/>
      <c r="L938" s="56"/>
      <c r="O938" s="56"/>
    </row>
    <row r="939" spans="1:15" ht="13" x14ac:dyDescent="0.15">
      <c r="A939" s="56"/>
      <c r="B939" s="56"/>
      <c r="J939" s="58"/>
      <c r="K939" s="56"/>
      <c r="L939" s="56"/>
      <c r="O939" s="56"/>
    </row>
    <row r="940" spans="1:15" ht="13" x14ac:dyDescent="0.15">
      <c r="A940" s="56"/>
      <c r="B940" s="56"/>
      <c r="J940" s="58"/>
      <c r="K940" s="56"/>
      <c r="L940" s="56"/>
      <c r="O940" s="56"/>
    </row>
    <row r="941" spans="1:15" ht="13" x14ac:dyDescent="0.15">
      <c r="A941" s="56"/>
      <c r="B941" s="56"/>
      <c r="J941" s="58"/>
      <c r="K941" s="56"/>
      <c r="L941" s="56"/>
      <c r="O941" s="56"/>
    </row>
    <row r="942" spans="1:15" ht="13" x14ac:dyDescent="0.15">
      <c r="A942" s="56"/>
      <c r="B942" s="56"/>
      <c r="J942" s="58"/>
      <c r="K942" s="56"/>
      <c r="L942" s="56"/>
      <c r="O942" s="56"/>
    </row>
    <row r="943" spans="1:15" ht="13" x14ac:dyDescent="0.15">
      <c r="A943" s="56"/>
      <c r="B943" s="56"/>
      <c r="J943" s="58"/>
      <c r="K943" s="56"/>
      <c r="L943" s="56"/>
      <c r="O943" s="56"/>
    </row>
    <row r="944" spans="1:15" ht="13" x14ac:dyDescent="0.15">
      <c r="A944" s="56"/>
      <c r="B944" s="56"/>
      <c r="J944" s="58"/>
      <c r="K944" s="56"/>
      <c r="L944" s="56"/>
      <c r="O944" s="56"/>
    </row>
    <row r="945" spans="1:15" ht="13" x14ac:dyDescent="0.15">
      <c r="A945" s="56"/>
      <c r="B945" s="56"/>
      <c r="J945" s="58"/>
      <c r="K945" s="56"/>
      <c r="L945" s="56"/>
      <c r="O945" s="56"/>
    </row>
    <row r="946" spans="1:15" ht="13" x14ac:dyDescent="0.15">
      <c r="A946" s="56"/>
      <c r="B946" s="56"/>
      <c r="J946" s="58"/>
      <c r="K946" s="56"/>
      <c r="L946" s="56"/>
      <c r="O946" s="56"/>
    </row>
    <row r="947" spans="1:15" ht="13" x14ac:dyDescent="0.15">
      <c r="A947" s="56"/>
      <c r="B947" s="56"/>
      <c r="J947" s="58"/>
      <c r="K947" s="56"/>
      <c r="L947" s="56"/>
      <c r="O947" s="56"/>
    </row>
    <row r="948" spans="1:15" ht="13" x14ac:dyDescent="0.15">
      <c r="A948" s="56"/>
      <c r="B948" s="56"/>
      <c r="J948" s="58"/>
      <c r="K948" s="56"/>
      <c r="L948" s="56"/>
      <c r="O948" s="56"/>
    </row>
    <row r="949" spans="1:15" ht="13" x14ac:dyDescent="0.15">
      <c r="A949" s="56"/>
      <c r="B949" s="56"/>
      <c r="J949" s="58"/>
      <c r="K949" s="56"/>
      <c r="L949" s="56"/>
      <c r="O949" s="56"/>
    </row>
    <row r="950" spans="1:15" ht="13" x14ac:dyDescent="0.15">
      <c r="A950" s="56"/>
      <c r="B950" s="56"/>
      <c r="J950" s="58"/>
      <c r="K950" s="56"/>
      <c r="L950" s="56"/>
      <c r="O950" s="56"/>
    </row>
    <row r="951" spans="1:15" ht="13" x14ac:dyDescent="0.15">
      <c r="A951" s="56"/>
      <c r="B951" s="56"/>
      <c r="J951" s="58"/>
      <c r="K951" s="56"/>
      <c r="L951" s="56"/>
      <c r="O951" s="56"/>
    </row>
    <row r="952" spans="1:15" ht="13" x14ac:dyDescent="0.15">
      <c r="A952" s="56"/>
      <c r="B952" s="56"/>
      <c r="J952" s="58"/>
      <c r="K952" s="56"/>
      <c r="L952" s="56"/>
      <c r="O952" s="56"/>
    </row>
    <row r="953" spans="1:15" ht="13" x14ac:dyDescent="0.15">
      <c r="A953" s="56"/>
      <c r="B953" s="56"/>
      <c r="J953" s="58"/>
      <c r="K953" s="56"/>
      <c r="L953" s="56"/>
      <c r="O953" s="56"/>
    </row>
    <row r="954" spans="1:15" ht="13" x14ac:dyDescent="0.15">
      <c r="A954" s="56"/>
      <c r="B954" s="56"/>
      <c r="J954" s="58"/>
      <c r="K954" s="56"/>
      <c r="L954" s="56"/>
      <c r="O954" s="56"/>
    </row>
    <row r="955" spans="1:15" ht="13" x14ac:dyDescent="0.15">
      <c r="A955" s="56"/>
      <c r="B955" s="56"/>
      <c r="J955" s="58"/>
      <c r="K955" s="56"/>
      <c r="L955" s="56"/>
      <c r="O955" s="56"/>
    </row>
    <row r="956" spans="1:15" ht="13" x14ac:dyDescent="0.15">
      <c r="A956" s="56"/>
      <c r="B956" s="56"/>
      <c r="J956" s="58"/>
      <c r="K956" s="56"/>
      <c r="L956" s="56"/>
      <c r="O956" s="56"/>
    </row>
    <row r="957" spans="1:15" ht="13" x14ac:dyDescent="0.15">
      <c r="A957" s="56"/>
      <c r="B957" s="56"/>
      <c r="J957" s="58"/>
      <c r="K957" s="56"/>
      <c r="L957" s="56"/>
      <c r="O957" s="56"/>
    </row>
    <row r="958" spans="1:15" ht="13" x14ac:dyDescent="0.15">
      <c r="A958" s="56"/>
      <c r="B958" s="56"/>
      <c r="J958" s="58"/>
      <c r="K958" s="56"/>
      <c r="L958" s="56"/>
      <c r="O958" s="56"/>
    </row>
    <row r="959" spans="1:15" ht="13" x14ac:dyDescent="0.15">
      <c r="A959" s="56"/>
      <c r="B959" s="56"/>
      <c r="J959" s="58"/>
      <c r="K959" s="56"/>
      <c r="L959" s="56"/>
      <c r="O959" s="56"/>
    </row>
    <row r="960" spans="1:15" ht="13" x14ac:dyDescent="0.15">
      <c r="A960" s="56"/>
      <c r="B960" s="56"/>
      <c r="J960" s="58"/>
      <c r="K960" s="56"/>
      <c r="L960" s="56"/>
      <c r="O960" s="56"/>
    </row>
    <row r="961" spans="1:15" ht="13" x14ac:dyDescent="0.15">
      <c r="A961" s="56"/>
      <c r="B961" s="56"/>
      <c r="J961" s="58"/>
      <c r="K961" s="56"/>
      <c r="L961" s="56"/>
      <c r="O961" s="56"/>
    </row>
    <row r="962" spans="1:15" ht="13" x14ac:dyDescent="0.15">
      <c r="A962" s="56"/>
      <c r="B962" s="56"/>
      <c r="J962" s="58"/>
      <c r="K962" s="56"/>
      <c r="L962" s="56"/>
      <c r="O962" s="56"/>
    </row>
    <row r="963" spans="1:15" ht="13" x14ac:dyDescent="0.15">
      <c r="A963" s="56"/>
      <c r="B963" s="56"/>
      <c r="J963" s="58"/>
      <c r="K963" s="56"/>
      <c r="L963" s="56"/>
      <c r="O963" s="56"/>
    </row>
    <row r="964" spans="1:15" ht="13" x14ac:dyDescent="0.15">
      <c r="A964" s="56"/>
      <c r="B964" s="56"/>
      <c r="J964" s="58"/>
      <c r="K964" s="56"/>
      <c r="L964" s="56"/>
      <c r="O964" s="56"/>
    </row>
    <row r="965" spans="1:15" ht="13" x14ac:dyDescent="0.15">
      <c r="A965" s="56"/>
      <c r="B965" s="56"/>
      <c r="J965" s="58"/>
      <c r="K965" s="56"/>
      <c r="L965" s="56"/>
      <c r="O965" s="56"/>
    </row>
    <row r="966" spans="1:15" ht="13" x14ac:dyDescent="0.15">
      <c r="A966" s="56"/>
      <c r="B966" s="56"/>
      <c r="J966" s="58"/>
      <c r="K966" s="56"/>
      <c r="L966" s="56"/>
      <c r="O966" s="56"/>
    </row>
    <row r="967" spans="1:15" ht="13" x14ac:dyDescent="0.15">
      <c r="A967" s="56"/>
      <c r="B967" s="56"/>
      <c r="J967" s="58"/>
      <c r="K967" s="56"/>
      <c r="L967" s="56"/>
      <c r="O967" s="56"/>
    </row>
    <row r="968" spans="1:15" ht="13" x14ac:dyDescent="0.15">
      <c r="A968" s="56"/>
      <c r="B968" s="56"/>
      <c r="J968" s="58"/>
      <c r="K968" s="56"/>
      <c r="L968" s="56"/>
      <c r="O968" s="56"/>
    </row>
    <row r="969" spans="1:15" ht="13" x14ac:dyDescent="0.15">
      <c r="A969" s="56"/>
      <c r="B969" s="56"/>
      <c r="J969" s="58"/>
      <c r="K969" s="56"/>
      <c r="L969" s="56"/>
      <c r="O969" s="56"/>
    </row>
  </sheetData>
  <hyperlinks>
    <hyperlink ref="M2" r:id="rId1" xr:uid="{00000000-0004-0000-0100-000000000000}"/>
    <hyperlink ref="M4" r:id="rId2" xr:uid="{00000000-0004-0000-0100-000001000000}"/>
    <hyperlink ref="M5" r:id="rId3" xr:uid="{00000000-0004-0000-0100-000002000000}"/>
    <hyperlink ref="M6" r:id="rId4" xr:uid="{00000000-0004-0000-0100-000003000000}"/>
    <hyperlink ref="M7" r:id="rId5" xr:uid="{00000000-0004-0000-0100-000004000000}"/>
    <hyperlink ref="M8" r:id="rId6" xr:uid="{00000000-0004-0000-0100-000005000000}"/>
    <hyperlink ref="M9" r:id="rId7" xr:uid="{00000000-0004-0000-0100-000006000000}"/>
    <hyperlink ref="M10" r:id="rId8" xr:uid="{00000000-0004-0000-0100-000007000000}"/>
    <hyperlink ref="M11" r:id="rId9" xr:uid="{00000000-0004-0000-0100-000008000000}"/>
    <hyperlink ref="M13" r:id="rId10" xr:uid="{00000000-0004-0000-0100-000009000000}"/>
    <hyperlink ref="M15" r:id="rId11" xr:uid="{00000000-0004-0000-0100-00000A000000}"/>
    <hyperlink ref="M16" r:id="rId12" xr:uid="{00000000-0004-0000-0100-00000B000000}"/>
    <hyperlink ref="M18" r:id="rId13" xr:uid="{00000000-0004-0000-0100-00000C000000}"/>
    <hyperlink ref="M20" r:id="rId14" xr:uid="{00000000-0004-0000-0100-00000D000000}"/>
    <hyperlink ref="M21" r:id="rId15" xr:uid="{00000000-0004-0000-0100-00000E000000}"/>
    <hyperlink ref="M23" r:id="rId16" xr:uid="{00000000-0004-0000-0100-00000F000000}"/>
    <hyperlink ref="N37" r:id="rId17" xr:uid="{00000000-0004-0000-0100-000010000000}"/>
  </hyperlinks>
  <pageMargins left="0.26" right="0.55000000000000004" top="0.5" bottom="0.31496062992125984" header="0" footer="0"/>
  <pageSetup paperSize="9" scale="6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9" customWidth="1"/>
    <col min="2" max="2" width="15.33203125" customWidth="1"/>
    <col min="3" max="3" width="9.33203125" customWidth="1"/>
    <col min="4" max="4" width="12.1640625" customWidth="1"/>
    <col min="5" max="5" width="55.6640625" customWidth="1"/>
    <col min="6" max="6" width="58.6640625" customWidth="1"/>
    <col min="7" max="7" width="25" customWidth="1"/>
    <col min="8" max="8" width="35.1640625" customWidth="1"/>
    <col min="9" max="9" width="35.6640625" customWidth="1"/>
    <col min="10" max="10" width="34.5" customWidth="1"/>
    <col min="11" max="11" width="21.5" customWidth="1"/>
    <col min="12" max="12" width="25.6640625" customWidth="1"/>
    <col min="13" max="13" width="48.6640625" customWidth="1"/>
    <col min="14" max="14" width="38.1640625" customWidth="1"/>
    <col min="15" max="15" width="15.83203125" customWidth="1"/>
    <col min="16" max="16" width="9.6640625" customWidth="1"/>
    <col min="17" max="17" width="30" customWidth="1"/>
    <col min="18" max="18" width="60.1640625" customWidth="1"/>
    <col min="19" max="19" width="20.1640625" customWidth="1"/>
    <col min="20" max="20" width="23.6640625" customWidth="1"/>
    <col min="21" max="21" width="34.1640625" customWidth="1"/>
    <col min="22" max="27" width="8.6640625" customWidth="1"/>
  </cols>
  <sheetData>
    <row r="1" spans="1:27" ht="15.75" customHeight="1" x14ac:dyDescent="0.2">
      <c r="A1" s="59" t="s">
        <v>36</v>
      </c>
      <c r="B1" s="59" t="s">
        <v>37</v>
      </c>
      <c r="C1" s="59" t="s">
        <v>38</v>
      </c>
      <c r="D1" s="59"/>
      <c r="E1" s="59" t="s">
        <v>39</v>
      </c>
      <c r="F1" s="59" t="s">
        <v>40</v>
      </c>
      <c r="G1" s="59" t="s">
        <v>41</v>
      </c>
      <c r="H1" s="59" t="s">
        <v>42</v>
      </c>
      <c r="I1" s="59" t="s">
        <v>43</v>
      </c>
      <c r="J1" s="59" t="s">
        <v>44</v>
      </c>
      <c r="K1" s="59" t="s">
        <v>45</v>
      </c>
      <c r="L1" s="59" t="s">
        <v>46</v>
      </c>
      <c r="M1" s="59" t="s">
        <v>47</v>
      </c>
      <c r="N1" s="59" t="s">
        <v>48</v>
      </c>
      <c r="O1" s="60" t="s">
        <v>800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20</v>
      </c>
      <c r="B2" s="61" t="s">
        <v>734</v>
      </c>
      <c r="C2" s="62" t="s">
        <v>51</v>
      </c>
      <c r="D2" s="62" t="str">
        <f t="shared" ref="D2:D35" si="0">A2&amp;B2&amp;C2</f>
        <v>2002001</v>
      </c>
      <c r="E2" s="63" t="s">
        <v>801</v>
      </c>
      <c r="F2" s="64" t="s">
        <v>802</v>
      </c>
      <c r="G2" s="63" t="s">
        <v>803</v>
      </c>
      <c r="H2" s="64" t="s">
        <v>804</v>
      </c>
      <c r="I2" s="63" t="s">
        <v>805</v>
      </c>
      <c r="J2" s="63" t="s">
        <v>806</v>
      </c>
      <c r="K2" s="62">
        <v>81316769097</v>
      </c>
      <c r="L2" s="62">
        <v>82228051200</v>
      </c>
      <c r="M2" s="65" t="s">
        <v>807</v>
      </c>
      <c r="N2" s="63"/>
      <c r="O2" s="6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20</v>
      </c>
      <c r="B3" s="61" t="s">
        <v>734</v>
      </c>
      <c r="C3" s="62" t="s">
        <v>60</v>
      </c>
      <c r="D3" s="62" t="str">
        <f t="shared" si="0"/>
        <v>2002002</v>
      </c>
      <c r="E3" s="63" t="s">
        <v>808</v>
      </c>
      <c r="F3" s="64" t="s">
        <v>809</v>
      </c>
      <c r="G3" s="63" t="s">
        <v>803</v>
      </c>
      <c r="H3" s="64" t="s">
        <v>810</v>
      </c>
      <c r="I3" s="63" t="s">
        <v>811</v>
      </c>
      <c r="J3" s="63" t="s">
        <v>812</v>
      </c>
      <c r="K3" s="62">
        <v>85791136653</v>
      </c>
      <c r="L3" s="62">
        <v>85706550585</v>
      </c>
      <c r="M3" s="65" t="s">
        <v>813</v>
      </c>
      <c r="N3" s="63" t="s">
        <v>814</v>
      </c>
      <c r="O3" s="6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20</v>
      </c>
      <c r="B4" s="61" t="s">
        <v>734</v>
      </c>
      <c r="C4" s="62" t="s">
        <v>68</v>
      </c>
      <c r="D4" s="62" t="str">
        <f t="shared" si="0"/>
        <v>2002003</v>
      </c>
      <c r="E4" s="63" t="s">
        <v>815</v>
      </c>
      <c r="F4" s="64" t="s">
        <v>816</v>
      </c>
      <c r="G4" s="63" t="s">
        <v>803</v>
      </c>
      <c r="H4" s="64" t="s">
        <v>817</v>
      </c>
      <c r="I4" s="63" t="s">
        <v>818</v>
      </c>
      <c r="J4" s="63" t="s">
        <v>819</v>
      </c>
      <c r="K4" s="62">
        <v>85755366279</v>
      </c>
      <c r="L4" s="62">
        <v>81357877451</v>
      </c>
      <c r="M4" s="65" t="s">
        <v>820</v>
      </c>
      <c r="N4" s="63" t="s">
        <v>821</v>
      </c>
      <c r="O4" s="61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20</v>
      </c>
      <c r="B5" s="61" t="s">
        <v>734</v>
      </c>
      <c r="C5" s="62" t="s">
        <v>76</v>
      </c>
      <c r="D5" s="62" t="str">
        <f t="shared" si="0"/>
        <v>2002004</v>
      </c>
      <c r="E5" s="63" t="s">
        <v>822</v>
      </c>
      <c r="F5" s="64" t="s">
        <v>823</v>
      </c>
      <c r="G5" s="63" t="s">
        <v>803</v>
      </c>
      <c r="H5" s="64" t="s">
        <v>824</v>
      </c>
      <c r="I5" s="63" t="s">
        <v>825</v>
      </c>
      <c r="J5" s="63" t="s">
        <v>826</v>
      </c>
      <c r="K5" s="62">
        <v>85232479457</v>
      </c>
      <c r="L5" s="62">
        <v>85697708760</v>
      </c>
      <c r="M5" s="65" t="s">
        <v>827</v>
      </c>
      <c r="N5" s="63" t="s">
        <v>828</v>
      </c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20</v>
      </c>
      <c r="B6" s="61" t="s">
        <v>734</v>
      </c>
      <c r="C6" s="62" t="s">
        <v>84</v>
      </c>
      <c r="D6" s="62" t="str">
        <f t="shared" si="0"/>
        <v>2002005</v>
      </c>
      <c r="E6" s="63" t="s">
        <v>829</v>
      </c>
      <c r="F6" s="64" t="s">
        <v>830</v>
      </c>
      <c r="G6" s="63" t="s">
        <v>803</v>
      </c>
      <c r="H6" s="64" t="s">
        <v>831</v>
      </c>
      <c r="I6" s="63" t="s">
        <v>832</v>
      </c>
      <c r="J6" s="63" t="s">
        <v>833</v>
      </c>
      <c r="K6" s="62">
        <v>85856551611</v>
      </c>
      <c r="L6" s="62">
        <v>85790751422</v>
      </c>
      <c r="M6" s="65" t="s">
        <v>834</v>
      </c>
      <c r="N6" s="63" t="s">
        <v>835</v>
      </c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20</v>
      </c>
      <c r="B7" s="61" t="s">
        <v>734</v>
      </c>
      <c r="C7" s="62" t="s">
        <v>92</v>
      </c>
      <c r="D7" s="62" t="str">
        <f t="shared" si="0"/>
        <v>2002006</v>
      </c>
      <c r="E7" s="63" t="s">
        <v>836</v>
      </c>
      <c r="F7" s="64" t="s">
        <v>837</v>
      </c>
      <c r="G7" s="63" t="s">
        <v>803</v>
      </c>
      <c r="H7" s="64" t="s">
        <v>838</v>
      </c>
      <c r="I7" s="63" t="s">
        <v>839</v>
      </c>
      <c r="J7" s="63" t="s">
        <v>840</v>
      </c>
      <c r="K7" s="62">
        <f>6285815477073</f>
        <v>6285815477073</v>
      </c>
      <c r="L7" s="66" t="b">
        <v>1</v>
      </c>
      <c r="M7" s="65" t="s">
        <v>841</v>
      </c>
      <c r="N7" s="63" t="s">
        <v>842</v>
      </c>
      <c r="O7" s="6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20</v>
      </c>
      <c r="B8" s="61" t="s">
        <v>734</v>
      </c>
      <c r="C8" s="62" t="s">
        <v>100</v>
      </c>
      <c r="D8" s="62" t="str">
        <f t="shared" si="0"/>
        <v>2002007</v>
      </c>
      <c r="E8" s="63" t="s">
        <v>843</v>
      </c>
      <c r="F8" s="64" t="s">
        <v>844</v>
      </c>
      <c r="G8" s="63" t="s">
        <v>803</v>
      </c>
      <c r="H8" s="64" t="s">
        <v>845</v>
      </c>
      <c r="I8" s="63" t="s">
        <v>846</v>
      </c>
      <c r="J8" s="63" t="s">
        <v>847</v>
      </c>
      <c r="K8" s="62">
        <v>85645746176</v>
      </c>
      <c r="L8" s="62">
        <v>85732221869</v>
      </c>
      <c r="M8" s="63"/>
      <c r="N8" s="63"/>
      <c r="O8" s="61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20</v>
      </c>
      <c r="B9" s="61" t="s">
        <v>734</v>
      </c>
      <c r="C9" s="62" t="s">
        <v>108</v>
      </c>
      <c r="D9" s="62" t="str">
        <f t="shared" si="0"/>
        <v>2002008</v>
      </c>
      <c r="E9" s="63" t="s">
        <v>848</v>
      </c>
      <c r="F9" s="64" t="s">
        <v>849</v>
      </c>
      <c r="G9" s="63" t="s">
        <v>803</v>
      </c>
      <c r="H9" s="64" t="s">
        <v>850</v>
      </c>
      <c r="I9" s="63" t="s">
        <v>851</v>
      </c>
      <c r="J9" s="63" t="s">
        <v>851</v>
      </c>
      <c r="K9" s="62">
        <v>85815449118</v>
      </c>
      <c r="L9" s="62">
        <v>85815449118</v>
      </c>
      <c r="M9" s="63" t="s">
        <v>852</v>
      </c>
      <c r="N9" s="63"/>
      <c r="O9" s="6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21</v>
      </c>
      <c r="B10" s="61" t="s">
        <v>734</v>
      </c>
      <c r="C10" s="62" t="s">
        <v>116</v>
      </c>
      <c r="D10" s="62" t="str">
        <f t="shared" si="0"/>
        <v>2102009</v>
      </c>
      <c r="E10" s="63" t="s">
        <v>853</v>
      </c>
      <c r="F10" s="64" t="s">
        <v>854</v>
      </c>
      <c r="G10" s="63" t="s">
        <v>855</v>
      </c>
      <c r="H10" s="64" t="s">
        <v>856</v>
      </c>
      <c r="I10" s="63" t="s">
        <v>857</v>
      </c>
      <c r="J10" s="63"/>
      <c r="K10" s="62">
        <v>85755370361</v>
      </c>
      <c r="L10" s="62"/>
      <c r="M10" s="63"/>
      <c r="N10" s="63"/>
      <c r="O10" s="6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21</v>
      </c>
      <c r="B11" s="61" t="s">
        <v>734</v>
      </c>
      <c r="C11" s="62" t="s">
        <v>124</v>
      </c>
      <c r="D11" s="62" t="str">
        <f t="shared" si="0"/>
        <v>2102010</v>
      </c>
      <c r="E11" s="63" t="s">
        <v>858</v>
      </c>
      <c r="F11" s="64" t="s">
        <v>859</v>
      </c>
      <c r="G11" s="63" t="s">
        <v>860</v>
      </c>
      <c r="H11" s="64" t="s">
        <v>861</v>
      </c>
      <c r="I11" s="63" t="s">
        <v>862</v>
      </c>
      <c r="J11" s="63" t="s">
        <v>863</v>
      </c>
      <c r="K11" s="62">
        <v>85791467598</v>
      </c>
      <c r="L11" s="62" t="s">
        <v>864</v>
      </c>
      <c r="M11" s="63" t="s">
        <v>865</v>
      </c>
      <c r="N11" s="63" t="s">
        <v>866</v>
      </c>
      <c r="O11" s="6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21</v>
      </c>
      <c r="B12" s="61" t="s">
        <v>734</v>
      </c>
      <c r="C12" s="62" t="s">
        <v>132</v>
      </c>
      <c r="D12" s="62" t="str">
        <f t="shared" si="0"/>
        <v>2102011</v>
      </c>
      <c r="E12" s="63" t="s">
        <v>867</v>
      </c>
      <c r="F12" s="64" t="s">
        <v>868</v>
      </c>
      <c r="G12" s="63" t="s">
        <v>860</v>
      </c>
      <c r="H12" s="64" t="s">
        <v>869</v>
      </c>
      <c r="I12" s="63" t="s">
        <v>870</v>
      </c>
      <c r="J12" s="63"/>
      <c r="K12" s="62">
        <v>85707671544</v>
      </c>
      <c r="L12" s="62"/>
      <c r="M12" s="63"/>
      <c r="N12" s="63" t="s">
        <v>871</v>
      </c>
      <c r="O12" s="61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21</v>
      </c>
      <c r="B13" s="61" t="s">
        <v>734</v>
      </c>
      <c r="C13" s="62" t="s">
        <v>140</v>
      </c>
      <c r="D13" s="62" t="str">
        <f t="shared" si="0"/>
        <v>2102012</v>
      </c>
      <c r="E13" s="63" t="s">
        <v>872</v>
      </c>
      <c r="F13" s="64" t="s">
        <v>873</v>
      </c>
      <c r="G13" s="63" t="s">
        <v>874</v>
      </c>
      <c r="H13" s="64" t="s">
        <v>875</v>
      </c>
      <c r="I13" s="63" t="s">
        <v>876</v>
      </c>
      <c r="J13" s="63" t="s">
        <v>877</v>
      </c>
      <c r="K13" s="62">
        <v>85895332983</v>
      </c>
      <c r="L13" s="62">
        <v>85745297330</v>
      </c>
      <c r="M13" s="65" t="s">
        <v>878</v>
      </c>
      <c r="N13" s="63" t="s">
        <v>879</v>
      </c>
      <c r="O13" s="61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21</v>
      </c>
      <c r="B14" s="61" t="s">
        <v>734</v>
      </c>
      <c r="C14" s="62" t="s">
        <v>148</v>
      </c>
      <c r="D14" s="62" t="str">
        <f t="shared" si="0"/>
        <v>2102013</v>
      </c>
      <c r="E14" s="63" t="s">
        <v>880</v>
      </c>
      <c r="F14" s="64" t="s">
        <v>881</v>
      </c>
      <c r="G14" s="63" t="s">
        <v>874</v>
      </c>
      <c r="H14" s="64" t="s">
        <v>882</v>
      </c>
      <c r="I14" s="63" t="s">
        <v>883</v>
      </c>
      <c r="J14" s="63" t="s">
        <v>884</v>
      </c>
      <c r="K14" s="62">
        <v>81515715776</v>
      </c>
      <c r="L14" s="62" t="s">
        <v>885</v>
      </c>
      <c r="M14" s="65" t="s">
        <v>886</v>
      </c>
      <c r="N14" s="63" t="s">
        <v>887</v>
      </c>
      <c r="O14" s="6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21</v>
      </c>
      <c r="B15" s="61" t="s">
        <v>734</v>
      </c>
      <c r="C15" s="62" t="s">
        <v>156</v>
      </c>
      <c r="D15" s="62" t="str">
        <f t="shared" si="0"/>
        <v>2102014</v>
      </c>
      <c r="E15" s="63" t="s">
        <v>888</v>
      </c>
      <c r="F15" s="64" t="s">
        <v>889</v>
      </c>
      <c r="G15" s="63" t="s">
        <v>855</v>
      </c>
      <c r="H15" s="64" t="s">
        <v>890</v>
      </c>
      <c r="I15" s="63" t="s">
        <v>891</v>
      </c>
      <c r="J15" s="63" t="s">
        <v>892</v>
      </c>
      <c r="K15" s="62">
        <v>81226208776</v>
      </c>
      <c r="L15" s="62">
        <v>81226208776</v>
      </c>
      <c r="M15" s="65" t="s">
        <v>893</v>
      </c>
      <c r="N15" s="63" t="s">
        <v>894</v>
      </c>
      <c r="O15" s="6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22</v>
      </c>
      <c r="B16" s="61" t="s">
        <v>734</v>
      </c>
      <c r="C16" s="62" t="s">
        <v>164</v>
      </c>
      <c r="D16" s="62" t="str">
        <f t="shared" si="0"/>
        <v>2202015</v>
      </c>
      <c r="E16" s="63" t="s">
        <v>895</v>
      </c>
      <c r="F16" s="64" t="s">
        <v>896</v>
      </c>
      <c r="G16" s="63" t="s">
        <v>874</v>
      </c>
      <c r="H16" s="64" t="s">
        <v>897</v>
      </c>
      <c r="I16" s="63" t="s">
        <v>898</v>
      </c>
      <c r="J16" s="63" t="s">
        <v>899</v>
      </c>
      <c r="K16" s="62">
        <v>85735577672</v>
      </c>
      <c r="L16" s="62">
        <v>85805461838</v>
      </c>
      <c r="M16" s="63"/>
      <c r="N16" s="63" t="s">
        <v>900</v>
      </c>
      <c r="O16" s="61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734</v>
      </c>
      <c r="C17" s="62" t="s">
        <v>173</v>
      </c>
      <c r="D17" s="62" t="str">
        <f t="shared" si="0"/>
        <v>2202016</v>
      </c>
      <c r="E17" s="67" t="s">
        <v>901</v>
      </c>
      <c r="F17" s="67" t="s">
        <v>902</v>
      </c>
      <c r="G17" s="63" t="s">
        <v>874</v>
      </c>
      <c r="H17" s="67" t="s">
        <v>903</v>
      </c>
      <c r="I17" s="67" t="s">
        <v>904</v>
      </c>
      <c r="J17" s="63"/>
      <c r="K17" s="61" t="s">
        <v>905</v>
      </c>
      <c r="L17" s="62"/>
      <c r="M17" s="63"/>
      <c r="N17" s="63"/>
      <c r="O17" s="68">
        <v>11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22</v>
      </c>
      <c r="B18" s="61" t="s">
        <v>734</v>
      </c>
      <c r="C18" s="62" t="s">
        <v>180</v>
      </c>
      <c r="D18" s="62" t="str">
        <f t="shared" si="0"/>
        <v>2202017</v>
      </c>
      <c r="E18" s="67" t="s">
        <v>906</v>
      </c>
      <c r="F18" s="67" t="s">
        <v>907</v>
      </c>
      <c r="G18" s="63" t="s">
        <v>855</v>
      </c>
      <c r="H18" s="67" t="s">
        <v>908</v>
      </c>
      <c r="I18" s="67" t="s">
        <v>909</v>
      </c>
      <c r="J18" s="63"/>
      <c r="K18" s="61" t="s">
        <v>910</v>
      </c>
      <c r="L18" s="62"/>
      <c r="M18" s="63"/>
      <c r="N18" s="63"/>
      <c r="O18" s="68">
        <v>3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22</v>
      </c>
      <c r="B19" s="61" t="s">
        <v>734</v>
      </c>
      <c r="C19" s="62" t="s">
        <v>188</v>
      </c>
      <c r="D19" s="62" t="str">
        <f t="shared" si="0"/>
        <v>2202018</v>
      </c>
      <c r="E19" s="67" t="s">
        <v>911</v>
      </c>
      <c r="F19" s="67" t="s">
        <v>912</v>
      </c>
      <c r="G19" s="63" t="s">
        <v>874</v>
      </c>
      <c r="H19" s="67" t="s">
        <v>913</v>
      </c>
      <c r="I19" s="67" t="s">
        <v>914</v>
      </c>
      <c r="J19" s="63"/>
      <c r="K19" s="61" t="s">
        <v>915</v>
      </c>
      <c r="L19" s="62"/>
      <c r="M19" s="63"/>
      <c r="N19" s="63"/>
      <c r="O19" s="68">
        <v>8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22</v>
      </c>
      <c r="B20" s="61" t="s">
        <v>734</v>
      </c>
      <c r="C20" s="62" t="s">
        <v>196</v>
      </c>
      <c r="D20" s="62" t="str">
        <f t="shared" si="0"/>
        <v>2202019</v>
      </c>
      <c r="E20" s="69" t="s">
        <v>916</v>
      </c>
      <c r="F20" s="69" t="s">
        <v>917</v>
      </c>
      <c r="G20" s="63" t="s">
        <v>855</v>
      </c>
      <c r="H20" s="69" t="s">
        <v>918</v>
      </c>
      <c r="I20" s="69" t="s">
        <v>919</v>
      </c>
      <c r="J20" s="63"/>
      <c r="K20" s="70" t="s">
        <v>920</v>
      </c>
      <c r="L20" s="71"/>
      <c r="M20" s="63"/>
      <c r="N20" s="63"/>
      <c r="O20" s="68">
        <v>5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22</v>
      </c>
      <c r="B21" s="61" t="s">
        <v>734</v>
      </c>
      <c r="C21" s="62" t="s">
        <v>204</v>
      </c>
      <c r="D21" s="62" t="str">
        <f t="shared" si="0"/>
        <v>2202020</v>
      </c>
      <c r="E21" s="69" t="s">
        <v>921</v>
      </c>
      <c r="F21" s="69" t="s">
        <v>922</v>
      </c>
      <c r="G21" s="67" t="s">
        <v>874</v>
      </c>
      <c r="H21" s="69" t="s">
        <v>923</v>
      </c>
      <c r="I21" s="69" t="s">
        <v>924</v>
      </c>
      <c r="J21" s="67"/>
      <c r="K21" s="70" t="s">
        <v>925</v>
      </c>
      <c r="L21" s="71"/>
      <c r="M21" s="67"/>
      <c r="N21" s="67"/>
      <c r="O21" s="68">
        <v>7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23</v>
      </c>
      <c r="B22" s="72" t="s">
        <v>734</v>
      </c>
      <c r="C22" s="62" t="s">
        <v>212</v>
      </c>
      <c r="D22" s="62" t="str">
        <f t="shared" si="0"/>
        <v>2302021</v>
      </c>
      <c r="E22" s="69" t="s">
        <v>926</v>
      </c>
      <c r="F22" s="69" t="s">
        <v>927</v>
      </c>
      <c r="G22" s="67" t="s">
        <v>855</v>
      </c>
      <c r="H22" s="69" t="s">
        <v>928</v>
      </c>
      <c r="I22" s="69" t="s">
        <v>929</v>
      </c>
      <c r="J22" s="67"/>
      <c r="K22" s="70" t="s">
        <v>930</v>
      </c>
      <c r="L22" s="71"/>
      <c r="M22" s="67"/>
      <c r="N22" s="67"/>
      <c r="O22" s="6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23</v>
      </c>
      <c r="B23" s="72" t="s">
        <v>734</v>
      </c>
      <c r="C23" s="62" t="s">
        <v>219</v>
      </c>
      <c r="D23" s="62" t="str">
        <f t="shared" si="0"/>
        <v>2302022</v>
      </c>
      <c r="E23" s="69" t="s">
        <v>931</v>
      </c>
      <c r="F23" s="69" t="s">
        <v>932</v>
      </c>
      <c r="G23" s="69" t="s">
        <v>860</v>
      </c>
      <c r="H23" s="69" t="s">
        <v>933</v>
      </c>
      <c r="I23" s="69" t="s">
        <v>934</v>
      </c>
      <c r="J23" s="67"/>
      <c r="K23" s="70" t="s">
        <v>935</v>
      </c>
      <c r="L23" s="71"/>
      <c r="M23" s="67"/>
      <c r="N23" s="69"/>
      <c r="O23" s="68">
        <v>4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23</v>
      </c>
      <c r="B24" s="72" t="s">
        <v>734</v>
      </c>
      <c r="C24" s="62" t="s">
        <v>226</v>
      </c>
      <c r="D24" s="62" t="str">
        <f t="shared" si="0"/>
        <v>2302023</v>
      </c>
      <c r="E24" s="69" t="s">
        <v>936</v>
      </c>
      <c r="F24" s="69" t="s">
        <v>937</v>
      </c>
      <c r="G24" s="69" t="s">
        <v>860</v>
      </c>
      <c r="H24" s="69" t="s">
        <v>938</v>
      </c>
      <c r="I24" s="69" t="s">
        <v>939</v>
      </c>
      <c r="J24" s="67"/>
      <c r="K24" s="68" t="s">
        <v>940</v>
      </c>
      <c r="L24" s="61"/>
      <c r="M24" s="67"/>
      <c r="N24" s="69" t="s">
        <v>941</v>
      </c>
      <c r="O24" s="68">
        <v>12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23</v>
      </c>
      <c r="B25" s="72" t="s">
        <v>734</v>
      </c>
      <c r="C25" s="62" t="s">
        <v>234</v>
      </c>
      <c r="D25" s="62" t="str">
        <f t="shared" si="0"/>
        <v>2302024</v>
      </c>
      <c r="E25" s="69" t="s">
        <v>843</v>
      </c>
      <c r="F25" s="69" t="s">
        <v>942</v>
      </c>
      <c r="G25" s="69" t="s">
        <v>860</v>
      </c>
      <c r="H25" s="69" t="s">
        <v>943</v>
      </c>
      <c r="I25" s="69" t="s">
        <v>944</v>
      </c>
      <c r="J25" s="67"/>
      <c r="K25" s="70" t="s">
        <v>945</v>
      </c>
      <c r="L25" s="61"/>
      <c r="M25" s="67"/>
      <c r="N25" s="73" t="s">
        <v>946</v>
      </c>
      <c r="O25" s="68">
        <v>3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23</v>
      </c>
      <c r="B26" s="72" t="s">
        <v>734</v>
      </c>
      <c r="C26" s="62" t="s">
        <v>240</v>
      </c>
      <c r="D26" s="62" t="str">
        <f t="shared" si="0"/>
        <v>2302025</v>
      </c>
      <c r="E26" s="69" t="s">
        <v>947</v>
      </c>
      <c r="F26" s="69" t="s">
        <v>948</v>
      </c>
      <c r="G26" s="69" t="s">
        <v>860</v>
      </c>
      <c r="H26" s="69" t="s">
        <v>949</v>
      </c>
      <c r="I26" s="69" t="s">
        <v>950</v>
      </c>
      <c r="J26" s="67"/>
      <c r="K26" s="70" t="s">
        <v>951</v>
      </c>
      <c r="L26" s="61"/>
      <c r="M26" s="67"/>
      <c r="N26" s="73" t="s">
        <v>952</v>
      </c>
      <c r="O26" s="68">
        <v>5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23</v>
      </c>
      <c r="B27" s="72" t="s">
        <v>734</v>
      </c>
      <c r="C27" s="62" t="s">
        <v>246</v>
      </c>
      <c r="D27" s="62" t="str">
        <f t="shared" si="0"/>
        <v>2302026</v>
      </c>
      <c r="E27" s="69" t="s">
        <v>953</v>
      </c>
      <c r="F27" s="69" t="s">
        <v>954</v>
      </c>
      <c r="G27" s="69" t="s">
        <v>860</v>
      </c>
      <c r="H27" s="69" t="s">
        <v>955</v>
      </c>
      <c r="I27" s="69" t="s">
        <v>956</v>
      </c>
      <c r="J27" s="67"/>
      <c r="K27" s="70" t="s">
        <v>957</v>
      </c>
      <c r="L27" s="61"/>
      <c r="M27" s="67"/>
      <c r="N27" s="69" t="s">
        <v>958</v>
      </c>
      <c r="O27" s="68">
        <v>2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24</v>
      </c>
      <c r="B28" s="72" t="s">
        <v>734</v>
      </c>
      <c r="C28" s="62" t="s">
        <v>251</v>
      </c>
      <c r="D28" s="62" t="str">
        <f t="shared" si="0"/>
        <v>2402027</v>
      </c>
      <c r="E28" s="67" t="s">
        <v>959</v>
      </c>
      <c r="F28" s="67" t="s">
        <v>960</v>
      </c>
      <c r="G28" s="67" t="s">
        <v>860</v>
      </c>
      <c r="H28" s="67" t="s">
        <v>961</v>
      </c>
      <c r="I28" s="67" t="s">
        <v>962</v>
      </c>
      <c r="J28" s="67"/>
      <c r="K28" s="74" t="s">
        <v>963</v>
      </c>
      <c r="L28" s="61"/>
      <c r="M28" s="67"/>
      <c r="N28" s="67"/>
      <c r="O28" s="61">
        <v>5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24</v>
      </c>
      <c r="B29" s="72" t="s">
        <v>734</v>
      </c>
      <c r="C29" s="62" t="s">
        <v>256</v>
      </c>
      <c r="D29" s="62" t="str">
        <f t="shared" si="0"/>
        <v>2402028</v>
      </c>
      <c r="E29" s="75" t="s">
        <v>964</v>
      </c>
      <c r="F29" s="75" t="s">
        <v>965</v>
      </c>
      <c r="G29" s="75" t="s">
        <v>855</v>
      </c>
      <c r="H29" s="75" t="s">
        <v>966</v>
      </c>
      <c r="I29" s="75" t="s">
        <v>967</v>
      </c>
      <c r="J29" s="67"/>
      <c r="K29" s="76">
        <v>89509572568</v>
      </c>
      <c r="L29" s="61"/>
      <c r="M29" s="67"/>
      <c r="N29" s="77" t="s">
        <v>968</v>
      </c>
      <c r="O29" s="76">
        <v>2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24</v>
      </c>
      <c r="B30" s="72" t="s">
        <v>734</v>
      </c>
      <c r="C30" s="62" t="s">
        <v>261</v>
      </c>
      <c r="D30" s="62" t="str">
        <f t="shared" si="0"/>
        <v>2402029</v>
      </c>
      <c r="E30" s="75" t="s">
        <v>969</v>
      </c>
      <c r="F30" s="75" t="s">
        <v>970</v>
      </c>
      <c r="G30" s="75" t="s">
        <v>860</v>
      </c>
      <c r="H30" s="75" t="s">
        <v>971</v>
      </c>
      <c r="I30" s="75" t="s">
        <v>972</v>
      </c>
      <c r="J30" s="67"/>
      <c r="K30" s="76" t="s">
        <v>973</v>
      </c>
      <c r="L30" s="61"/>
      <c r="M30" s="67"/>
      <c r="N30" s="77" t="s">
        <v>974</v>
      </c>
      <c r="O30" s="76">
        <v>4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24</v>
      </c>
      <c r="B31" s="72" t="s">
        <v>734</v>
      </c>
      <c r="C31" s="62" t="s">
        <v>266</v>
      </c>
      <c r="D31" s="62" t="str">
        <f t="shared" si="0"/>
        <v>2402030</v>
      </c>
      <c r="E31" s="75" t="s">
        <v>975</v>
      </c>
      <c r="F31" s="75" t="s">
        <v>873</v>
      </c>
      <c r="G31" s="75" t="s">
        <v>860</v>
      </c>
      <c r="H31" s="75" t="s">
        <v>804</v>
      </c>
      <c r="I31" s="75" t="s">
        <v>976</v>
      </c>
      <c r="J31" s="67"/>
      <c r="K31" s="76">
        <v>81327639715</v>
      </c>
      <c r="L31" s="61"/>
      <c r="M31" s="67"/>
      <c r="N31" s="77" t="s">
        <v>977</v>
      </c>
      <c r="O31" s="76">
        <v>10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56">
        <v>25</v>
      </c>
      <c r="B32" s="61" t="s">
        <v>734</v>
      </c>
      <c r="C32" s="62" t="s">
        <v>272</v>
      </c>
      <c r="D32" s="62" t="str">
        <f t="shared" si="0"/>
        <v>2502031</v>
      </c>
      <c r="E32" s="43" t="s">
        <v>978</v>
      </c>
      <c r="F32" s="43" t="s">
        <v>979</v>
      </c>
      <c r="G32" s="43" t="s">
        <v>860</v>
      </c>
      <c r="H32" s="43" t="s">
        <v>980</v>
      </c>
      <c r="I32" s="43" t="s">
        <v>981</v>
      </c>
      <c r="J32" s="43" t="s">
        <v>982</v>
      </c>
      <c r="K32" s="43" t="s">
        <v>983</v>
      </c>
      <c r="L32" s="43"/>
      <c r="M32" s="43"/>
      <c r="N32" s="43" t="s">
        <v>981</v>
      </c>
      <c r="O32" s="43"/>
      <c r="P32" s="44">
        <v>4</v>
      </c>
      <c r="Q32" s="43" t="s">
        <v>984</v>
      </c>
      <c r="R32" s="43" t="s">
        <v>985</v>
      </c>
      <c r="S32" s="43" t="s">
        <v>986</v>
      </c>
      <c r="T32" s="44">
        <v>0</v>
      </c>
      <c r="U32" s="43" t="s">
        <v>987</v>
      </c>
      <c r="V32" s="43"/>
      <c r="W32" s="43"/>
      <c r="X32" s="43"/>
      <c r="Y32" s="43"/>
      <c r="Z32" s="43"/>
      <c r="AA32" s="43"/>
    </row>
    <row r="33" spans="1:27" ht="15.75" customHeight="1" x14ac:dyDescent="0.2">
      <c r="A33" s="56">
        <v>25</v>
      </c>
      <c r="B33" s="61" t="s">
        <v>734</v>
      </c>
      <c r="C33" s="62" t="s">
        <v>278</v>
      </c>
      <c r="D33" s="62" t="str">
        <f t="shared" si="0"/>
        <v>2502032</v>
      </c>
      <c r="E33" s="43" t="s">
        <v>988</v>
      </c>
      <c r="F33" s="43" t="s">
        <v>989</v>
      </c>
      <c r="G33" s="43" t="s">
        <v>860</v>
      </c>
      <c r="H33" s="43" t="s">
        <v>990</v>
      </c>
      <c r="I33" s="43" t="s">
        <v>991</v>
      </c>
      <c r="J33" s="43" t="s">
        <v>992</v>
      </c>
      <c r="K33" s="43" t="s">
        <v>993</v>
      </c>
      <c r="L33" s="43"/>
      <c r="M33" s="78" t="s">
        <v>994</v>
      </c>
      <c r="N33" s="43" t="s">
        <v>995</v>
      </c>
      <c r="O33" s="43"/>
      <c r="P33" s="44">
        <v>5</v>
      </c>
      <c r="Q33" s="43" t="s">
        <v>996</v>
      </c>
      <c r="R33" s="43" t="s">
        <v>785</v>
      </c>
      <c r="S33" s="55" t="s">
        <v>997</v>
      </c>
      <c r="T33" s="55" t="s">
        <v>997</v>
      </c>
      <c r="U33" s="43" t="s">
        <v>998</v>
      </c>
      <c r="V33" s="43"/>
      <c r="W33" s="43"/>
      <c r="X33" s="43"/>
      <c r="Y33" s="43"/>
      <c r="Z33" s="43"/>
      <c r="AA33" s="43"/>
    </row>
    <row r="34" spans="1:27" ht="15.75" customHeight="1" x14ac:dyDescent="0.2">
      <c r="A34" s="56">
        <v>25</v>
      </c>
      <c r="B34" s="61" t="s">
        <v>734</v>
      </c>
      <c r="C34" s="62" t="s">
        <v>284</v>
      </c>
      <c r="D34" s="62" t="str">
        <f t="shared" si="0"/>
        <v>2502033</v>
      </c>
      <c r="E34" s="43" t="s">
        <v>999</v>
      </c>
      <c r="F34" s="43" t="s">
        <v>1000</v>
      </c>
      <c r="G34" s="43" t="s">
        <v>860</v>
      </c>
      <c r="H34" s="43" t="s">
        <v>1001</v>
      </c>
      <c r="I34" s="43" t="s">
        <v>1002</v>
      </c>
      <c r="J34" s="43"/>
      <c r="K34" s="43" t="s">
        <v>1003</v>
      </c>
      <c r="L34" s="43"/>
      <c r="M34" s="43"/>
      <c r="N34" s="43"/>
      <c r="O34" s="43"/>
      <c r="P34" s="44">
        <v>1</v>
      </c>
      <c r="Q34" s="43" t="s">
        <v>1004</v>
      </c>
      <c r="R34" s="43" t="s">
        <v>1005</v>
      </c>
      <c r="S34" s="43" t="s">
        <v>1006</v>
      </c>
      <c r="T34" s="43" t="s">
        <v>663</v>
      </c>
      <c r="U34" s="43" t="s">
        <v>663</v>
      </c>
      <c r="V34" s="43"/>
      <c r="W34" s="43"/>
      <c r="X34" s="43"/>
      <c r="Y34" s="43"/>
      <c r="Z34" s="43"/>
      <c r="AA34" s="43"/>
    </row>
    <row r="35" spans="1:27" ht="15.75" customHeight="1" x14ac:dyDescent="0.2">
      <c r="A35" s="56">
        <v>25</v>
      </c>
      <c r="B35" s="61" t="s">
        <v>734</v>
      </c>
      <c r="C35" s="62" t="s">
        <v>290</v>
      </c>
      <c r="D35" s="62" t="str">
        <f t="shared" si="0"/>
        <v>2502034</v>
      </c>
      <c r="E35" s="43" t="s">
        <v>1007</v>
      </c>
      <c r="F35" s="43" t="s">
        <v>1008</v>
      </c>
      <c r="G35" s="43" t="s">
        <v>860</v>
      </c>
      <c r="H35" s="43" t="s">
        <v>1009</v>
      </c>
      <c r="I35" s="43" t="s">
        <v>1010</v>
      </c>
      <c r="J35" s="43" t="s">
        <v>1011</v>
      </c>
      <c r="K35" s="43" t="s">
        <v>1012</v>
      </c>
      <c r="L35" s="43"/>
      <c r="M35" s="43"/>
      <c r="N35" s="43" t="s">
        <v>1012</v>
      </c>
      <c r="O35" s="43"/>
      <c r="P35" s="44">
        <v>5</v>
      </c>
      <c r="Q35" s="43" t="s">
        <v>1013</v>
      </c>
      <c r="R35" s="43" t="s">
        <v>1014</v>
      </c>
      <c r="S35" s="55" t="s">
        <v>1015</v>
      </c>
      <c r="T35" s="43" t="s">
        <v>1016</v>
      </c>
      <c r="U35" s="43" t="s">
        <v>1017</v>
      </c>
      <c r="V35" s="43"/>
      <c r="W35" s="43"/>
      <c r="X35" s="43"/>
      <c r="Y35" s="43"/>
      <c r="Z35" s="43"/>
      <c r="AA35" s="43"/>
    </row>
    <row r="36" spans="1:27" ht="15.75" customHeight="1" x14ac:dyDescent="0.15">
      <c r="A36" s="56"/>
      <c r="B36" s="56"/>
      <c r="C36" s="23"/>
      <c r="D36" s="23"/>
      <c r="E36" s="23"/>
      <c r="F36" s="23"/>
      <c r="G36" s="23"/>
      <c r="H36" s="23"/>
      <c r="I36" s="23"/>
      <c r="J36" s="23"/>
      <c r="K36" s="56"/>
      <c r="L36" s="56"/>
      <c r="M36" s="23"/>
      <c r="N36" s="23"/>
      <c r="O36" s="56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15">
      <c r="A37" s="56"/>
      <c r="B37" s="56"/>
      <c r="C37" s="23"/>
      <c r="D37" s="23"/>
      <c r="E37" s="23"/>
      <c r="F37" s="23"/>
      <c r="G37" s="23"/>
      <c r="H37" s="23"/>
      <c r="I37" s="23"/>
      <c r="J37" s="23"/>
      <c r="K37" s="56"/>
      <c r="L37" s="56"/>
      <c r="M37" s="23"/>
      <c r="N37" s="23"/>
      <c r="O37" s="56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15">
      <c r="A38" s="56"/>
      <c r="B38" s="56"/>
      <c r="C38" s="23"/>
      <c r="D38" s="23"/>
      <c r="E38" s="23"/>
      <c r="F38" s="23"/>
      <c r="G38" s="23"/>
      <c r="H38" s="23"/>
      <c r="I38" s="23"/>
      <c r="J38" s="23"/>
      <c r="K38" s="56"/>
      <c r="L38" s="56"/>
      <c r="M38" s="23"/>
      <c r="N38" s="23"/>
      <c r="O38" s="56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15">
      <c r="A39" s="56"/>
      <c r="B39" s="56"/>
      <c r="C39" s="23"/>
      <c r="D39" s="23"/>
      <c r="E39" s="23"/>
      <c r="F39" s="23"/>
      <c r="G39" s="23"/>
      <c r="H39" s="23"/>
      <c r="I39" s="23"/>
      <c r="J39" s="23"/>
      <c r="K39" s="56"/>
      <c r="L39" s="56"/>
      <c r="M39" s="23"/>
      <c r="N39" s="23"/>
      <c r="O39" s="56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15">
      <c r="A40" s="56"/>
      <c r="B40" s="56"/>
      <c r="C40" s="23"/>
      <c r="D40" s="23"/>
      <c r="E40" s="23"/>
      <c r="F40" s="23"/>
      <c r="G40" s="23"/>
      <c r="H40" s="23"/>
      <c r="I40" s="23"/>
      <c r="J40" s="23"/>
      <c r="K40" s="56"/>
      <c r="L40" s="56"/>
      <c r="M40" s="23"/>
      <c r="N40" s="23"/>
      <c r="O40" s="56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15">
      <c r="A41" s="56"/>
      <c r="B41" s="56"/>
      <c r="C41" s="23"/>
      <c r="D41" s="23"/>
      <c r="E41" s="23"/>
      <c r="F41" s="23"/>
      <c r="G41" s="23"/>
      <c r="H41" s="23"/>
      <c r="I41" s="23"/>
      <c r="J41" s="23"/>
      <c r="K41" s="56"/>
      <c r="L41" s="56"/>
      <c r="M41" s="23"/>
      <c r="N41" s="23"/>
      <c r="O41" s="56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15">
      <c r="A42" s="56"/>
      <c r="B42" s="56"/>
      <c r="C42" s="23"/>
      <c r="D42" s="23"/>
      <c r="E42" s="23"/>
      <c r="F42" s="23"/>
      <c r="G42" s="23"/>
      <c r="H42" s="23"/>
      <c r="I42" s="23"/>
      <c r="J42" s="23"/>
      <c r="K42" s="56"/>
      <c r="L42" s="56"/>
      <c r="M42" s="23"/>
      <c r="N42" s="23"/>
      <c r="O42" s="56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15">
      <c r="A43" s="56"/>
      <c r="B43" s="56"/>
      <c r="C43" s="23"/>
      <c r="D43" s="23"/>
      <c r="E43" s="23"/>
      <c r="F43" s="23"/>
      <c r="G43" s="23"/>
      <c r="H43" s="23"/>
      <c r="I43" s="23"/>
      <c r="J43" s="23"/>
      <c r="K43" s="56"/>
      <c r="L43" s="56"/>
      <c r="M43" s="23"/>
      <c r="N43" s="23"/>
      <c r="O43" s="56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15">
      <c r="A44" s="56"/>
      <c r="B44" s="56"/>
      <c r="C44" s="23"/>
      <c r="D44" s="23"/>
      <c r="E44" s="23"/>
      <c r="F44" s="23"/>
      <c r="G44" s="23"/>
      <c r="H44" s="23"/>
      <c r="I44" s="23"/>
      <c r="J44" s="23"/>
      <c r="K44" s="56"/>
      <c r="L44" s="56"/>
      <c r="M44" s="23"/>
      <c r="N44" s="23"/>
      <c r="O44" s="56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15">
      <c r="A45" s="56"/>
      <c r="B45" s="56"/>
      <c r="C45" s="23"/>
      <c r="D45" s="23"/>
      <c r="E45" s="23"/>
      <c r="F45" s="23"/>
      <c r="G45" s="23"/>
      <c r="H45" s="23"/>
      <c r="I45" s="23"/>
      <c r="J45" s="23"/>
      <c r="K45" s="56"/>
      <c r="L45" s="56"/>
      <c r="M45" s="23"/>
      <c r="N45" s="23"/>
      <c r="O45" s="56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15">
      <c r="A46" s="56"/>
      <c r="B46" s="56"/>
      <c r="C46" s="23"/>
      <c r="D46" s="23"/>
      <c r="E46" s="23"/>
      <c r="F46" s="23"/>
      <c r="G46" s="23"/>
      <c r="H46" s="23"/>
      <c r="I46" s="23"/>
      <c r="J46" s="23"/>
      <c r="K46" s="56"/>
      <c r="L46" s="56"/>
      <c r="M46" s="23"/>
      <c r="N46" s="23"/>
      <c r="O46" s="56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15">
      <c r="A47" s="56"/>
      <c r="B47" s="56"/>
      <c r="C47" s="23"/>
      <c r="D47" s="23"/>
      <c r="E47" s="23"/>
      <c r="F47" s="23"/>
      <c r="G47" s="23"/>
      <c r="H47" s="23"/>
      <c r="I47" s="23"/>
      <c r="J47" s="23"/>
      <c r="K47" s="56"/>
      <c r="L47" s="56"/>
      <c r="M47" s="23"/>
      <c r="N47" s="23"/>
      <c r="O47" s="56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15">
      <c r="A48" s="56"/>
      <c r="B48" s="56"/>
      <c r="C48" s="23"/>
      <c r="D48" s="23"/>
      <c r="E48" s="23"/>
      <c r="F48" s="23"/>
      <c r="G48" s="23"/>
      <c r="H48" s="23"/>
      <c r="I48" s="23"/>
      <c r="J48" s="23"/>
      <c r="K48" s="56"/>
      <c r="L48" s="56"/>
      <c r="M48" s="23"/>
      <c r="N48" s="23"/>
      <c r="O48" s="5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15">
      <c r="A49" s="56"/>
      <c r="B49" s="56"/>
      <c r="C49" s="23"/>
      <c r="D49" s="23"/>
      <c r="E49" s="23"/>
      <c r="F49" s="23"/>
      <c r="G49" s="23"/>
      <c r="H49" s="23"/>
      <c r="I49" s="23"/>
      <c r="J49" s="23"/>
      <c r="K49" s="56"/>
      <c r="L49" s="56"/>
      <c r="M49" s="23"/>
      <c r="N49" s="23"/>
      <c r="O49" s="56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15">
      <c r="A50" s="56"/>
      <c r="B50" s="56"/>
      <c r="C50" s="23"/>
      <c r="D50" s="23"/>
      <c r="E50" s="23"/>
      <c r="F50" s="23"/>
      <c r="G50" s="23"/>
      <c r="H50" s="23"/>
      <c r="I50" s="23"/>
      <c r="J50" s="23"/>
      <c r="K50" s="56"/>
      <c r="L50" s="56"/>
      <c r="M50" s="23"/>
      <c r="N50" s="23"/>
      <c r="O50" s="56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15">
      <c r="A51" s="56"/>
      <c r="B51" s="56"/>
      <c r="C51" s="23"/>
      <c r="D51" s="23"/>
      <c r="E51" s="23"/>
      <c r="F51" s="23"/>
      <c r="G51" s="23"/>
      <c r="H51" s="23"/>
      <c r="I51" s="23"/>
      <c r="J51" s="23"/>
      <c r="K51" s="56"/>
      <c r="L51" s="56"/>
      <c r="M51" s="23"/>
      <c r="N51" s="23"/>
      <c r="O51" s="56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15">
      <c r="A52" s="56"/>
      <c r="B52" s="56"/>
      <c r="C52" s="23"/>
      <c r="D52" s="23"/>
      <c r="E52" s="23"/>
      <c r="F52" s="23"/>
      <c r="G52" s="23"/>
      <c r="H52" s="23"/>
      <c r="I52" s="23"/>
      <c r="J52" s="23"/>
      <c r="K52" s="56"/>
      <c r="L52" s="56"/>
      <c r="M52" s="23"/>
      <c r="N52" s="23"/>
      <c r="O52" s="5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15">
      <c r="A53" s="56"/>
      <c r="B53" s="56"/>
      <c r="C53" s="23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3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3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3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3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3" x14ac:dyDescent="0.15">
      <c r="A232" s="79"/>
      <c r="B232" s="79"/>
      <c r="K232" s="79"/>
      <c r="L232" s="79"/>
      <c r="O232" s="56"/>
    </row>
    <row r="233" spans="1:27" ht="13" x14ac:dyDescent="0.15">
      <c r="A233" s="79"/>
      <c r="B233" s="79"/>
      <c r="K233" s="79"/>
      <c r="L233" s="79"/>
      <c r="O233" s="56"/>
    </row>
    <row r="234" spans="1:27" ht="13" x14ac:dyDescent="0.15">
      <c r="A234" s="79"/>
      <c r="B234" s="79"/>
      <c r="K234" s="79"/>
      <c r="L234" s="79"/>
      <c r="O234" s="56"/>
    </row>
    <row r="235" spans="1:27" ht="13" x14ac:dyDescent="0.15">
      <c r="A235" s="79"/>
      <c r="B235" s="79"/>
      <c r="K235" s="79"/>
      <c r="L235" s="79"/>
      <c r="O235" s="56"/>
    </row>
    <row r="236" spans="1:27" ht="13" x14ac:dyDescent="0.15">
      <c r="A236" s="79"/>
      <c r="B236" s="79"/>
      <c r="K236" s="79"/>
      <c r="L236" s="79"/>
      <c r="O236" s="56"/>
    </row>
    <row r="237" spans="1:27" ht="13" x14ac:dyDescent="0.15">
      <c r="A237" s="79"/>
      <c r="B237" s="79"/>
      <c r="K237" s="79"/>
      <c r="L237" s="79"/>
      <c r="O237" s="56"/>
    </row>
    <row r="238" spans="1:27" ht="13" x14ac:dyDescent="0.15">
      <c r="A238" s="79"/>
      <c r="B238" s="79"/>
      <c r="K238" s="79"/>
      <c r="L238" s="79"/>
      <c r="O238" s="56"/>
    </row>
    <row r="239" spans="1:27" ht="13" x14ac:dyDescent="0.15">
      <c r="A239" s="79"/>
      <c r="B239" s="79"/>
      <c r="K239" s="79"/>
      <c r="L239" s="79"/>
      <c r="O239" s="56"/>
    </row>
    <row r="240" spans="1:27" ht="13" x14ac:dyDescent="0.15">
      <c r="A240" s="79"/>
      <c r="B240" s="79"/>
      <c r="K240" s="79"/>
      <c r="L240" s="79"/>
      <c r="O240" s="56"/>
    </row>
    <row r="241" spans="1:15" ht="13" x14ac:dyDescent="0.15">
      <c r="A241" s="79"/>
      <c r="B241" s="79"/>
      <c r="K241" s="79"/>
      <c r="L241" s="79"/>
      <c r="O241" s="56"/>
    </row>
    <row r="242" spans="1:15" ht="13" x14ac:dyDescent="0.15">
      <c r="A242" s="79"/>
      <c r="B242" s="79"/>
      <c r="K242" s="79"/>
      <c r="L242" s="79"/>
      <c r="O242" s="56"/>
    </row>
    <row r="243" spans="1:15" ht="13" x14ac:dyDescent="0.15">
      <c r="A243" s="79"/>
      <c r="B243" s="79"/>
      <c r="K243" s="79"/>
      <c r="L243" s="79"/>
      <c r="O243" s="56"/>
    </row>
    <row r="244" spans="1:15" ht="13" x14ac:dyDescent="0.15">
      <c r="A244" s="79"/>
      <c r="B244" s="79"/>
      <c r="K244" s="79"/>
      <c r="L244" s="79"/>
      <c r="O244" s="56"/>
    </row>
    <row r="245" spans="1:15" ht="13" x14ac:dyDescent="0.15">
      <c r="A245" s="79"/>
      <c r="B245" s="79"/>
      <c r="K245" s="79"/>
      <c r="L245" s="79"/>
      <c r="O245" s="56"/>
    </row>
    <row r="246" spans="1:15" ht="13" x14ac:dyDescent="0.15">
      <c r="A246" s="79"/>
      <c r="B246" s="79"/>
      <c r="K246" s="79"/>
      <c r="L246" s="79"/>
      <c r="O246" s="56"/>
    </row>
    <row r="247" spans="1:15" ht="13" x14ac:dyDescent="0.15">
      <c r="A247" s="79"/>
      <c r="B247" s="79"/>
      <c r="K247" s="79"/>
      <c r="L247" s="79"/>
      <c r="O247" s="56"/>
    </row>
    <row r="248" spans="1:15" ht="13" x14ac:dyDescent="0.15">
      <c r="A248" s="79"/>
      <c r="B248" s="79"/>
      <c r="K248" s="79"/>
      <c r="L248" s="79"/>
      <c r="O248" s="56"/>
    </row>
    <row r="249" spans="1:15" ht="13" x14ac:dyDescent="0.15">
      <c r="A249" s="79"/>
      <c r="B249" s="79"/>
      <c r="K249" s="79"/>
      <c r="L249" s="79"/>
      <c r="O249" s="56"/>
    </row>
    <row r="250" spans="1:15" ht="13" x14ac:dyDescent="0.15">
      <c r="A250" s="79"/>
      <c r="B250" s="79"/>
      <c r="K250" s="79"/>
      <c r="L250" s="79"/>
      <c r="O250" s="56"/>
    </row>
    <row r="251" spans="1:15" ht="13" x14ac:dyDescent="0.15">
      <c r="A251" s="79"/>
      <c r="B251" s="79"/>
      <c r="K251" s="79"/>
      <c r="L251" s="79"/>
      <c r="O251" s="56"/>
    </row>
    <row r="252" spans="1:15" ht="13" x14ac:dyDescent="0.15">
      <c r="A252" s="79"/>
      <c r="B252" s="79"/>
      <c r="K252" s="79"/>
      <c r="L252" s="79"/>
      <c r="O252" s="56"/>
    </row>
    <row r="253" spans="1:15" ht="13" x14ac:dyDescent="0.15">
      <c r="A253" s="79"/>
      <c r="B253" s="79"/>
      <c r="K253" s="79"/>
      <c r="L253" s="79"/>
      <c r="O253" s="56"/>
    </row>
    <row r="254" spans="1:15" ht="13" x14ac:dyDescent="0.15">
      <c r="A254" s="79"/>
      <c r="B254" s="79"/>
      <c r="K254" s="79"/>
      <c r="L254" s="79"/>
      <c r="O254" s="56"/>
    </row>
    <row r="255" spans="1:15" ht="13" x14ac:dyDescent="0.15">
      <c r="A255" s="79"/>
      <c r="B255" s="79"/>
      <c r="K255" s="79"/>
      <c r="L255" s="79"/>
      <c r="O255" s="56"/>
    </row>
    <row r="256" spans="1:15" ht="13" x14ac:dyDescent="0.15">
      <c r="A256" s="79"/>
      <c r="B256" s="79"/>
      <c r="K256" s="79"/>
      <c r="L256" s="79"/>
      <c r="O256" s="56"/>
    </row>
    <row r="257" spans="1:15" ht="13" x14ac:dyDescent="0.15">
      <c r="A257" s="79"/>
      <c r="B257" s="79"/>
      <c r="K257" s="79"/>
      <c r="L257" s="79"/>
      <c r="O257" s="56"/>
    </row>
    <row r="258" spans="1:15" ht="13" x14ac:dyDescent="0.15">
      <c r="A258" s="79"/>
      <c r="B258" s="79"/>
      <c r="K258" s="79"/>
      <c r="L258" s="79"/>
      <c r="O258" s="56"/>
    </row>
    <row r="259" spans="1:15" ht="13" x14ac:dyDescent="0.15">
      <c r="A259" s="79"/>
      <c r="B259" s="79"/>
      <c r="K259" s="79"/>
      <c r="L259" s="79"/>
      <c r="O259" s="56"/>
    </row>
    <row r="260" spans="1:15" ht="13" x14ac:dyDescent="0.15">
      <c r="A260" s="79"/>
      <c r="B260" s="79"/>
      <c r="K260" s="79"/>
      <c r="L260" s="79"/>
      <c r="O260" s="56"/>
    </row>
    <row r="261" spans="1:15" ht="13" x14ac:dyDescent="0.15">
      <c r="A261" s="79"/>
      <c r="B261" s="79"/>
      <c r="K261" s="79"/>
      <c r="L261" s="79"/>
      <c r="O261" s="56"/>
    </row>
    <row r="262" spans="1:15" ht="13" x14ac:dyDescent="0.15">
      <c r="A262" s="79"/>
      <c r="B262" s="79"/>
      <c r="K262" s="79"/>
      <c r="L262" s="79"/>
      <c r="O262" s="56"/>
    </row>
    <row r="263" spans="1:15" ht="13" x14ac:dyDescent="0.15">
      <c r="A263" s="79"/>
      <c r="B263" s="79"/>
      <c r="K263" s="79"/>
      <c r="L263" s="79"/>
      <c r="O263" s="56"/>
    </row>
    <row r="264" spans="1:15" ht="13" x14ac:dyDescent="0.15">
      <c r="A264" s="79"/>
      <c r="B264" s="79"/>
      <c r="K264" s="79"/>
      <c r="L264" s="79"/>
      <c r="O264" s="56"/>
    </row>
    <row r="265" spans="1:15" ht="13" x14ac:dyDescent="0.15">
      <c r="A265" s="79"/>
      <c r="B265" s="79"/>
      <c r="K265" s="79"/>
      <c r="L265" s="79"/>
      <c r="O265" s="56"/>
    </row>
    <row r="266" spans="1:15" ht="13" x14ac:dyDescent="0.15">
      <c r="A266" s="79"/>
      <c r="B266" s="79"/>
      <c r="K266" s="79"/>
      <c r="L266" s="79"/>
      <c r="O266" s="56"/>
    </row>
    <row r="267" spans="1:15" ht="13" x14ac:dyDescent="0.15">
      <c r="A267" s="79"/>
      <c r="B267" s="79"/>
      <c r="K267" s="79"/>
      <c r="L267" s="79"/>
      <c r="O267" s="56"/>
    </row>
    <row r="268" spans="1:15" ht="13" x14ac:dyDescent="0.15">
      <c r="A268" s="79"/>
      <c r="B268" s="79"/>
      <c r="K268" s="79"/>
      <c r="L268" s="79"/>
      <c r="O268" s="56"/>
    </row>
    <row r="269" spans="1:15" ht="13" x14ac:dyDescent="0.15">
      <c r="A269" s="79"/>
      <c r="B269" s="79"/>
      <c r="K269" s="79"/>
      <c r="L269" s="79"/>
      <c r="O269" s="56"/>
    </row>
    <row r="270" spans="1:15" ht="13" x14ac:dyDescent="0.15">
      <c r="A270" s="79"/>
      <c r="B270" s="79"/>
      <c r="K270" s="79"/>
      <c r="L270" s="79"/>
      <c r="O270" s="56"/>
    </row>
    <row r="271" spans="1:15" ht="13" x14ac:dyDescent="0.15">
      <c r="A271" s="79"/>
      <c r="B271" s="79"/>
      <c r="K271" s="79"/>
      <c r="L271" s="79"/>
      <c r="O271" s="56"/>
    </row>
    <row r="272" spans="1:15" ht="13" x14ac:dyDescent="0.15">
      <c r="A272" s="79"/>
      <c r="B272" s="79"/>
      <c r="K272" s="79"/>
      <c r="L272" s="79"/>
      <c r="O272" s="56"/>
    </row>
    <row r="273" spans="1:15" ht="13" x14ac:dyDescent="0.15">
      <c r="A273" s="79"/>
      <c r="B273" s="79"/>
      <c r="K273" s="79"/>
      <c r="L273" s="79"/>
      <c r="O273" s="56"/>
    </row>
    <row r="274" spans="1:15" ht="13" x14ac:dyDescent="0.15">
      <c r="A274" s="79"/>
      <c r="B274" s="79"/>
      <c r="K274" s="79"/>
      <c r="L274" s="79"/>
      <c r="O274" s="56"/>
    </row>
    <row r="275" spans="1:15" ht="13" x14ac:dyDescent="0.15">
      <c r="A275" s="79"/>
      <c r="B275" s="79"/>
      <c r="K275" s="79"/>
      <c r="L275" s="79"/>
      <c r="O275" s="56"/>
    </row>
    <row r="276" spans="1:15" ht="13" x14ac:dyDescent="0.15">
      <c r="A276" s="79"/>
      <c r="B276" s="79"/>
      <c r="K276" s="79"/>
      <c r="L276" s="79"/>
      <c r="O276" s="56"/>
    </row>
    <row r="277" spans="1:15" ht="13" x14ac:dyDescent="0.15">
      <c r="A277" s="79"/>
      <c r="B277" s="79"/>
      <c r="K277" s="79"/>
      <c r="L277" s="79"/>
      <c r="O277" s="56"/>
    </row>
    <row r="278" spans="1:15" ht="13" x14ac:dyDescent="0.15">
      <c r="A278" s="79"/>
      <c r="B278" s="79"/>
      <c r="K278" s="79"/>
      <c r="L278" s="79"/>
      <c r="O278" s="56"/>
    </row>
    <row r="279" spans="1:15" ht="13" x14ac:dyDescent="0.15">
      <c r="A279" s="79"/>
      <c r="B279" s="79"/>
      <c r="K279" s="79"/>
      <c r="L279" s="79"/>
      <c r="O279" s="56"/>
    </row>
    <row r="280" spans="1:15" ht="13" x14ac:dyDescent="0.15">
      <c r="A280" s="79"/>
      <c r="B280" s="79"/>
      <c r="K280" s="79"/>
      <c r="L280" s="79"/>
      <c r="O280" s="56"/>
    </row>
    <row r="281" spans="1:15" ht="13" x14ac:dyDescent="0.15">
      <c r="A281" s="79"/>
      <c r="B281" s="79"/>
      <c r="K281" s="79"/>
      <c r="L281" s="79"/>
      <c r="O281" s="56"/>
    </row>
    <row r="282" spans="1:15" ht="13" x14ac:dyDescent="0.15">
      <c r="A282" s="79"/>
      <c r="B282" s="79"/>
      <c r="K282" s="79"/>
      <c r="L282" s="79"/>
      <c r="O282" s="56"/>
    </row>
    <row r="283" spans="1:15" ht="13" x14ac:dyDescent="0.15">
      <c r="A283" s="79"/>
      <c r="B283" s="79"/>
      <c r="K283" s="79"/>
      <c r="L283" s="79"/>
      <c r="O283" s="56"/>
    </row>
    <row r="284" spans="1:15" ht="13" x14ac:dyDescent="0.15">
      <c r="A284" s="79"/>
      <c r="B284" s="79"/>
      <c r="K284" s="79"/>
      <c r="L284" s="79"/>
      <c r="O284" s="56"/>
    </row>
    <row r="285" spans="1:15" ht="13" x14ac:dyDescent="0.15">
      <c r="A285" s="79"/>
      <c r="B285" s="79"/>
      <c r="K285" s="79"/>
      <c r="L285" s="79"/>
      <c r="O285" s="56"/>
    </row>
    <row r="286" spans="1:15" ht="13" x14ac:dyDescent="0.15">
      <c r="A286" s="79"/>
      <c r="B286" s="79"/>
      <c r="K286" s="79"/>
      <c r="L286" s="79"/>
      <c r="O286" s="56"/>
    </row>
    <row r="287" spans="1:15" ht="13" x14ac:dyDescent="0.15">
      <c r="A287" s="79"/>
      <c r="B287" s="79"/>
      <c r="K287" s="79"/>
      <c r="L287" s="79"/>
      <c r="O287" s="56"/>
    </row>
    <row r="288" spans="1:15" ht="13" x14ac:dyDescent="0.15">
      <c r="A288" s="79"/>
      <c r="B288" s="79"/>
      <c r="K288" s="79"/>
      <c r="L288" s="79"/>
      <c r="O288" s="56"/>
    </row>
    <row r="289" spans="1:15" ht="13" x14ac:dyDescent="0.15">
      <c r="A289" s="79"/>
      <c r="B289" s="79"/>
      <c r="K289" s="79"/>
      <c r="L289" s="79"/>
      <c r="O289" s="56"/>
    </row>
    <row r="290" spans="1:15" ht="13" x14ac:dyDescent="0.15">
      <c r="A290" s="79"/>
      <c r="B290" s="79"/>
      <c r="K290" s="79"/>
      <c r="L290" s="79"/>
      <c r="O290" s="56"/>
    </row>
    <row r="291" spans="1:15" ht="13" x14ac:dyDescent="0.15">
      <c r="A291" s="79"/>
      <c r="B291" s="79"/>
      <c r="K291" s="79"/>
      <c r="L291" s="79"/>
      <c r="O291" s="56"/>
    </row>
    <row r="292" spans="1:15" ht="13" x14ac:dyDescent="0.15">
      <c r="A292" s="79"/>
      <c r="B292" s="79"/>
      <c r="K292" s="79"/>
      <c r="L292" s="79"/>
      <c r="O292" s="56"/>
    </row>
    <row r="293" spans="1:15" ht="13" x14ac:dyDescent="0.15">
      <c r="A293" s="79"/>
      <c r="B293" s="79"/>
      <c r="K293" s="79"/>
      <c r="L293" s="79"/>
      <c r="O293" s="56"/>
    </row>
    <row r="294" spans="1:15" ht="13" x14ac:dyDescent="0.15">
      <c r="A294" s="79"/>
      <c r="B294" s="79"/>
      <c r="K294" s="79"/>
      <c r="L294" s="79"/>
      <c r="O294" s="56"/>
    </row>
    <row r="295" spans="1:15" ht="13" x14ac:dyDescent="0.15">
      <c r="A295" s="79"/>
      <c r="B295" s="79"/>
      <c r="K295" s="79"/>
      <c r="L295" s="79"/>
      <c r="O295" s="56"/>
    </row>
    <row r="296" spans="1:15" ht="13" x14ac:dyDescent="0.15">
      <c r="A296" s="79"/>
      <c r="B296" s="79"/>
      <c r="K296" s="79"/>
      <c r="L296" s="79"/>
      <c r="O296" s="56"/>
    </row>
    <row r="297" spans="1:15" ht="13" x14ac:dyDescent="0.15">
      <c r="A297" s="79"/>
      <c r="B297" s="79"/>
      <c r="K297" s="79"/>
      <c r="L297" s="79"/>
      <c r="O297" s="56"/>
    </row>
    <row r="298" spans="1:15" ht="13" x14ac:dyDescent="0.15">
      <c r="A298" s="79"/>
      <c r="B298" s="79"/>
      <c r="K298" s="79"/>
      <c r="L298" s="79"/>
      <c r="O298" s="56"/>
    </row>
    <row r="299" spans="1:15" ht="13" x14ac:dyDescent="0.15">
      <c r="A299" s="79"/>
      <c r="B299" s="79"/>
      <c r="K299" s="79"/>
      <c r="L299" s="79"/>
      <c r="O299" s="56"/>
    </row>
    <row r="300" spans="1:15" ht="13" x14ac:dyDescent="0.15">
      <c r="A300" s="79"/>
      <c r="B300" s="79"/>
      <c r="K300" s="79"/>
      <c r="L300" s="79"/>
      <c r="O300" s="56"/>
    </row>
    <row r="301" spans="1:15" ht="13" x14ac:dyDescent="0.15">
      <c r="A301" s="79"/>
      <c r="B301" s="79"/>
      <c r="K301" s="79"/>
      <c r="L301" s="79"/>
      <c r="O301" s="56"/>
    </row>
    <row r="302" spans="1:15" ht="13" x14ac:dyDescent="0.15">
      <c r="A302" s="79"/>
      <c r="B302" s="79"/>
      <c r="K302" s="79"/>
      <c r="L302" s="79"/>
      <c r="O302" s="56"/>
    </row>
    <row r="303" spans="1:15" ht="13" x14ac:dyDescent="0.15">
      <c r="A303" s="79"/>
      <c r="B303" s="79"/>
      <c r="K303" s="79"/>
      <c r="L303" s="79"/>
      <c r="O303" s="56"/>
    </row>
    <row r="304" spans="1:15" ht="13" x14ac:dyDescent="0.15">
      <c r="A304" s="79"/>
      <c r="B304" s="79"/>
      <c r="K304" s="79"/>
      <c r="L304" s="79"/>
      <c r="O304" s="56"/>
    </row>
    <row r="305" spans="1:15" ht="13" x14ac:dyDescent="0.15">
      <c r="A305" s="79"/>
      <c r="B305" s="79"/>
      <c r="K305" s="79"/>
      <c r="L305" s="79"/>
      <c r="O305" s="56"/>
    </row>
    <row r="306" spans="1:15" ht="13" x14ac:dyDescent="0.15">
      <c r="A306" s="79"/>
      <c r="B306" s="79"/>
      <c r="K306" s="79"/>
      <c r="L306" s="79"/>
      <c r="O306" s="56"/>
    </row>
    <row r="307" spans="1:15" ht="13" x14ac:dyDescent="0.15">
      <c r="A307" s="79"/>
      <c r="B307" s="79"/>
      <c r="K307" s="79"/>
      <c r="L307" s="79"/>
      <c r="O307" s="56"/>
    </row>
    <row r="308" spans="1:15" ht="13" x14ac:dyDescent="0.15">
      <c r="A308" s="79"/>
      <c r="B308" s="79"/>
      <c r="K308" s="79"/>
      <c r="L308" s="79"/>
      <c r="O308" s="56"/>
    </row>
    <row r="309" spans="1:15" ht="13" x14ac:dyDescent="0.15">
      <c r="A309" s="79"/>
      <c r="B309" s="79"/>
      <c r="K309" s="79"/>
      <c r="L309" s="79"/>
      <c r="O309" s="56"/>
    </row>
    <row r="310" spans="1:15" ht="13" x14ac:dyDescent="0.15">
      <c r="A310" s="79"/>
      <c r="B310" s="79"/>
      <c r="K310" s="79"/>
      <c r="L310" s="79"/>
      <c r="O310" s="56"/>
    </row>
    <row r="311" spans="1:15" ht="13" x14ac:dyDescent="0.15">
      <c r="A311" s="79"/>
      <c r="B311" s="79"/>
      <c r="K311" s="79"/>
      <c r="L311" s="79"/>
      <c r="O311" s="56"/>
    </row>
    <row r="312" spans="1:15" ht="13" x14ac:dyDescent="0.15">
      <c r="A312" s="79"/>
      <c r="B312" s="79"/>
      <c r="K312" s="79"/>
      <c r="L312" s="79"/>
      <c r="O312" s="56"/>
    </row>
    <row r="313" spans="1:15" ht="13" x14ac:dyDescent="0.15">
      <c r="A313" s="79"/>
      <c r="B313" s="79"/>
      <c r="K313" s="79"/>
      <c r="L313" s="79"/>
      <c r="O313" s="56"/>
    </row>
    <row r="314" spans="1:15" ht="13" x14ac:dyDescent="0.15">
      <c r="A314" s="79"/>
      <c r="B314" s="79"/>
      <c r="K314" s="79"/>
      <c r="L314" s="79"/>
      <c r="O314" s="56"/>
    </row>
    <row r="315" spans="1:15" ht="13" x14ac:dyDescent="0.15">
      <c r="A315" s="79"/>
      <c r="B315" s="79"/>
      <c r="K315" s="79"/>
      <c r="L315" s="79"/>
      <c r="O315" s="56"/>
    </row>
    <row r="316" spans="1:15" ht="13" x14ac:dyDescent="0.15">
      <c r="A316" s="79"/>
      <c r="B316" s="79"/>
      <c r="K316" s="79"/>
      <c r="L316" s="79"/>
      <c r="O316" s="56"/>
    </row>
    <row r="317" spans="1:15" ht="13" x14ac:dyDescent="0.15">
      <c r="A317" s="79"/>
      <c r="B317" s="79"/>
      <c r="K317" s="79"/>
      <c r="L317" s="79"/>
      <c r="O317" s="56"/>
    </row>
    <row r="318" spans="1:15" ht="13" x14ac:dyDescent="0.15">
      <c r="A318" s="79"/>
      <c r="B318" s="79"/>
      <c r="K318" s="79"/>
      <c r="L318" s="79"/>
      <c r="O318" s="56"/>
    </row>
    <row r="319" spans="1:15" ht="13" x14ac:dyDescent="0.15">
      <c r="A319" s="79"/>
      <c r="B319" s="79"/>
      <c r="K319" s="79"/>
      <c r="L319" s="79"/>
      <c r="O319" s="56"/>
    </row>
    <row r="320" spans="1:15" ht="13" x14ac:dyDescent="0.15">
      <c r="A320" s="79"/>
      <c r="B320" s="79"/>
      <c r="K320" s="79"/>
      <c r="L320" s="79"/>
      <c r="O320" s="56"/>
    </row>
    <row r="321" spans="1:15" ht="13" x14ac:dyDescent="0.15">
      <c r="A321" s="79"/>
      <c r="B321" s="79"/>
      <c r="K321" s="79"/>
      <c r="L321" s="79"/>
      <c r="O321" s="56"/>
    </row>
    <row r="322" spans="1:15" ht="13" x14ac:dyDescent="0.15">
      <c r="A322" s="79"/>
      <c r="B322" s="79"/>
      <c r="K322" s="79"/>
      <c r="L322" s="79"/>
      <c r="O322" s="56"/>
    </row>
    <row r="323" spans="1:15" ht="13" x14ac:dyDescent="0.15">
      <c r="A323" s="79"/>
      <c r="B323" s="79"/>
      <c r="K323" s="79"/>
      <c r="L323" s="79"/>
      <c r="O323" s="56"/>
    </row>
    <row r="324" spans="1:15" ht="13" x14ac:dyDescent="0.15">
      <c r="A324" s="79"/>
      <c r="B324" s="79"/>
      <c r="K324" s="79"/>
      <c r="L324" s="79"/>
      <c r="O324" s="56"/>
    </row>
    <row r="325" spans="1:15" ht="13" x14ac:dyDescent="0.15">
      <c r="A325" s="79"/>
      <c r="B325" s="79"/>
      <c r="K325" s="79"/>
      <c r="L325" s="79"/>
      <c r="O325" s="56"/>
    </row>
    <row r="326" spans="1:15" ht="13" x14ac:dyDescent="0.15">
      <c r="A326" s="79"/>
      <c r="B326" s="79"/>
      <c r="K326" s="79"/>
      <c r="L326" s="79"/>
      <c r="O326" s="56"/>
    </row>
    <row r="327" spans="1:15" ht="13" x14ac:dyDescent="0.15">
      <c r="A327" s="79"/>
      <c r="B327" s="79"/>
      <c r="K327" s="79"/>
      <c r="L327" s="79"/>
      <c r="O327" s="56"/>
    </row>
    <row r="328" spans="1:15" ht="13" x14ac:dyDescent="0.15">
      <c r="A328" s="79"/>
      <c r="B328" s="79"/>
      <c r="K328" s="79"/>
      <c r="L328" s="79"/>
      <c r="O328" s="56"/>
    </row>
    <row r="329" spans="1:15" ht="13" x14ac:dyDescent="0.15">
      <c r="A329" s="79"/>
      <c r="B329" s="79"/>
      <c r="K329" s="79"/>
      <c r="L329" s="79"/>
      <c r="O329" s="56"/>
    </row>
    <row r="330" spans="1:15" ht="13" x14ac:dyDescent="0.15">
      <c r="A330" s="79"/>
      <c r="B330" s="79"/>
      <c r="K330" s="79"/>
      <c r="L330" s="79"/>
      <c r="O330" s="56"/>
    </row>
    <row r="331" spans="1:15" ht="13" x14ac:dyDescent="0.15">
      <c r="A331" s="79"/>
      <c r="B331" s="79"/>
      <c r="K331" s="79"/>
      <c r="L331" s="79"/>
      <c r="O331" s="56"/>
    </row>
    <row r="332" spans="1:15" ht="13" x14ac:dyDescent="0.15">
      <c r="A332" s="79"/>
      <c r="B332" s="79"/>
      <c r="K332" s="79"/>
      <c r="L332" s="79"/>
      <c r="O332" s="56"/>
    </row>
    <row r="333" spans="1:15" ht="13" x14ac:dyDescent="0.15">
      <c r="A333" s="79"/>
      <c r="B333" s="79"/>
      <c r="K333" s="79"/>
      <c r="L333" s="79"/>
      <c r="O333" s="56"/>
    </row>
    <row r="334" spans="1:15" ht="13" x14ac:dyDescent="0.15">
      <c r="A334" s="79"/>
      <c r="B334" s="79"/>
      <c r="K334" s="79"/>
      <c r="L334" s="79"/>
      <c r="O334" s="56"/>
    </row>
    <row r="335" spans="1:15" ht="13" x14ac:dyDescent="0.15">
      <c r="A335" s="79"/>
      <c r="B335" s="79"/>
      <c r="K335" s="79"/>
      <c r="L335" s="79"/>
      <c r="O335" s="56"/>
    </row>
    <row r="336" spans="1:15" ht="13" x14ac:dyDescent="0.15">
      <c r="A336" s="79"/>
      <c r="B336" s="79"/>
      <c r="K336" s="79"/>
      <c r="L336" s="79"/>
      <c r="O336" s="56"/>
    </row>
    <row r="337" spans="1:15" ht="13" x14ac:dyDescent="0.15">
      <c r="A337" s="79"/>
      <c r="B337" s="79"/>
      <c r="K337" s="79"/>
      <c r="L337" s="79"/>
      <c r="O337" s="56"/>
    </row>
    <row r="338" spans="1:15" ht="13" x14ac:dyDescent="0.15">
      <c r="A338" s="79"/>
      <c r="B338" s="79"/>
      <c r="K338" s="79"/>
      <c r="L338" s="79"/>
      <c r="O338" s="56"/>
    </row>
    <row r="339" spans="1:15" ht="13" x14ac:dyDescent="0.15">
      <c r="A339" s="79"/>
      <c r="B339" s="79"/>
      <c r="K339" s="79"/>
      <c r="L339" s="79"/>
      <c r="O339" s="56"/>
    </row>
    <row r="340" spans="1:15" ht="13" x14ac:dyDescent="0.15">
      <c r="A340" s="79"/>
      <c r="B340" s="79"/>
      <c r="K340" s="79"/>
      <c r="L340" s="79"/>
      <c r="O340" s="56"/>
    </row>
    <row r="341" spans="1:15" ht="13" x14ac:dyDescent="0.15">
      <c r="A341" s="79"/>
      <c r="B341" s="79"/>
      <c r="K341" s="79"/>
      <c r="L341" s="79"/>
      <c r="O341" s="56"/>
    </row>
    <row r="342" spans="1:15" ht="13" x14ac:dyDescent="0.15">
      <c r="A342" s="79"/>
      <c r="B342" s="79"/>
      <c r="K342" s="79"/>
      <c r="L342" s="79"/>
      <c r="O342" s="56"/>
    </row>
    <row r="343" spans="1:15" ht="13" x14ac:dyDescent="0.15">
      <c r="A343" s="79"/>
      <c r="B343" s="79"/>
      <c r="K343" s="79"/>
      <c r="L343" s="79"/>
      <c r="O343" s="56"/>
    </row>
    <row r="344" spans="1:15" ht="13" x14ac:dyDescent="0.15">
      <c r="A344" s="79"/>
      <c r="B344" s="79"/>
      <c r="K344" s="79"/>
      <c r="L344" s="79"/>
      <c r="O344" s="56"/>
    </row>
    <row r="345" spans="1:15" ht="13" x14ac:dyDescent="0.15">
      <c r="A345" s="79"/>
      <c r="B345" s="79"/>
      <c r="K345" s="79"/>
      <c r="L345" s="79"/>
      <c r="O345" s="56"/>
    </row>
    <row r="346" spans="1:15" ht="13" x14ac:dyDescent="0.15">
      <c r="A346" s="79"/>
      <c r="B346" s="79"/>
      <c r="K346" s="79"/>
      <c r="L346" s="79"/>
      <c r="O346" s="56"/>
    </row>
    <row r="347" spans="1:15" ht="13" x14ac:dyDescent="0.15">
      <c r="A347" s="79"/>
      <c r="B347" s="79"/>
      <c r="K347" s="79"/>
      <c r="L347" s="79"/>
      <c r="O347" s="56"/>
    </row>
    <row r="348" spans="1:15" ht="13" x14ac:dyDescent="0.15">
      <c r="A348" s="79"/>
      <c r="B348" s="79"/>
      <c r="K348" s="79"/>
      <c r="L348" s="79"/>
      <c r="O348" s="56"/>
    </row>
    <row r="349" spans="1:15" ht="13" x14ac:dyDescent="0.15">
      <c r="A349" s="79"/>
      <c r="B349" s="79"/>
      <c r="K349" s="79"/>
      <c r="L349" s="79"/>
      <c r="O349" s="56"/>
    </row>
    <row r="350" spans="1:15" ht="13" x14ac:dyDescent="0.15">
      <c r="A350" s="79"/>
      <c r="B350" s="79"/>
      <c r="K350" s="79"/>
      <c r="L350" s="79"/>
      <c r="O350" s="56"/>
    </row>
    <row r="351" spans="1:15" ht="13" x14ac:dyDescent="0.15">
      <c r="A351" s="79"/>
      <c r="B351" s="79"/>
      <c r="K351" s="79"/>
      <c r="L351" s="79"/>
      <c r="O351" s="56"/>
    </row>
    <row r="352" spans="1:15" ht="13" x14ac:dyDescent="0.15">
      <c r="A352" s="79"/>
      <c r="B352" s="79"/>
      <c r="K352" s="79"/>
      <c r="L352" s="79"/>
      <c r="O352" s="56"/>
    </row>
    <row r="353" spans="1:15" ht="13" x14ac:dyDescent="0.15">
      <c r="A353" s="79"/>
      <c r="B353" s="79"/>
      <c r="K353" s="79"/>
      <c r="L353" s="79"/>
      <c r="O353" s="56"/>
    </row>
    <row r="354" spans="1:15" ht="13" x14ac:dyDescent="0.15">
      <c r="A354" s="79"/>
      <c r="B354" s="79"/>
      <c r="K354" s="79"/>
      <c r="L354" s="79"/>
      <c r="O354" s="56"/>
    </row>
    <row r="355" spans="1:15" ht="13" x14ac:dyDescent="0.15">
      <c r="A355" s="79"/>
      <c r="B355" s="79"/>
      <c r="K355" s="79"/>
      <c r="L355" s="79"/>
      <c r="O355" s="56"/>
    </row>
    <row r="356" spans="1:15" ht="13" x14ac:dyDescent="0.15">
      <c r="A356" s="79"/>
      <c r="B356" s="79"/>
      <c r="K356" s="79"/>
      <c r="L356" s="79"/>
      <c r="O356" s="56"/>
    </row>
    <row r="357" spans="1:15" ht="13" x14ac:dyDescent="0.15">
      <c r="A357" s="79"/>
      <c r="B357" s="79"/>
      <c r="K357" s="79"/>
      <c r="L357" s="79"/>
      <c r="O357" s="56"/>
    </row>
    <row r="358" spans="1:15" ht="13" x14ac:dyDescent="0.15">
      <c r="A358" s="79"/>
      <c r="B358" s="79"/>
      <c r="K358" s="79"/>
      <c r="L358" s="79"/>
      <c r="O358" s="56"/>
    </row>
    <row r="359" spans="1:15" ht="13" x14ac:dyDescent="0.15">
      <c r="A359" s="79"/>
      <c r="B359" s="79"/>
      <c r="K359" s="79"/>
      <c r="L359" s="79"/>
      <c r="O359" s="56"/>
    </row>
    <row r="360" spans="1:15" ht="13" x14ac:dyDescent="0.15">
      <c r="A360" s="79"/>
      <c r="B360" s="79"/>
      <c r="K360" s="79"/>
      <c r="L360" s="79"/>
      <c r="O360" s="56"/>
    </row>
    <row r="361" spans="1:15" ht="13" x14ac:dyDescent="0.15">
      <c r="A361" s="79"/>
      <c r="B361" s="79"/>
      <c r="K361" s="79"/>
      <c r="L361" s="79"/>
      <c r="O361" s="56"/>
    </row>
    <row r="362" spans="1:15" ht="13" x14ac:dyDescent="0.15">
      <c r="A362" s="79"/>
      <c r="B362" s="79"/>
      <c r="K362" s="79"/>
      <c r="L362" s="79"/>
      <c r="O362" s="56"/>
    </row>
    <row r="363" spans="1:15" ht="13" x14ac:dyDescent="0.15">
      <c r="A363" s="79"/>
      <c r="B363" s="79"/>
      <c r="K363" s="79"/>
      <c r="L363" s="79"/>
      <c r="O363" s="56"/>
    </row>
    <row r="364" spans="1:15" ht="13" x14ac:dyDescent="0.15">
      <c r="A364" s="79"/>
      <c r="B364" s="79"/>
      <c r="K364" s="79"/>
      <c r="L364" s="79"/>
      <c r="O364" s="56"/>
    </row>
    <row r="365" spans="1:15" ht="13" x14ac:dyDescent="0.15">
      <c r="A365" s="79"/>
      <c r="B365" s="79"/>
      <c r="K365" s="79"/>
      <c r="L365" s="79"/>
      <c r="O365" s="56"/>
    </row>
    <row r="366" spans="1:15" ht="13" x14ac:dyDescent="0.15">
      <c r="A366" s="79"/>
      <c r="B366" s="79"/>
      <c r="K366" s="79"/>
      <c r="L366" s="79"/>
      <c r="O366" s="56"/>
    </row>
    <row r="367" spans="1:15" ht="13" x14ac:dyDescent="0.15">
      <c r="A367" s="79"/>
      <c r="B367" s="79"/>
      <c r="K367" s="79"/>
      <c r="L367" s="79"/>
      <c r="O367" s="56"/>
    </row>
    <row r="368" spans="1:15" ht="13" x14ac:dyDescent="0.15">
      <c r="A368" s="79"/>
      <c r="B368" s="79"/>
      <c r="K368" s="79"/>
      <c r="L368" s="79"/>
      <c r="O368" s="56"/>
    </row>
    <row r="369" spans="1:15" ht="13" x14ac:dyDescent="0.15">
      <c r="A369" s="79"/>
      <c r="B369" s="79"/>
      <c r="K369" s="79"/>
      <c r="L369" s="79"/>
      <c r="O369" s="56"/>
    </row>
    <row r="370" spans="1:15" ht="13" x14ac:dyDescent="0.15">
      <c r="A370" s="79"/>
      <c r="B370" s="79"/>
      <c r="K370" s="79"/>
      <c r="L370" s="79"/>
      <c r="O370" s="56"/>
    </row>
    <row r="371" spans="1:15" ht="13" x14ac:dyDescent="0.15">
      <c r="A371" s="79"/>
      <c r="B371" s="79"/>
      <c r="K371" s="79"/>
      <c r="L371" s="79"/>
      <c r="O371" s="56"/>
    </row>
    <row r="372" spans="1:15" ht="13" x14ac:dyDescent="0.15">
      <c r="A372" s="79"/>
      <c r="B372" s="79"/>
      <c r="K372" s="79"/>
      <c r="L372" s="79"/>
      <c r="O372" s="56"/>
    </row>
    <row r="373" spans="1:15" ht="13" x14ac:dyDescent="0.15">
      <c r="A373" s="79"/>
      <c r="B373" s="79"/>
      <c r="K373" s="79"/>
      <c r="L373" s="79"/>
      <c r="O373" s="56"/>
    </row>
    <row r="374" spans="1:15" ht="13" x14ac:dyDescent="0.15">
      <c r="A374" s="79"/>
      <c r="B374" s="79"/>
      <c r="K374" s="79"/>
      <c r="L374" s="79"/>
      <c r="O374" s="56"/>
    </row>
    <row r="375" spans="1:15" ht="13" x14ac:dyDescent="0.15">
      <c r="A375" s="79"/>
      <c r="B375" s="79"/>
      <c r="K375" s="79"/>
      <c r="L375" s="79"/>
      <c r="O375" s="56"/>
    </row>
    <row r="376" spans="1:15" ht="13" x14ac:dyDescent="0.15">
      <c r="A376" s="79"/>
      <c r="B376" s="79"/>
      <c r="K376" s="79"/>
      <c r="L376" s="79"/>
      <c r="O376" s="56"/>
    </row>
    <row r="377" spans="1:15" ht="13" x14ac:dyDescent="0.15">
      <c r="A377" s="79"/>
      <c r="B377" s="79"/>
      <c r="K377" s="79"/>
      <c r="L377" s="79"/>
      <c r="O377" s="56"/>
    </row>
    <row r="378" spans="1:15" ht="13" x14ac:dyDescent="0.15">
      <c r="A378" s="79"/>
      <c r="B378" s="79"/>
      <c r="K378" s="79"/>
      <c r="L378" s="79"/>
      <c r="O378" s="56"/>
    </row>
    <row r="379" spans="1:15" ht="13" x14ac:dyDescent="0.15">
      <c r="A379" s="79"/>
      <c r="B379" s="79"/>
      <c r="K379" s="79"/>
      <c r="L379" s="79"/>
      <c r="O379" s="56"/>
    </row>
    <row r="380" spans="1:15" ht="13" x14ac:dyDescent="0.15">
      <c r="A380" s="79"/>
      <c r="B380" s="79"/>
      <c r="K380" s="79"/>
      <c r="L380" s="79"/>
      <c r="O380" s="56"/>
    </row>
    <row r="381" spans="1:15" ht="13" x14ac:dyDescent="0.15">
      <c r="A381" s="79"/>
      <c r="B381" s="79"/>
      <c r="K381" s="79"/>
      <c r="L381" s="79"/>
      <c r="O381" s="56"/>
    </row>
    <row r="382" spans="1:15" ht="13" x14ac:dyDescent="0.15">
      <c r="A382" s="79"/>
      <c r="B382" s="79"/>
      <c r="K382" s="79"/>
      <c r="L382" s="79"/>
      <c r="O382" s="56"/>
    </row>
    <row r="383" spans="1:15" ht="13" x14ac:dyDescent="0.15">
      <c r="A383" s="79"/>
      <c r="B383" s="79"/>
      <c r="K383" s="79"/>
      <c r="L383" s="79"/>
      <c r="O383" s="56"/>
    </row>
    <row r="384" spans="1:15" ht="13" x14ac:dyDescent="0.15">
      <c r="A384" s="79"/>
      <c r="B384" s="79"/>
      <c r="K384" s="79"/>
      <c r="L384" s="79"/>
      <c r="O384" s="56"/>
    </row>
    <row r="385" spans="1:15" ht="13" x14ac:dyDescent="0.15">
      <c r="A385" s="79"/>
      <c r="B385" s="79"/>
      <c r="K385" s="79"/>
      <c r="L385" s="79"/>
      <c r="O385" s="56"/>
    </row>
    <row r="386" spans="1:15" ht="13" x14ac:dyDescent="0.15">
      <c r="A386" s="79"/>
      <c r="B386" s="79"/>
      <c r="K386" s="79"/>
      <c r="L386" s="79"/>
      <c r="O386" s="56"/>
    </row>
    <row r="387" spans="1:15" ht="13" x14ac:dyDescent="0.15">
      <c r="A387" s="79"/>
      <c r="B387" s="79"/>
      <c r="K387" s="79"/>
      <c r="L387" s="79"/>
      <c r="O387" s="56"/>
    </row>
    <row r="388" spans="1:15" ht="13" x14ac:dyDescent="0.15">
      <c r="A388" s="79"/>
      <c r="B388" s="79"/>
      <c r="K388" s="79"/>
      <c r="L388" s="79"/>
      <c r="O388" s="56"/>
    </row>
    <row r="389" spans="1:15" ht="13" x14ac:dyDescent="0.15">
      <c r="A389" s="79"/>
      <c r="B389" s="79"/>
      <c r="K389" s="79"/>
      <c r="L389" s="79"/>
      <c r="O389" s="56"/>
    </row>
    <row r="390" spans="1:15" ht="13" x14ac:dyDescent="0.15">
      <c r="A390" s="79"/>
      <c r="B390" s="79"/>
      <c r="K390" s="79"/>
      <c r="L390" s="79"/>
      <c r="O390" s="56"/>
    </row>
    <row r="391" spans="1:15" ht="13" x14ac:dyDescent="0.15">
      <c r="A391" s="79"/>
      <c r="B391" s="79"/>
      <c r="K391" s="79"/>
      <c r="L391" s="79"/>
      <c r="O391" s="56"/>
    </row>
    <row r="392" spans="1:15" ht="13" x14ac:dyDescent="0.15">
      <c r="A392" s="79"/>
      <c r="B392" s="79"/>
      <c r="K392" s="79"/>
      <c r="L392" s="79"/>
      <c r="O392" s="56"/>
    </row>
    <row r="393" spans="1:15" ht="13" x14ac:dyDescent="0.15">
      <c r="A393" s="79"/>
      <c r="B393" s="79"/>
      <c r="K393" s="79"/>
      <c r="L393" s="79"/>
      <c r="O393" s="56"/>
    </row>
    <row r="394" spans="1:15" ht="13" x14ac:dyDescent="0.15">
      <c r="A394" s="79"/>
      <c r="B394" s="79"/>
      <c r="K394" s="79"/>
      <c r="L394" s="79"/>
      <c r="O394" s="56"/>
    </row>
    <row r="395" spans="1:15" ht="13" x14ac:dyDescent="0.15">
      <c r="A395" s="79"/>
      <c r="B395" s="79"/>
      <c r="K395" s="79"/>
      <c r="L395" s="79"/>
      <c r="O395" s="56"/>
    </row>
    <row r="396" spans="1:15" ht="13" x14ac:dyDescent="0.15">
      <c r="A396" s="79"/>
      <c r="B396" s="79"/>
      <c r="K396" s="79"/>
      <c r="L396" s="79"/>
      <c r="O396" s="56"/>
    </row>
    <row r="397" spans="1:15" ht="13" x14ac:dyDescent="0.15">
      <c r="A397" s="79"/>
      <c r="B397" s="79"/>
      <c r="K397" s="79"/>
      <c r="L397" s="79"/>
      <c r="O397" s="56"/>
    </row>
    <row r="398" spans="1:15" ht="13" x14ac:dyDescent="0.15">
      <c r="A398" s="79"/>
      <c r="B398" s="79"/>
      <c r="K398" s="79"/>
      <c r="L398" s="79"/>
      <c r="O398" s="56"/>
    </row>
    <row r="399" spans="1:15" ht="13" x14ac:dyDescent="0.15">
      <c r="A399" s="79"/>
      <c r="B399" s="79"/>
      <c r="K399" s="79"/>
      <c r="L399" s="79"/>
      <c r="O399" s="56"/>
    </row>
    <row r="400" spans="1:15" ht="13" x14ac:dyDescent="0.15">
      <c r="A400" s="79"/>
      <c r="B400" s="79"/>
      <c r="K400" s="79"/>
      <c r="L400" s="79"/>
      <c r="O400" s="56"/>
    </row>
    <row r="401" spans="1:15" ht="13" x14ac:dyDescent="0.15">
      <c r="A401" s="79"/>
      <c r="B401" s="79"/>
      <c r="K401" s="79"/>
      <c r="L401" s="79"/>
      <c r="O401" s="56"/>
    </row>
    <row r="402" spans="1:15" ht="13" x14ac:dyDescent="0.15">
      <c r="A402" s="79"/>
      <c r="B402" s="79"/>
      <c r="K402" s="79"/>
      <c r="L402" s="79"/>
      <c r="O402" s="56"/>
    </row>
    <row r="403" spans="1:15" ht="13" x14ac:dyDescent="0.15">
      <c r="A403" s="79"/>
      <c r="B403" s="79"/>
      <c r="K403" s="79"/>
      <c r="L403" s="79"/>
      <c r="O403" s="56"/>
    </row>
    <row r="404" spans="1:15" ht="13" x14ac:dyDescent="0.15">
      <c r="A404" s="79"/>
      <c r="B404" s="79"/>
      <c r="K404" s="79"/>
      <c r="L404" s="79"/>
      <c r="O404" s="56"/>
    </row>
    <row r="405" spans="1:15" ht="13" x14ac:dyDescent="0.15">
      <c r="A405" s="79"/>
      <c r="B405" s="79"/>
      <c r="K405" s="79"/>
      <c r="L405" s="79"/>
      <c r="O405" s="56"/>
    </row>
    <row r="406" spans="1:15" ht="13" x14ac:dyDescent="0.15">
      <c r="A406" s="79"/>
      <c r="B406" s="79"/>
      <c r="K406" s="79"/>
      <c r="L406" s="79"/>
      <c r="O406" s="56"/>
    </row>
    <row r="407" spans="1:15" ht="13" x14ac:dyDescent="0.15">
      <c r="A407" s="79"/>
      <c r="B407" s="79"/>
      <c r="K407" s="79"/>
      <c r="L407" s="79"/>
      <c r="O407" s="56"/>
    </row>
    <row r="408" spans="1:15" ht="13" x14ac:dyDescent="0.15">
      <c r="A408" s="79"/>
      <c r="B408" s="79"/>
      <c r="K408" s="79"/>
      <c r="L408" s="79"/>
      <c r="O408" s="56"/>
    </row>
    <row r="409" spans="1:15" ht="13" x14ac:dyDescent="0.15">
      <c r="A409" s="79"/>
      <c r="B409" s="79"/>
      <c r="K409" s="79"/>
      <c r="L409" s="79"/>
      <c r="O409" s="56"/>
    </row>
    <row r="410" spans="1:15" ht="13" x14ac:dyDescent="0.15">
      <c r="A410" s="79"/>
      <c r="B410" s="79"/>
      <c r="K410" s="79"/>
      <c r="L410" s="79"/>
      <c r="O410" s="56"/>
    </row>
    <row r="411" spans="1:15" ht="13" x14ac:dyDescent="0.15">
      <c r="A411" s="79"/>
      <c r="B411" s="79"/>
      <c r="K411" s="79"/>
      <c r="L411" s="79"/>
      <c r="O411" s="56"/>
    </row>
    <row r="412" spans="1:15" ht="13" x14ac:dyDescent="0.15">
      <c r="A412" s="79"/>
      <c r="B412" s="79"/>
      <c r="K412" s="79"/>
      <c r="L412" s="79"/>
      <c r="O412" s="56"/>
    </row>
    <row r="413" spans="1:15" ht="13" x14ac:dyDescent="0.15">
      <c r="A413" s="79"/>
      <c r="B413" s="79"/>
      <c r="K413" s="79"/>
      <c r="L413" s="79"/>
      <c r="O413" s="56"/>
    </row>
    <row r="414" spans="1:15" ht="13" x14ac:dyDescent="0.15">
      <c r="A414" s="79"/>
      <c r="B414" s="79"/>
      <c r="K414" s="79"/>
      <c r="L414" s="79"/>
      <c r="O414" s="56"/>
    </row>
    <row r="415" spans="1:15" ht="13" x14ac:dyDescent="0.15">
      <c r="A415" s="79"/>
      <c r="B415" s="79"/>
      <c r="K415" s="79"/>
      <c r="L415" s="79"/>
      <c r="O415" s="56"/>
    </row>
    <row r="416" spans="1:15" ht="13" x14ac:dyDescent="0.15">
      <c r="A416" s="79"/>
      <c r="B416" s="79"/>
      <c r="K416" s="79"/>
      <c r="L416" s="79"/>
      <c r="O416" s="56"/>
    </row>
    <row r="417" spans="1:15" ht="13" x14ac:dyDescent="0.15">
      <c r="A417" s="79"/>
      <c r="B417" s="79"/>
      <c r="K417" s="79"/>
      <c r="L417" s="79"/>
      <c r="O417" s="56"/>
    </row>
    <row r="418" spans="1:15" ht="13" x14ac:dyDescent="0.15">
      <c r="A418" s="79"/>
      <c r="B418" s="79"/>
      <c r="K418" s="79"/>
      <c r="L418" s="79"/>
      <c r="O418" s="56"/>
    </row>
    <row r="419" spans="1:15" ht="13" x14ac:dyDescent="0.15">
      <c r="A419" s="79"/>
      <c r="B419" s="79"/>
      <c r="K419" s="79"/>
      <c r="L419" s="79"/>
      <c r="O419" s="56"/>
    </row>
    <row r="420" spans="1:15" ht="13" x14ac:dyDescent="0.15">
      <c r="A420" s="79"/>
      <c r="B420" s="79"/>
      <c r="K420" s="79"/>
      <c r="L420" s="79"/>
      <c r="O420" s="56"/>
    </row>
    <row r="421" spans="1:15" ht="13" x14ac:dyDescent="0.15">
      <c r="A421" s="79"/>
      <c r="B421" s="79"/>
      <c r="K421" s="79"/>
      <c r="L421" s="79"/>
      <c r="O421" s="56"/>
    </row>
    <row r="422" spans="1:15" ht="13" x14ac:dyDescent="0.15">
      <c r="A422" s="79"/>
      <c r="B422" s="79"/>
      <c r="K422" s="79"/>
      <c r="L422" s="79"/>
      <c r="O422" s="56"/>
    </row>
    <row r="423" spans="1:15" ht="13" x14ac:dyDescent="0.15">
      <c r="A423" s="79"/>
      <c r="B423" s="79"/>
      <c r="K423" s="79"/>
      <c r="L423" s="79"/>
      <c r="O423" s="56"/>
    </row>
    <row r="424" spans="1:15" ht="13" x14ac:dyDescent="0.15">
      <c r="A424" s="79"/>
      <c r="B424" s="79"/>
      <c r="K424" s="79"/>
      <c r="L424" s="79"/>
      <c r="O424" s="56"/>
    </row>
    <row r="425" spans="1:15" ht="13" x14ac:dyDescent="0.15">
      <c r="A425" s="79"/>
      <c r="B425" s="79"/>
      <c r="K425" s="79"/>
      <c r="L425" s="79"/>
      <c r="O425" s="56"/>
    </row>
    <row r="426" spans="1:15" ht="13" x14ac:dyDescent="0.15">
      <c r="A426" s="79"/>
      <c r="B426" s="79"/>
      <c r="K426" s="79"/>
      <c r="L426" s="79"/>
      <c r="O426" s="56"/>
    </row>
    <row r="427" spans="1:15" ht="13" x14ac:dyDescent="0.15">
      <c r="A427" s="79"/>
      <c r="B427" s="79"/>
      <c r="K427" s="79"/>
      <c r="L427" s="79"/>
      <c r="O427" s="56"/>
    </row>
    <row r="428" spans="1:15" ht="13" x14ac:dyDescent="0.15">
      <c r="A428" s="79"/>
      <c r="B428" s="79"/>
      <c r="K428" s="79"/>
      <c r="L428" s="79"/>
      <c r="O428" s="56"/>
    </row>
    <row r="429" spans="1:15" ht="13" x14ac:dyDescent="0.15">
      <c r="A429" s="79"/>
      <c r="B429" s="79"/>
      <c r="K429" s="79"/>
      <c r="L429" s="79"/>
      <c r="O429" s="56"/>
    </row>
    <row r="430" spans="1:15" ht="13" x14ac:dyDescent="0.15">
      <c r="A430" s="79"/>
      <c r="B430" s="79"/>
      <c r="K430" s="79"/>
      <c r="L430" s="79"/>
      <c r="O430" s="56"/>
    </row>
    <row r="431" spans="1:15" ht="13" x14ac:dyDescent="0.15">
      <c r="A431" s="79"/>
      <c r="B431" s="79"/>
      <c r="K431" s="79"/>
      <c r="L431" s="79"/>
      <c r="O431" s="56"/>
    </row>
    <row r="432" spans="1:15" ht="13" x14ac:dyDescent="0.15">
      <c r="A432" s="79"/>
      <c r="B432" s="79"/>
      <c r="K432" s="79"/>
      <c r="L432" s="79"/>
      <c r="O432" s="56"/>
    </row>
    <row r="433" spans="1:15" ht="13" x14ac:dyDescent="0.15">
      <c r="A433" s="79"/>
      <c r="B433" s="79"/>
      <c r="K433" s="79"/>
      <c r="L433" s="79"/>
      <c r="O433" s="56"/>
    </row>
    <row r="434" spans="1:15" ht="13" x14ac:dyDescent="0.15">
      <c r="A434" s="79"/>
      <c r="B434" s="79"/>
      <c r="K434" s="79"/>
      <c r="L434" s="79"/>
      <c r="O434" s="56"/>
    </row>
    <row r="435" spans="1:15" ht="13" x14ac:dyDescent="0.15">
      <c r="A435" s="79"/>
      <c r="B435" s="79"/>
      <c r="K435" s="79"/>
      <c r="L435" s="79"/>
      <c r="O435" s="56"/>
    </row>
    <row r="436" spans="1:15" ht="13" x14ac:dyDescent="0.15">
      <c r="A436" s="79"/>
      <c r="B436" s="79"/>
      <c r="K436" s="79"/>
      <c r="L436" s="79"/>
      <c r="O436" s="56"/>
    </row>
    <row r="437" spans="1:15" ht="13" x14ac:dyDescent="0.15">
      <c r="A437" s="79"/>
      <c r="B437" s="79"/>
      <c r="K437" s="79"/>
      <c r="L437" s="79"/>
      <c r="O437" s="56"/>
    </row>
    <row r="438" spans="1:15" ht="13" x14ac:dyDescent="0.15">
      <c r="A438" s="79"/>
      <c r="B438" s="79"/>
      <c r="K438" s="79"/>
      <c r="L438" s="79"/>
      <c r="O438" s="56"/>
    </row>
    <row r="439" spans="1:15" ht="13" x14ac:dyDescent="0.15">
      <c r="A439" s="79"/>
      <c r="B439" s="79"/>
      <c r="K439" s="79"/>
      <c r="L439" s="79"/>
      <c r="O439" s="56"/>
    </row>
    <row r="440" spans="1:15" ht="13" x14ac:dyDescent="0.15">
      <c r="A440" s="79"/>
      <c r="B440" s="79"/>
      <c r="K440" s="79"/>
      <c r="L440" s="79"/>
      <c r="O440" s="56"/>
    </row>
    <row r="441" spans="1:15" ht="13" x14ac:dyDescent="0.15">
      <c r="A441" s="79"/>
      <c r="B441" s="79"/>
      <c r="K441" s="79"/>
      <c r="L441" s="79"/>
      <c r="O441" s="56"/>
    </row>
    <row r="442" spans="1:15" ht="13" x14ac:dyDescent="0.15">
      <c r="A442" s="79"/>
      <c r="B442" s="79"/>
      <c r="K442" s="79"/>
      <c r="L442" s="79"/>
      <c r="O442" s="56"/>
    </row>
    <row r="443" spans="1:15" ht="13" x14ac:dyDescent="0.15">
      <c r="A443" s="79"/>
      <c r="B443" s="79"/>
      <c r="K443" s="79"/>
      <c r="L443" s="79"/>
      <c r="O443" s="56"/>
    </row>
    <row r="444" spans="1:15" ht="13" x14ac:dyDescent="0.15">
      <c r="A444" s="79"/>
      <c r="B444" s="79"/>
      <c r="K444" s="79"/>
      <c r="L444" s="79"/>
      <c r="O444" s="56"/>
    </row>
    <row r="445" spans="1:15" ht="13" x14ac:dyDescent="0.15">
      <c r="A445" s="79"/>
      <c r="B445" s="79"/>
      <c r="K445" s="79"/>
      <c r="L445" s="79"/>
      <c r="O445" s="56"/>
    </row>
    <row r="446" spans="1:15" ht="13" x14ac:dyDescent="0.15">
      <c r="A446" s="79"/>
      <c r="B446" s="79"/>
      <c r="K446" s="79"/>
      <c r="L446" s="79"/>
      <c r="O446" s="56"/>
    </row>
    <row r="447" spans="1:15" ht="13" x14ac:dyDescent="0.15">
      <c r="A447" s="79"/>
      <c r="B447" s="79"/>
      <c r="K447" s="79"/>
      <c r="L447" s="79"/>
      <c r="O447" s="56"/>
    </row>
    <row r="448" spans="1:15" ht="13" x14ac:dyDescent="0.15">
      <c r="A448" s="79"/>
      <c r="B448" s="79"/>
      <c r="K448" s="79"/>
      <c r="L448" s="79"/>
      <c r="O448" s="56"/>
    </row>
    <row r="449" spans="1:15" ht="13" x14ac:dyDescent="0.15">
      <c r="A449" s="79"/>
      <c r="B449" s="79"/>
      <c r="K449" s="79"/>
      <c r="L449" s="79"/>
      <c r="O449" s="56"/>
    </row>
    <row r="450" spans="1:15" ht="13" x14ac:dyDescent="0.15">
      <c r="A450" s="79"/>
      <c r="B450" s="79"/>
      <c r="K450" s="79"/>
      <c r="L450" s="79"/>
      <c r="O450" s="56"/>
    </row>
    <row r="451" spans="1:15" ht="13" x14ac:dyDescent="0.15">
      <c r="A451" s="79"/>
      <c r="B451" s="79"/>
      <c r="K451" s="79"/>
      <c r="L451" s="79"/>
      <c r="O451" s="56"/>
    </row>
    <row r="452" spans="1:15" ht="13" x14ac:dyDescent="0.15">
      <c r="A452" s="79"/>
      <c r="B452" s="79"/>
      <c r="K452" s="79"/>
      <c r="L452" s="79"/>
      <c r="O452" s="56"/>
    </row>
    <row r="453" spans="1:15" ht="13" x14ac:dyDescent="0.15">
      <c r="A453" s="79"/>
      <c r="B453" s="79"/>
      <c r="K453" s="79"/>
      <c r="L453" s="79"/>
      <c r="O453" s="56"/>
    </row>
    <row r="454" spans="1:15" ht="13" x14ac:dyDescent="0.15">
      <c r="A454" s="79"/>
      <c r="B454" s="79"/>
      <c r="K454" s="79"/>
      <c r="L454" s="79"/>
      <c r="O454" s="56"/>
    </row>
    <row r="455" spans="1:15" ht="13" x14ac:dyDescent="0.15">
      <c r="A455" s="79"/>
      <c r="B455" s="79"/>
      <c r="K455" s="79"/>
      <c r="L455" s="79"/>
      <c r="O455" s="56"/>
    </row>
    <row r="456" spans="1:15" ht="13" x14ac:dyDescent="0.15">
      <c r="A456" s="79"/>
      <c r="B456" s="79"/>
      <c r="K456" s="79"/>
      <c r="L456" s="79"/>
      <c r="O456" s="56"/>
    </row>
    <row r="457" spans="1:15" ht="13" x14ac:dyDescent="0.15">
      <c r="A457" s="79"/>
      <c r="B457" s="79"/>
      <c r="K457" s="79"/>
      <c r="L457" s="79"/>
      <c r="O457" s="56"/>
    </row>
    <row r="458" spans="1:15" ht="13" x14ac:dyDescent="0.15">
      <c r="A458" s="79"/>
      <c r="B458" s="79"/>
      <c r="K458" s="79"/>
      <c r="L458" s="79"/>
      <c r="O458" s="56"/>
    </row>
    <row r="459" spans="1:15" ht="13" x14ac:dyDescent="0.15">
      <c r="A459" s="79"/>
      <c r="B459" s="79"/>
      <c r="K459" s="79"/>
      <c r="L459" s="79"/>
      <c r="O459" s="56"/>
    </row>
    <row r="460" spans="1:15" ht="13" x14ac:dyDescent="0.15">
      <c r="A460" s="79"/>
      <c r="B460" s="79"/>
      <c r="K460" s="79"/>
      <c r="L460" s="79"/>
      <c r="O460" s="56"/>
    </row>
    <row r="461" spans="1:15" ht="13" x14ac:dyDescent="0.15">
      <c r="A461" s="79"/>
      <c r="B461" s="79"/>
      <c r="K461" s="79"/>
      <c r="L461" s="79"/>
      <c r="O461" s="56"/>
    </row>
    <row r="462" spans="1:15" ht="13" x14ac:dyDescent="0.15">
      <c r="A462" s="79"/>
      <c r="B462" s="79"/>
      <c r="K462" s="79"/>
      <c r="L462" s="79"/>
      <c r="O462" s="56"/>
    </row>
    <row r="463" spans="1:15" ht="13" x14ac:dyDescent="0.15">
      <c r="A463" s="79"/>
      <c r="B463" s="79"/>
      <c r="K463" s="79"/>
      <c r="L463" s="79"/>
      <c r="O463" s="56"/>
    </row>
    <row r="464" spans="1:15" ht="13" x14ac:dyDescent="0.15">
      <c r="A464" s="79"/>
      <c r="B464" s="79"/>
      <c r="K464" s="79"/>
      <c r="L464" s="79"/>
      <c r="O464" s="56"/>
    </row>
    <row r="465" spans="1:15" ht="13" x14ac:dyDescent="0.15">
      <c r="A465" s="79"/>
      <c r="B465" s="79"/>
      <c r="K465" s="79"/>
      <c r="L465" s="79"/>
      <c r="O465" s="56"/>
    </row>
    <row r="466" spans="1:15" ht="13" x14ac:dyDescent="0.15">
      <c r="A466" s="79"/>
      <c r="B466" s="79"/>
      <c r="K466" s="79"/>
      <c r="L466" s="79"/>
      <c r="O466" s="56"/>
    </row>
    <row r="467" spans="1:15" ht="13" x14ac:dyDescent="0.15">
      <c r="A467" s="79"/>
      <c r="B467" s="79"/>
      <c r="K467" s="79"/>
      <c r="L467" s="79"/>
      <c r="O467" s="56"/>
    </row>
    <row r="468" spans="1:15" ht="13" x14ac:dyDescent="0.15">
      <c r="A468" s="79"/>
      <c r="B468" s="79"/>
      <c r="K468" s="79"/>
      <c r="L468" s="79"/>
      <c r="O468" s="56"/>
    </row>
    <row r="469" spans="1:15" ht="13" x14ac:dyDescent="0.15">
      <c r="A469" s="79"/>
      <c r="B469" s="79"/>
      <c r="K469" s="79"/>
      <c r="L469" s="79"/>
      <c r="O469" s="56"/>
    </row>
    <row r="470" spans="1:15" ht="13" x14ac:dyDescent="0.15">
      <c r="A470" s="79"/>
      <c r="B470" s="79"/>
      <c r="K470" s="79"/>
      <c r="L470" s="79"/>
      <c r="O470" s="56"/>
    </row>
    <row r="471" spans="1:15" ht="13" x14ac:dyDescent="0.15">
      <c r="A471" s="79"/>
      <c r="B471" s="79"/>
      <c r="K471" s="79"/>
      <c r="L471" s="79"/>
      <c r="O471" s="56"/>
    </row>
    <row r="472" spans="1:15" ht="13" x14ac:dyDescent="0.15">
      <c r="A472" s="79"/>
      <c r="B472" s="79"/>
      <c r="K472" s="79"/>
      <c r="L472" s="79"/>
      <c r="O472" s="56"/>
    </row>
    <row r="473" spans="1:15" ht="13" x14ac:dyDescent="0.15">
      <c r="A473" s="79"/>
      <c r="B473" s="79"/>
      <c r="K473" s="79"/>
      <c r="L473" s="79"/>
      <c r="O473" s="56"/>
    </row>
    <row r="474" spans="1:15" ht="13" x14ac:dyDescent="0.15">
      <c r="A474" s="79"/>
      <c r="B474" s="79"/>
      <c r="K474" s="79"/>
      <c r="L474" s="79"/>
      <c r="O474" s="56"/>
    </row>
    <row r="475" spans="1:15" ht="13" x14ac:dyDescent="0.15">
      <c r="A475" s="79"/>
      <c r="B475" s="79"/>
      <c r="K475" s="79"/>
      <c r="L475" s="79"/>
      <c r="O475" s="56"/>
    </row>
    <row r="476" spans="1:15" ht="13" x14ac:dyDescent="0.15">
      <c r="A476" s="79"/>
      <c r="B476" s="79"/>
      <c r="K476" s="79"/>
      <c r="L476" s="79"/>
      <c r="O476" s="56"/>
    </row>
    <row r="477" spans="1:15" ht="13" x14ac:dyDescent="0.15">
      <c r="A477" s="79"/>
      <c r="B477" s="79"/>
      <c r="K477" s="79"/>
      <c r="L477" s="79"/>
      <c r="O477" s="56"/>
    </row>
    <row r="478" spans="1:15" ht="13" x14ac:dyDescent="0.15">
      <c r="A478" s="79"/>
      <c r="B478" s="79"/>
      <c r="K478" s="79"/>
      <c r="L478" s="79"/>
      <c r="O478" s="56"/>
    </row>
    <row r="479" spans="1:15" ht="13" x14ac:dyDescent="0.15">
      <c r="A479" s="79"/>
      <c r="B479" s="79"/>
      <c r="K479" s="79"/>
      <c r="L479" s="79"/>
      <c r="O479" s="56"/>
    </row>
    <row r="480" spans="1:15" ht="13" x14ac:dyDescent="0.15">
      <c r="A480" s="79"/>
      <c r="B480" s="79"/>
      <c r="K480" s="79"/>
      <c r="L480" s="79"/>
      <c r="O480" s="56"/>
    </row>
    <row r="481" spans="1:15" ht="13" x14ac:dyDescent="0.15">
      <c r="A481" s="79"/>
      <c r="B481" s="79"/>
      <c r="K481" s="79"/>
      <c r="L481" s="79"/>
      <c r="O481" s="56"/>
    </row>
    <row r="482" spans="1:15" ht="13" x14ac:dyDescent="0.15">
      <c r="A482" s="79"/>
      <c r="B482" s="79"/>
      <c r="K482" s="79"/>
      <c r="L482" s="79"/>
      <c r="O482" s="56"/>
    </row>
    <row r="483" spans="1:15" ht="13" x14ac:dyDescent="0.15">
      <c r="A483" s="79"/>
      <c r="B483" s="79"/>
      <c r="K483" s="79"/>
      <c r="L483" s="79"/>
      <c r="O483" s="56"/>
    </row>
    <row r="484" spans="1:15" ht="13" x14ac:dyDescent="0.15">
      <c r="A484" s="79"/>
      <c r="B484" s="79"/>
      <c r="K484" s="79"/>
      <c r="L484" s="79"/>
      <c r="O484" s="56"/>
    </row>
    <row r="485" spans="1:15" ht="13" x14ac:dyDescent="0.15">
      <c r="A485" s="79"/>
      <c r="B485" s="79"/>
      <c r="K485" s="79"/>
      <c r="L485" s="79"/>
      <c r="O485" s="56"/>
    </row>
    <row r="486" spans="1:15" ht="13" x14ac:dyDescent="0.15">
      <c r="A486" s="79"/>
      <c r="B486" s="79"/>
      <c r="K486" s="79"/>
      <c r="L486" s="79"/>
      <c r="O486" s="56"/>
    </row>
    <row r="487" spans="1:15" ht="13" x14ac:dyDescent="0.15">
      <c r="A487" s="79"/>
      <c r="B487" s="79"/>
      <c r="K487" s="79"/>
      <c r="L487" s="79"/>
      <c r="O487" s="56"/>
    </row>
    <row r="488" spans="1:15" ht="13" x14ac:dyDescent="0.15">
      <c r="A488" s="79"/>
      <c r="B488" s="79"/>
      <c r="K488" s="79"/>
      <c r="L488" s="79"/>
      <c r="O488" s="56"/>
    </row>
    <row r="489" spans="1:15" ht="13" x14ac:dyDescent="0.15">
      <c r="A489" s="79"/>
      <c r="B489" s="79"/>
      <c r="K489" s="79"/>
      <c r="L489" s="79"/>
      <c r="O489" s="56"/>
    </row>
    <row r="490" spans="1:15" ht="13" x14ac:dyDescent="0.15">
      <c r="A490" s="79"/>
      <c r="B490" s="79"/>
      <c r="K490" s="79"/>
      <c r="L490" s="79"/>
      <c r="O490" s="56"/>
    </row>
    <row r="491" spans="1:15" ht="13" x14ac:dyDescent="0.15">
      <c r="A491" s="79"/>
      <c r="B491" s="79"/>
      <c r="K491" s="79"/>
      <c r="L491" s="79"/>
      <c r="O491" s="56"/>
    </row>
    <row r="492" spans="1:15" ht="13" x14ac:dyDescent="0.15">
      <c r="A492" s="79"/>
      <c r="B492" s="79"/>
      <c r="K492" s="79"/>
      <c r="L492" s="79"/>
      <c r="O492" s="56"/>
    </row>
    <row r="493" spans="1:15" ht="13" x14ac:dyDescent="0.15">
      <c r="A493" s="79"/>
      <c r="B493" s="79"/>
      <c r="K493" s="79"/>
      <c r="L493" s="79"/>
      <c r="O493" s="56"/>
    </row>
    <row r="494" spans="1:15" ht="13" x14ac:dyDescent="0.15">
      <c r="A494" s="79"/>
      <c r="B494" s="79"/>
      <c r="K494" s="79"/>
      <c r="L494" s="79"/>
      <c r="O494" s="56"/>
    </row>
    <row r="495" spans="1:15" ht="13" x14ac:dyDescent="0.15">
      <c r="A495" s="79"/>
      <c r="B495" s="79"/>
      <c r="K495" s="79"/>
      <c r="L495" s="79"/>
      <c r="O495" s="56"/>
    </row>
    <row r="496" spans="1:15" ht="13" x14ac:dyDescent="0.15">
      <c r="A496" s="79"/>
      <c r="B496" s="79"/>
      <c r="K496" s="79"/>
      <c r="L496" s="79"/>
      <c r="O496" s="56"/>
    </row>
    <row r="497" spans="1:15" ht="13" x14ac:dyDescent="0.15">
      <c r="A497" s="79"/>
      <c r="B497" s="79"/>
      <c r="K497" s="79"/>
      <c r="L497" s="79"/>
      <c r="O497" s="56"/>
    </row>
    <row r="498" spans="1:15" ht="13" x14ac:dyDescent="0.15">
      <c r="A498" s="79"/>
      <c r="B498" s="79"/>
      <c r="K498" s="79"/>
      <c r="L498" s="79"/>
      <c r="O498" s="56"/>
    </row>
    <row r="499" spans="1:15" ht="13" x14ac:dyDescent="0.15">
      <c r="A499" s="79"/>
      <c r="B499" s="79"/>
      <c r="K499" s="79"/>
      <c r="L499" s="79"/>
      <c r="O499" s="56"/>
    </row>
    <row r="500" spans="1:15" ht="13" x14ac:dyDescent="0.15">
      <c r="A500" s="79"/>
      <c r="B500" s="79"/>
      <c r="K500" s="79"/>
      <c r="L500" s="79"/>
      <c r="O500" s="56"/>
    </row>
    <row r="501" spans="1:15" ht="13" x14ac:dyDescent="0.15">
      <c r="A501" s="79"/>
      <c r="B501" s="79"/>
      <c r="K501" s="79"/>
      <c r="L501" s="79"/>
      <c r="O501" s="56"/>
    </row>
    <row r="502" spans="1:15" ht="13" x14ac:dyDescent="0.15">
      <c r="A502" s="79"/>
      <c r="B502" s="79"/>
      <c r="K502" s="79"/>
      <c r="L502" s="79"/>
      <c r="O502" s="56"/>
    </row>
    <row r="503" spans="1:15" ht="13" x14ac:dyDescent="0.15">
      <c r="A503" s="79"/>
      <c r="B503" s="79"/>
      <c r="K503" s="79"/>
      <c r="L503" s="79"/>
      <c r="O503" s="56"/>
    </row>
    <row r="504" spans="1:15" ht="13" x14ac:dyDescent="0.15">
      <c r="A504" s="79"/>
      <c r="B504" s="79"/>
      <c r="K504" s="79"/>
      <c r="L504" s="79"/>
      <c r="O504" s="56"/>
    </row>
    <row r="505" spans="1:15" ht="13" x14ac:dyDescent="0.15">
      <c r="A505" s="79"/>
      <c r="B505" s="79"/>
      <c r="K505" s="79"/>
      <c r="L505" s="79"/>
      <c r="O505" s="56"/>
    </row>
    <row r="506" spans="1:15" ht="13" x14ac:dyDescent="0.15">
      <c r="A506" s="79"/>
      <c r="B506" s="79"/>
      <c r="K506" s="79"/>
      <c r="L506" s="79"/>
      <c r="O506" s="56"/>
    </row>
    <row r="507" spans="1:15" ht="13" x14ac:dyDescent="0.15">
      <c r="A507" s="79"/>
      <c r="B507" s="79"/>
      <c r="K507" s="79"/>
      <c r="L507" s="79"/>
      <c r="O507" s="56"/>
    </row>
    <row r="508" spans="1:15" ht="13" x14ac:dyDescent="0.15">
      <c r="A508" s="79"/>
      <c r="B508" s="79"/>
      <c r="K508" s="79"/>
      <c r="L508" s="79"/>
      <c r="O508" s="56"/>
    </row>
    <row r="509" spans="1:15" ht="13" x14ac:dyDescent="0.15">
      <c r="A509" s="79"/>
      <c r="B509" s="79"/>
      <c r="K509" s="79"/>
      <c r="L509" s="79"/>
      <c r="O509" s="56"/>
    </row>
    <row r="510" spans="1:15" ht="13" x14ac:dyDescent="0.15">
      <c r="A510" s="79"/>
      <c r="B510" s="79"/>
      <c r="K510" s="79"/>
      <c r="L510" s="79"/>
      <c r="O510" s="56"/>
    </row>
    <row r="511" spans="1:15" ht="13" x14ac:dyDescent="0.15">
      <c r="A511" s="79"/>
      <c r="B511" s="79"/>
      <c r="K511" s="79"/>
      <c r="L511" s="79"/>
      <c r="O511" s="56"/>
    </row>
    <row r="512" spans="1:15" ht="13" x14ac:dyDescent="0.15">
      <c r="A512" s="79"/>
      <c r="B512" s="79"/>
      <c r="K512" s="79"/>
      <c r="L512" s="79"/>
      <c r="O512" s="56"/>
    </row>
    <row r="513" spans="1:15" ht="13" x14ac:dyDescent="0.15">
      <c r="A513" s="79"/>
      <c r="B513" s="79"/>
      <c r="K513" s="79"/>
      <c r="L513" s="79"/>
      <c r="O513" s="56"/>
    </row>
    <row r="514" spans="1:15" ht="13" x14ac:dyDescent="0.15">
      <c r="A514" s="79"/>
      <c r="B514" s="79"/>
      <c r="K514" s="79"/>
      <c r="L514" s="79"/>
      <c r="O514" s="56"/>
    </row>
    <row r="515" spans="1:15" ht="13" x14ac:dyDescent="0.15">
      <c r="A515" s="79"/>
      <c r="B515" s="79"/>
      <c r="K515" s="79"/>
      <c r="L515" s="79"/>
      <c r="O515" s="56"/>
    </row>
    <row r="516" spans="1:15" ht="13" x14ac:dyDescent="0.15">
      <c r="A516" s="79"/>
      <c r="B516" s="79"/>
      <c r="K516" s="79"/>
      <c r="L516" s="79"/>
      <c r="O516" s="56"/>
    </row>
    <row r="517" spans="1:15" ht="13" x14ac:dyDescent="0.15">
      <c r="A517" s="79"/>
      <c r="B517" s="79"/>
      <c r="K517" s="79"/>
      <c r="L517" s="79"/>
      <c r="O517" s="56"/>
    </row>
    <row r="518" spans="1:15" ht="13" x14ac:dyDescent="0.15">
      <c r="A518" s="79"/>
      <c r="B518" s="79"/>
      <c r="K518" s="79"/>
      <c r="L518" s="79"/>
      <c r="O518" s="56"/>
    </row>
    <row r="519" spans="1:15" ht="13" x14ac:dyDescent="0.15">
      <c r="A519" s="79"/>
      <c r="B519" s="79"/>
      <c r="K519" s="79"/>
      <c r="L519" s="79"/>
      <c r="O519" s="56"/>
    </row>
    <row r="520" spans="1:15" ht="13" x14ac:dyDescent="0.15">
      <c r="A520" s="79"/>
      <c r="B520" s="79"/>
      <c r="K520" s="79"/>
      <c r="L520" s="79"/>
      <c r="O520" s="56"/>
    </row>
    <row r="521" spans="1:15" ht="13" x14ac:dyDescent="0.15">
      <c r="A521" s="79"/>
      <c r="B521" s="79"/>
      <c r="K521" s="79"/>
      <c r="L521" s="79"/>
      <c r="O521" s="56"/>
    </row>
    <row r="522" spans="1:15" ht="13" x14ac:dyDescent="0.15">
      <c r="A522" s="79"/>
      <c r="B522" s="79"/>
      <c r="K522" s="79"/>
      <c r="L522" s="79"/>
      <c r="O522" s="56"/>
    </row>
    <row r="523" spans="1:15" ht="13" x14ac:dyDescent="0.15">
      <c r="A523" s="79"/>
      <c r="B523" s="79"/>
      <c r="K523" s="79"/>
      <c r="L523" s="79"/>
      <c r="O523" s="56"/>
    </row>
    <row r="524" spans="1:15" ht="13" x14ac:dyDescent="0.15">
      <c r="A524" s="79"/>
      <c r="B524" s="79"/>
      <c r="K524" s="79"/>
      <c r="L524" s="79"/>
      <c r="O524" s="56"/>
    </row>
    <row r="525" spans="1:15" ht="13" x14ac:dyDescent="0.15">
      <c r="A525" s="79"/>
      <c r="B525" s="79"/>
      <c r="K525" s="79"/>
      <c r="L525" s="79"/>
      <c r="O525" s="56"/>
    </row>
    <row r="526" spans="1:15" ht="13" x14ac:dyDescent="0.15">
      <c r="A526" s="79"/>
      <c r="B526" s="79"/>
      <c r="K526" s="79"/>
      <c r="L526" s="79"/>
      <c r="O526" s="56"/>
    </row>
    <row r="527" spans="1:15" ht="13" x14ac:dyDescent="0.15">
      <c r="A527" s="79"/>
      <c r="B527" s="79"/>
      <c r="K527" s="79"/>
      <c r="L527" s="79"/>
      <c r="O527" s="56"/>
    </row>
    <row r="528" spans="1:15" ht="13" x14ac:dyDescent="0.15">
      <c r="A528" s="79"/>
      <c r="B528" s="79"/>
      <c r="K528" s="79"/>
      <c r="L528" s="79"/>
      <c r="O528" s="56"/>
    </row>
    <row r="529" spans="1:15" ht="13" x14ac:dyDescent="0.15">
      <c r="A529" s="79"/>
      <c r="B529" s="79"/>
      <c r="K529" s="79"/>
      <c r="L529" s="79"/>
      <c r="O529" s="56"/>
    </row>
    <row r="530" spans="1:15" ht="13" x14ac:dyDescent="0.15">
      <c r="A530" s="79"/>
      <c r="B530" s="79"/>
      <c r="K530" s="79"/>
      <c r="L530" s="79"/>
      <c r="O530" s="56"/>
    </row>
    <row r="531" spans="1:15" ht="13" x14ac:dyDescent="0.15">
      <c r="A531" s="79"/>
      <c r="B531" s="79"/>
      <c r="K531" s="79"/>
      <c r="L531" s="79"/>
      <c r="O531" s="56"/>
    </row>
    <row r="532" spans="1:15" ht="13" x14ac:dyDescent="0.15">
      <c r="A532" s="79"/>
      <c r="B532" s="79"/>
      <c r="K532" s="79"/>
      <c r="L532" s="79"/>
      <c r="O532" s="56"/>
    </row>
    <row r="533" spans="1:15" ht="13" x14ac:dyDescent="0.15">
      <c r="A533" s="79"/>
      <c r="B533" s="79"/>
      <c r="K533" s="79"/>
      <c r="L533" s="79"/>
      <c r="O533" s="56"/>
    </row>
    <row r="534" spans="1:15" ht="13" x14ac:dyDescent="0.15">
      <c r="A534" s="79"/>
      <c r="B534" s="79"/>
      <c r="K534" s="79"/>
      <c r="L534" s="79"/>
      <c r="O534" s="56"/>
    </row>
    <row r="535" spans="1:15" ht="13" x14ac:dyDescent="0.15">
      <c r="A535" s="79"/>
      <c r="B535" s="79"/>
      <c r="K535" s="79"/>
      <c r="L535" s="79"/>
      <c r="O535" s="56"/>
    </row>
    <row r="536" spans="1:15" ht="13" x14ac:dyDescent="0.15">
      <c r="A536" s="79"/>
      <c r="B536" s="79"/>
      <c r="K536" s="79"/>
      <c r="L536" s="79"/>
      <c r="O536" s="56"/>
    </row>
    <row r="537" spans="1:15" ht="13" x14ac:dyDescent="0.15">
      <c r="A537" s="79"/>
      <c r="B537" s="79"/>
      <c r="K537" s="79"/>
      <c r="L537" s="79"/>
      <c r="O537" s="56"/>
    </row>
    <row r="538" spans="1:15" ht="13" x14ac:dyDescent="0.15">
      <c r="A538" s="79"/>
      <c r="B538" s="79"/>
      <c r="K538" s="79"/>
      <c r="L538" s="79"/>
      <c r="O538" s="56"/>
    </row>
    <row r="539" spans="1:15" ht="13" x14ac:dyDescent="0.15">
      <c r="A539" s="79"/>
      <c r="B539" s="79"/>
      <c r="K539" s="79"/>
      <c r="L539" s="79"/>
      <c r="O539" s="56"/>
    </row>
    <row r="540" spans="1:15" ht="13" x14ac:dyDescent="0.15">
      <c r="A540" s="79"/>
      <c r="B540" s="79"/>
      <c r="K540" s="79"/>
      <c r="L540" s="79"/>
      <c r="O540" s="56"/>
    </row>
    <row r="541" spans="1:15" ht="13" x14ac:dyDescent="0.15">
      <c r="A541" s="79"/>
      <c r="B541" s="79"/>
      <c r="K541" s="79"/>
      <c r="L541" s="79"/>
      <c r="O541" s="56"/>
    </row>
    <row r="542" spans="1:15" ht="13" x14ac:dyDescent="0.15">
      <c r="A542" s="79"/>
      <c r="B542" s="79"/>
      <c r="K542" s="79"/>
      <c r="L542" s="79"/>
      <c r="O542" s="56"/>
    </row>
    <row r="543" spans="1:15" ht="13" x14ac:dyDescent="0.15">
      <c r="A543" s="79"/>
      <c r="B543" s="79"/>
      <c r="K543" s="79"/>
      <c r="L543" s="79"/>
      <c r="O543" s="56"/>
    </row>
    <row r="544" spans="1:15" ht="13" x14ac:dyDescent="0.15">
      <c r="A544" s="79"/>
      <c r="B544" s="79"/>
      <c r="K544" s="79"/>
      <c r="L544" s="79"/>
      <c r="O544" s="56"/>
    </row>
    <row r="545" spans="1:15" ht="13" x14ac:dyDescent="0.15">
      <c r="A545" s="79"/>
      <c r="B545" s="79"/>
      <c r="K545" s="79"/>
      <c r="L545" s="79"/>
      <c r="O545" s="56"/>
    </row>
    <row r="546" spans="1:15" ht="13" x14ac:dyDescent="0.15">
      <c r="A546" s="79"/>
      <c r="B546" s="79"/>
      <c r="K546" s="79"/>
      <c r="L546" s="79"/>
      <c r="O546" s="56"/>
    </row>
    <row r="547" spans="1:15" ht="13" x14ac:dyDescent="0.15">
      <c r="A547" s="79"/>
      <c r="B547" s="79"/>
      <c r="K547" s="79"/>
      <c r="L547" s="79"/>
      <c r="O547" s="56"/>
    </row>
    <row r="548" spans="1:15" ht="13" x14ac:dyDescent="0.15">
      <c r="A548" s="79"/>
      <c r="B548" s="79"/>
      <c r="K548" s="79"/>
      <c r="L548" s="79"/>
      <c r="O548" s="56"/>
    </row>
    <row r="549" spans="1:15" ht="13" x14ac:dyDescent="0.15">
      <c r="A549" s="79"/>
      <c r="B549" s="79"/>
      <c r="K549" s="79"/>
      <c r="L549" s="79"/>
      <c r="O549" s="56"/>
    </row>
    <row r="550" spans="1:15" ht="13" x14ac:dyDescent="0.15">
      <c r="A550" s="79"/>
      <c r="B550" s="79"/>
      <c r="K550" s="79"/>
      <c r="L550" s="79"/>
      <c r="O550" s="56"/>
    </row>
    <row r="551" spans="1:15" ht="13" x14ac:dyDescent="0.15">
      <c r="A551" s="79"/>
      <c r="B551" s="79"/>
      <c r="K551" s="79"/>
      <c r="L551" s="79"/>
      <c r="O551" s="56"/>
    </row>
    <row r="552" spans="1:15" ht="13" x14ac:dyDescent="0.15">
      <c r="A552" s="79"/>
      <c r="B552" s="79"/>
      <c r="K552" s="79"/>
      <c r="L552" s="79"/>
      <c r="O552" s="56"/>
    </row>
    <row r="553" spans="1:15" ht="13" x14ac:dyDescent="0.15">
      <c r="A553" s="79"/>
      <c r="B553" s="79"/>
      <c r="K553" s="79"/>
      <c r="L553" s="79"/>
      <c r="O553" s="56"/>
    </row>
    <row r="554" spans="1:15" ht="13" x14ac:dyDescent="0.15">
      <c r="A554" s="79"/>
      <c r="B554" s="79"/>
      <c r="K554" s="79"/>
      <c r="L554" s="79"/>
      <c r="O554" s="56"/>
    </row>
    <row r="555" spans="1:15" ht="13" x14ac:dyDescent="0.15">
      <c r="A555" s="79"/>
      <c r="B555" s="79"/>
      <c r="K555" s="79"/>
      <c r="L555" s="79"/>
      <c r="O555" s="56"/>
    </row>
    <row r="556" spans="1:15" ht="13" x14ac:dyDescent="0.15">
      <c r="A556" s="79"/>
      <c r="B556" s="79"/>
      <c r="K556" s="79"/>
      <c r="L556" s="79"/>
      <c r="O556" s="56"/>
    </row>
    <row r="557" spans="1:15" ht="13" x14ac:dyDescent="0.15">
      <c r="A557" s="79"/>
      <c r="B557" s="79"/>
      <c r="K557" s="79"/>
      <c r="L557" s="79"/>
      <c r="O557" s="56"/>
    </row>
    <row r="558" spans="1:15" ht="13" x14ac:dyDescent="0.15">
      <c r="A558" s="79"/>
      <c r="B558" s="79"/>
      <c r="K558" s="79"/>
      <c r="L558" s="79"/>
      <c r="O558" s="56"/>
    </row>
    <row r="559" spans="1:15" ht="13" x14ac:dyDescent="0.15">
      <c r="A559" s="79"/>
      <c r="B559" s="79"/>
      <c r="K559" s="79"/>
      <c r="L559" s="79"/>
      <c r="O559" s="56"/>
    </row>
    <row r="560" spans="1:15" ht="13" x14ac:dyDescent="0.15">
      <c r="A560" s="79"/>
      <c r="B560" s="79"/>
      <c r="K560" s="79"/>
      <c r="L560" s="79"/>
      <c r="O560" s="56"/>
    </row>
    <row r="561" spans="1:15" ht="13" x14ac:dyDescent="0.15">
      <c r="A561" s="79"/>
      <c r="B561" s="79"/>
      <c r="K561" s="79"/>
      <c r="L561" s="79"/>
      <c r="O561" s="56"/>
    </row>
    <row r="562" spans="1:15" ht="13" x14ac:dyDescent="0.15">
      <c r="A562" s="79"/>
      <c r="B562" s="79"/>
      <c r="K562" s="79"/>
      <c r="L562" s="79"/>
      <c r="O562" s="56"/>
    </row>
    <row r="563" spans="1:15" ht="13" x14ac:dyDescent="0.15">
      <c r="A563" s="79"/>
      <c r="B563" s="79"/>
      <c r="K563" s="79"/>
      <c r="L563" s="79"/>
      <c r="O563" s="56"/>
    </row>
    <row r="564" spans="1:15" ht="13" x14ac:dyDescent="0.15">
      <c r="A564" s="79"/>
      <c r="B564" s="79"/>
      <c r="K564" s="79"/>
      <c r="L564" s="79"/>
      <c r="O564" s="56"/>
    </row>
    <row r="565" spans="1:15" ht="13" x14ac:dyDescent="0.15">
      <c r="A565" s="79"/>
      <c r="B565" s="79"/>
      <c r="K565" s="79"/>
      <c r="L565" s="79"/>
      <c r="O565" s="56"/>
    </row>
    <row r="566" spans="1:15" ht="13" x14ac:dyDescent="0.15">
      <c r="A566" s="79"/>
      <c r="B566" s="79"/>
      <c r="K566" s="79"/>
      <c r="L566" s="79"/>
      <c r="O566" s="56"/>
    </row>
    <row r="567" spans="1:15" ht="13" x14ac:dyDescent="0.15">
      <c r="A567" s="79"/>
      <c r="B567" s="79"/>
      <c r="K567" s="79"/>
      <c r="L567" s="79"/>
      <c r="O567" s="56"/>
    </row>
    <row r="568" spans="1:15" ht="13" x14ac:dyDescent="0.15">
      <c r="A568" s="79"/>
      <c r="B568" s="79"/>
      <c r="K568" s="79"/>
      <c r="L568" s="79"/>
      <c r="O568" s="56"/>
    </row>
    <row r="569" spans="1:15" ht="13" x14ac:dyDescent="0.15">
      <c r="A569" s="79"/>
      <c r="B569" s="79"/>
      <c r="K569" s="79"/>
      <c r="L569" s="79"/>
      <c r="O569" s="56"/>
    </row>
    <row r="570" spans="1:15" ht="13" x14ac:dyDescent="0.15">
      <c r="A570" s="79"/>
      <c r="B570" s="79"/>
      <c r="K570" s="79"/>
      <c r="L570" s="79"/>
      <c r="O570" s="56"/>
    </row>
    <row r="571" spans="1:15" ht="13" x14ac:dyDescent="0.15">
      <c r="A571" s="79"/>
      <c r="B571" s="79"/>
      <c r="K571" s="79"/>
      <c r="L571" s="79"/>
      <c r="O571" s="56"/>
    </row>
    <row r="572" spans="1:15" ht="13" x14ac:dyDescent="0.15">
      <c r="A572" s="79"/>
      <c r="B572" s="79"/>
      <c r="K572" s="79"/>
      <c r="L572" s="79"/>
      <c r="O572" s="56"/>
    </row>
    <row r="573" spans="1:15" ht="13" x14ac:dyDescent="0.15">
      <c r="A573" s="79"/>
      <c r="B573" s="79"/>
      <c r="K573" s="79"/>
      <c r="L573" s="79"/>
      <c r="O573" s="56"/>
    </row>
    <row r="574" spans="1:15" ht="13" x14ac:dyDescent="0.15">
      <c r="A574" s="79"/>
      <c r="B574" s="79"/>
      <c r="K574" s="79"/>
      <c r="L574" s="79"/>
      <c r="O574" s="56"/>
    </row>
    <row r="575" spans="1:15" ht="13" x14ac:dyDescent="0.15">
      <c r="A575" s="79"/>
      <c r="B575" s="79"/>
      <c r="K575" s="79"/>
      <c r="L575" s="79"/>
      <c r="O575" s="56"/>
    </row>
    <row r="576" spans="1:15" ht="13" x14ac:dyDescent="0.15">
      <c r="A576" s="79"/>
      <c r="B576" s="79"/>
      <c r="K576" s="79"/>
      <c r="L576" s="79"/>
      <c r="O576" s="56"/>
    </row>
    <row r="577" spans="1:15" ht="13" x14ac:dyDescent="0.15">
      <c r="A577" s="79"/>
      <c r="B577" s="79"/>
      <c r="K577" s="79"/>
      <c r="L577" s="79"/>
      <c r="O577" s="56"/>
    </row>
    <row r="578" spans="1:15" ht="13" x14ac:dyDescent="0.15">
      <c r="A578" s="79"/>
      <c r="B578" s="79"/>
      <c r="K578" s="79"/>
      <c r="L578" s="79"/>
      <c r="O578" s="56"/>
    </row>
    <row r="579" spans="1:15" ht="13" x14ac:dyDescent="0.15">
      <c r="A579" s="79"/>
      <c r="B579" s="79"/>
      <c r="K579" s="79"/>
      <c r="L579" s="79"/>
      <c r="O579" s="56"/>
    </row>
    <row r="580" spans="1:15" ht="13" x14ac:dyDescent="0.15">
      <c r="A580" s="79"/>
      <c r="B580" s="79"/>
      <c r="K580" s="79"/>
      <c r="L580" s="79"/>
      <c r="O580" s="56"/>
    </row>
    <row r="581" spans="1:15" ht="13" x14ac:dyDescent="0.15">
      <c r="A581" s="79"/>
      <c r="B581" s="79"/>
      <c r="K581" s="79"/>
      <c r="L581" s="79"/>
      <c r="O581" s="56"/>
    </row>
    <row r="582" spans="1:15" ht="13" x14ac:dyDescent="0.15">
      <c r="A582" s="79"/>
      <c r="B582" s="79"/>
      <c r="K582" s="79"/>
      <c r="L582" s="79"/>
      <c r="O582" s="56"/>
    </row>
    <row r="583" spans="1:15" ht="13" x14ac:dyDescent="0.15">
      <c r="A583" s="79"/>
      <c r="B583" s="79"/>
      <c r="K583" s="79"/>
      <c r="L583" s="79"/>
      <c r="O583" s="56"/>
    </row>
    <row r="584" spans="1:15" ht="13" x14ac:dyDescent="0.15">
      <c r="A584" s="79"/>
      <c r="B584" s="79"/>
      <c r="K584" s="79"/>
      <c r="L584" s="79"/>
      <c r="O584" s="56"/>
    </row>
    <row r="585" spans="1:15" ht="13" x14ac:dyDescent="0.15">
      <c r="A585" s="79"/>
      <c r="B585" s="79"/>
      <c r="K585" s="79"/>
      <c r="L585" s="79"/>
      <c r="O585" s="56"/>
    </row>
    <row r="586" spans="1:15" ht="13" x14ac:dyDescent="0.15">
      <c r="A586" s="79"/>
      <c r="B586" s="79"/>
      <c r="K586" s="79"/>
      <c r="L586" s="79"/>
      <c r="O586" s="56"/>
    </row>
    <row r="587" spans="1:15" ht="13" x14ac:dyDescent="0.15">
      <c r="A587" s="79"/>
      <c r="B587" s="79"/>
      <c r="K587" s="79"/>
      <c r="L587" s="79"/>
      <c r="O587" s="56"/>
    </row>
    <row r="588" spans="1:15" ht="13" x14ac:dyDescent="0.15">
      <c r="A588" s="79"/>
      <c r="B588" s="79"/>
      <c r="K588" s="79"/>
      <c r="L588" s="79"/>
      <c r="O588" s="56"/>
    </row>
    <row r="589" spans="1:15" ht="13" x14ac:dyDescent="0.15">
      <c r="A589" s="79"/>
      <c r="B589" s="79"/>
      <c r="K589" s="79"/>
      <c r="L589" s="79"/>
      <c r="O589" s="56"/>
    </row>
    <row r="590" spans="1:15" ht="13" x14ac:dyDescent="0.15">
      <c r="A590" s="79"/>
      <c r="B590" s="79"/>
      <c r="K590" s="79"/>
      <c r="L590" s="79"/>
      <c r="O590" s="56"/>
    </row>
    <row r="591" spans="1:15" ht="13" x14ac:dyDescent="0.15">
      <c r="A591" s="79"/>
      <c r="B591" s="79"/>
      <c r="K591" s="79"/>
      <c r="L591" s="79"/>
      <c r="O591" s="56"/>
    </row>
    <row r="592" spans="1:15" ht="13" x14ac:dyDescent="0.15">
      <c r="A592" s="79"/>
      <c r="B592" s="79"/>
      <c r="K592" s="79"/>
      <c r="L592" s="79"/>
      <c r="O592" s="56"/>
    </row>
    <row r="593" spans="1:15" ht="13" x14ac:dyDescent="0.15">
      <c r="A593" s="79"/>
      <c r="B593" s="79"/>
      <c r="K593" s="79"/>
      <c r="L593" s="79"/>
      <c r="O593" s="56"/>
    </row>
    <row r="594" spans="1:15" ht="13" x14ac:dyDescent="0.15">
      <c r="A594" s="79"/>
      <c r="B594" s="79"/>
      <c r="K594" s="79"/>
      <c r="L594" s="79"/>
      <c r="O594" s="56"/>
    </row>
    <row r="595" spans="1:15" ht="13" x14ac:dyDescent="0.15">
      <c r="A595" s="79"/>
      <c r="B595" s="79"/>
      <c r="K595" s="79"/>
      <c r="L595" s="79"/>
      <c r="O595" s="56"/>
    </row>
    <row r="596" spans="1:15" ht="13" x14ac:dyDescent="0.15">
      <c r="A596" s="79"/>
      <c r="B596" s="79"/>
      <c r="K596" s="79"/>
      <c r="L596" s="79"/>
      <c r="O596" s="56"/>
    </row>
    <row r="597" spans="1:15" ht="13" x14ac:dyDescent="0.15">
      <c r="A597" s="79"/>
      <c r="B597" s="79"/>
      <c r="K597" s="79"/>
      <c r="L597" s="79"/>
      <c r="O597" s="56"/>
    </row>
    <row r="598" spans="1:15" ht="13" x14ac:dyDescent="0.15">
      <c r="A598" s="79"/>
      <c r="B598" s="79"/>
      <c r="K598" s="79"/>
      <c r="L598" s="79"/>
      <c r="O598" s="56"/>
    </row>
    <row r="599" spans="1:15" ht="13" x14ac:dyDescent="0.15">
      <c r="A599" s="79"/>
      <c r="B599" s="79"/>
      <c r="K599" s="79"/>
      <c r="L599" s="79"/>
      <c r="O599" s="56"/>
    </row>
    <row r="600" spans="1:15" ht="13" x14ac:dyDescent="0.15">
      <c r="A600" s="79"/>
      <c r="B600" s="79"/>
      <c r="K600" s="79"/>
      <c r="L600" s="79"/>
      <c r="O600" s="56"/>
    </row>
    <row r="601" spans="1:15" ht="13" x14ac:dyDescent="0.15">
      <c r="A601" s="79"/>
      <c r="B601" s="79"/>
      <c r="K601" s="79"/>
      <c r="L601" s="79"/>
      <c r="O601" s="56"/>
    </row>
    <row r="602" spans="1:15" ht="13" x14ac:dyDescent="0.15">
      <c r="A602" s="79"/>
      <c r="B602" s="79"/>
      <c r="K602" s="79"/>
      <c r="L602" s="79"/>
      <c r="O602" s="56"/>
    </row>
    <row r="603" spans="1:15" ht="13" x14ac:dyDescent="0.15">
      <c r="A603" s="79"/>
      <c r="B603" s="79"/>
      <c r="K603" s="79"/>
      <c r="L603" s="79"/>
      <c r="O603" s="56"/>
    </row>
    <row r="604" spans="1:15" ht="13" x14ac:dyDescent="0.15">
      <c r="A604" s="79"/>
      <c r="B604" s="79"/>
      <c r="K604" s="79"/>
      <c r="L604" s="79"/>
      <c r="O604" s="56"/>
    </row>
    <row r="605" spans="1:15" ht="13" x14ac:dyDescent="0.15">
      <c r="A605" s="79"/>
      <c r="B605" s="79"/>
      <c r="K605" s="79"/>
      <c r="L605" s="79"/>
      <c r="O605" s="56"/>
    </row>
    <row r="606" spans="1:15" ht="13" x14ac:dyDescent="0.15">
      <c r="A606" s="79"/>
      <c r="B606" s="79"/>
      <c r="K606" s="79"/>
      <c r="L606" s="79"/>
      <c r="O606" s="56"/>
    </row>
    <row r="607" spans="1:15" ht="13" x14ac:dyDescent="0.15">
      <c r="A607" s="79"/>
      <c r="B607" s="79"/>
      <c r="K607" s="79"/>
      <c r="L607" s="79"/>
      <c r="O607" s="56"/>
    </row>
    <row r="608" spans="1:15" ht="13" x14ac:dyDescent="0.15">
      <c r="A608" s="79"/>
      <c r="B608" s="79"/>
      <c r="K608" s="79"/>
      <c r="L608" s="79"/>
      <c r="O608" s="56"/>
    </row>
    <row r="609" spans="1:15" ht="13" x14ac:dyDescent="0.15">
      <c r="A609" s="79"/>
      <c r="B609" s="79"/>
      <c r="K609" s="79"/>
      <c r="L609" s="79"/>
      <c r="O609" s="56"/>
    </row>
    <row r="610" spans="1:15" ht="13" x14ac:dyDescent="0.15">
      <c r="A610" s="79"/>
      <c r="B610" s="79"/>
      <c r="K610" s="79"/>
      <c r="L610" s="79"/>
      <c r="O610" s="56"/>
    </row>
    <row r="611" spans="1:15" ht="13" x14ac:dyDescent="0.15">
      <c r="A611" s="79"/>
      <c r="B611" s="79"/>
      <c r="K611" s="79"/>
      <c r="L611" s="79"/>
      <c r="O611" s="56"/>
    </row>
    <row r="612" spans="1:15" ht="13" x14ac:dyDescent="0.15">
      <c r="A612" s="79"/>
      <c r="B612" s="79"/>
      <c r="K612" s="79"/>
      <c r="L612" s="79"/>
      <c r="O612" s="56"/>
    </row>
    <row r="613" spans="1:15" ht="13" x14ac:dyDescent="0.15">
      <c r="A613" s="79"/>
      <c r="B613" s="79"/>
      <c r="K613" s="79"/>
      <c r="L613" s="79"/>
      <c r="O613" s="56"/>
    </row>
    <row r="614" spans="1:15" ht="13" x14ac:dyDescent="0.15">
      <c r="A614" s="79"/>
      <c r="B614" s="79"/>
      <c r="K614" s="79"/>
      <c r="L614" s="79"/>
      <c r="O614" s="56"/>
    </row>
    <row r="615" spans="1:15" ht="13" x14ac:dyDescent="0.15">
      <c r="A615" s="79"/>
      <c r="B615" s="79"/>
      <c r="K615" s="79"/>
      <c r="L615" s="79"/>
      <c r="O615" s="56"/>
    </row>
    <row r="616" spans="1:15" ht="13" x14ac:dyDescent="0.15">
      <c r="A616" s="79"/>
      <c r="B616" s="79"/>
      <c r="K616" s="79"/>
      <c r="L616" s="79"/>
      <c r="O616" s="56"/>
    </row>
    <row r="617" spans="1:15" ht="13" x14ac:dyDescent="0.15">
      <c r="A617" s="79"/>
      <c r="B617" s="79"/>
      <c r="K617" s="79"/>
      <c r="L617" s="79"/>
      <c r="O617" s="56"/>
    </row>
    <row r="618" spans="1:15" ht="13" x14ac:dyDescent="0.15">
      <c r="A618" s="79"/>
      <c r="B618" s="79"/>
      <c r="K618" s="79"/>
      <c r="L618" s="79"/>
      <c r="O618" s="56"/>
    </row>
    <row r="619" spans="1:15" ht="13" x14ac:dyDescent="0.15">
      <c r="A619" s="79"/>
      <c r="B619" s="79"/>
      <c r="K619" s="79"/>
      <c r="L619" s="79"/>
      <c r="O619" s="56"/>
    </row>
    <row r="620" spans="1:15" ht="13" x14ac:dyDescent="0.15">
      <c r="A620" s="79"/>
      <c r="B620" s="79"/>
      <c r="K620" s="79"/>
      <c r="L620" s="79"/>
      <c r="O620" s="56"/>
    </row>
    <row r="621" spans="1:15" ht="13" x14ac:dyDescent="0.15">
      <c r="A621" s="79"/>
      <c r="B621" s="79"/>
      <c r="K621" s="79"/>
      <c r="L621" s="79"/>
      <c r="O621" s="56"/>
    </row>
    <row r="622" spans="1:15" ht="13" x14ac:dyDescent="0.15">
      <c r="A622" s="79"/>
      <c r="B622" s="79"/>
      <c r="K622" s="79"/>
      <c r="L622" s="79"/>
      <c r="O622" s="56"/>
    </row>
    <row r="623" spans="1:15" ht="13" x14ac:dyDescent="0.15">
      <c r="A623" s="79"/>
      <c r="B623" s="79"/>
      <c r="K623" s="79"/>
      <c r="L623" s="79"/>
      <c r="O623" s="56"/>
    </row>
    <row r="624" spans="1:15" ht="13" x14ac:dyDescent="0.15">
      <c r="A624" s="79"/>
      <c r="B624" s="79"/>
      <c r="K624" s="79"/>
      <c r="L624" s="79"/>
      <c r="O624" s="56"/>
    </row>
    <row r="625" spans="1:15" ht="13" x14ac:dyDescent="0.15">
      <c r="A625" s="79"/>
      <c r="B625" s="79"/>
      <c r="K625" s="79"/>
      <c r="L625" s="79"/>
      <c r="O625" s="56"/>
    </row>
    <row r="626" spans="1:15" ht="13" x14ac:dyDescent="0.15">
      <c r="A626" s="79"/>
      <c r="B626" s="79"/>
      <c r="K626" s="79"/>
      <c r="L626" s="79"/>
      <c r="O626" s="56"/>
    </row>
    <row r="627" spans="1:15" ht="13" x14ac:dyDescent="0.15">
      <c r="A627" s="79"/>
      <c r="B627" s="79"/>
      <c r="K627" s="79"/>
      <c r="L627" s="79"/>
      <c r="O627" s="56"/>
    </row>
    <row r="628" spans="1:15" ht="13" x14ac:dyDescent="0.15">
      <c r="A628" s="79"/>
      <c r="B628" s="79"/>
      <c r="K628" s="79"/>
      <c r="L628" s="79"/>
      <c r="O628" s="56"/>
    </row>
    <row r="629" spans="1:15" ht="13" x14ac:dyDescent="0.15">
      <c r="A629" s="79"/>
      <c r="B629" s="79"/>
      <c r="K629" s="79"/>
      <c r="L629" s="79"/>
      <c r="O629" s="56"/>
    </row>
    <row r="630" spans="1:15" ht="13" x14ac:dyDescent="0.15">
      <c r="A630" s="79"/>
      <c r="B630" s="79"/>
      <c r="K630" s="79"/>
      <c r="L630" s="79"/>
      <c r="O630" s="56"/>
    </row>
    <row r="631" spans="1:15" ht="13" x14ac:dyDescent="0.15">
      <c r="A631" s="79"/>
      <c r="B631" s="79"/>
      <c r="K631" s="79"/>
      <c r="L631" s="79"/>
      <c r="O631" s="56"/>
    </row>
    <row r="632" spans="1:15" ht="13" x14ac:dyDescent="0.15">
      <c r="A632" s="79"/>
      <c r="B632" s="79"/>
      <c r="K632" s="79"/>
      <c r="L632" s="79"/>
      <c r="O632" s="56"/>
    </row>
    <row r="633" spans="1:15" ht="13" x14ac:dyDescent="0.15">
      <c r="A633" s="79"/>
      <c r="B633" s="79"/>
      <c r="K633" s="79"/>
      <c r="L633" s="79"/>
      <c r="O633" s="56"/>
    </row>
    <row r="634" spans="1:15" ht="13" x14ac:dyDescent="0.15">
      <c r="A634" s="79"/>
      <c r="B634" s="79"/>
      <c r="K634" s="79"/>
      <c r="L634" s="79"/>
      <c r="O634" s="56"/>
    </row>
    <row r="635" spans="1:15" ht="13" x14ac:dyDescent="0.15">
      <c r="A635" s="79"/>
      <c r="B635" s="79"/>
      <c r="K635" s="79"/>
      <c r="L635" s="79"/>
      <c r="O635" s="56"/>
    </row>
    <row r="636" spans="1:15" ht="13" x14ac:dyDescent="0.15">
      <c r="A636" s="79"/>
      <c r="B636" s="79"/>
      <c r="K636" s="79"/>
      <c r="L636" s="79"/>
      <c r="O636" s="56"/>
    </row>
    <row r="637" spans="1:15" ht="13" x14ac:dyDescent="0.15">
      <c r="A637" s="79"/>
      <c r="B637" s="79"/>
      <c r="K637" s="79"/>
      <c r="L637" s="79"/>
      <c r="O637" s="56"/>
    </row>
    <row r="638" spans="1:15" ht="13" x14ac:dyDescent="0.15">
      <c r="A638" s="79"/>
      <c r="B638" s="79"/>
      <c r="K638" s="79"/>
      <c r="L638" s="79"/>
      <c r="O638" s="56"/>
    </row>
    <row r="639" spans="1:15" ht="13" x14ac:dyDescent="0.15">
      <c r="A639" s="79"/>
      <c r="B639" s="79"/>
      <c r="K639" s="79"/>
      <c r="L639" s="79"/>
      <c r="O639" s="56"/>
    </row>
    <row r="640" spans="1:15" ht="13" x14ac:dyDescent="0.15">
      <c r="A640" s="79"/>
      <c r="B640" s="79"/>
      <c r="K640" s="79"/>
      <c r="L640" s="79"/>
      <c r="O640" s="56"/>
    </row>
    <row r="641" spans="1:15" ht="13" x14ac:dyDescent="0.15">
      <c r="A641" s="79"/>
      <c r="B641" s="79"/>
      <c r="K641" s="79"/>
      <c r="L641" s="79"/>
      <c r="O641" s="56"/>
    </row>
    <row r="642" spans="1:15" ht="13" x14ac:dyDescent="0.15">
      <c r="A642" s="79"/>
      <c r="B642" s="79"/>
      <c r="K642" s="79"/>
      <c r="L642" s="79"/>
      <c r="O642" s="56"/>
    </row>
    <row r="643" spans="1:15" ht="13" x14ac:dyDescent="0.15">
      <c r="A643" s="79"/>
      <c r="B643" s="79"/>
      <c r="K643" s="79"/>
      <c r="L643" s="79"/>
      <c r="O643" s="56"/>
    </row>
    <row r="644" spans="1:15" ht="13" x14ac:dyDescent="0.15">
      <c r="A644" s="79"/>
      <c r="B644" s="79"/>
      <c r="K644" s="79"/>
      <c r="L644" s="79"/>
      <c r="O644" s="56"/>
    </row>
    <row r="645" spans="1:15" ht="13" x14ac:dyDescent="0.15">
      <c r="A645" s="79"/>
      <c r="B645" s="79"/>
      <c r="K645" s="79"/>
      <c r="L645" s="79"/>
      <c r="O645" s="56"/>
    </row>
    <row r="646" spans="1:15" ht="13" x14ac:dyDescent="0.15">
      <c r="A646" s="79"/>
      <c r="B646" s="79"/>
      <c r="K646" s="79"/>
      <c r="L646" s="79"/>
      <c r="O646" s="56"/>
    </row>
    <row r="647" spans="1:15" ht="13" x14ac:dyDescent="0.15">
      <c r="A647" s="79"/>
      <c r="B647" s="79"/>
      <c r="K647" s="79"/>
      <c r="L647" s="79"/>
      <c r="O647" s="56"/>
    </row>
    <row r="648" spans="1:15" ht="13" x14ac:dyDescent="0.15">
      <c r="A648" s="79"/>
      <c r="B648" s="79"/>
      <c r="K648" s="79"/>
      <c r="L648" s="79"/>
      <c r="O648" s="56"/>
    </row>
    <row r="649" spans="1:15" ht="13" x14ac:dyDescent="0.15">
      <c r="A649" s="79"/>
      <c r="B649" s="79"/>
      <c r="K649" s="79"/>
      <c r="L649" s="79"/>
      <c r="O649" s="56"/>
    </row>
    <row r="650" spans="1:15" ht="13" x14ac:dyDescent="0.15">
      <c r="A650" s="79"/>
      <c r="B650" s="79"/>
      <c r="K650" s="79"/>
      <c r="L650" s="79"/>
      <c r="O650" s="56"/>
    </row>
    <row r="651" spans="1:15" ht="13" x14ac:dyDescent="0.15">
      <c r="A651" s="79"/>
      <c r="B651" s="79"/>
      <c r="K651" s="79"/>
      <c r="L651" s="79"/>
      <c r="O651" s="56"/>
    </row>
    <row r="652" spans="1:15" ht="13" x14ac:dyDescent="0.15">
      <c r="A652" s="79"/>
      <c r="B652" s="79"/>
      <c r="K652" s="79"/>
      <c r="L652" s="79"/>
      <c r="O652" s="56"/>
    </row>
    <row r="653" spans="1:15" ht="13" x14ac:dyDescent="0.15">
      <c r="A653" s="79"/>
      <c r="B653" s="79"/>
      <c r="K653" s="79"/>
      <c r="L653" s="79"/>
      <c r="O653" s="56"/>
    </row>
    <row r="654" spans="1:15" ht="13" x14ac:dyDescent="0.15">
      <c r="A654" s="79"/>
      <c r="B654" s="79"/>
      <c r="K654" s="79"/>
      <c r="L654" s="79"/>
      <c r="O654" s="56"/>
    </row>
    <row r="655" spans="1:15" ht="13" x14ac:dyDescent="0.15">
      <c r="A655" s="79"/>
      <c r="B655" s="79"/>
      <c r="K655" s="79"/>
      <c r="L655" s="79"/>
      <c r="O655" s="56"/>
    </row>
    <row r="656" spans="1:15" ht="13" x14ac:dyDescent="0.15">
      <c r="A656" s="79"/>
      <c r="B656" s="79"/>
      <c r="K656" s="79"/>
      <c r="L656" s="79"/>
      <c r="O656" s="56"/>
    </row>
    <row r="657" spans="1:15" ht="13" x14ac:dyDescent="0.15">
      <c r="A657" s="79"/>
      <c r="B657" s="79"/>
      <c r="K657" s="79"/>
      <c r="L657" s="79"/>
      <c r="O657" s="56"/>
    </row>
    <row r="658" spans="1:15" ht="13" x14ac:dyDescent="0.15">
      <c r="A658" s="79"/>
      <c r="B658" s="79"/>
      <c r="K658" s="79"/>
      <c r="L658" s="79"/>
      <c r="O658" s="56"/>
    </row>
    <row r="659" spans="1:15" ht="13" x14ac:dyDescent="0.15">
      <c r="A659" s="79"/>
      <c r="B659" s="79"/>
      <c r="K659" s="79"/>
      <c r="L659" s="79"/>
      <c r="O659" s="56"/>
    </row>
    <row r="660" spans="1:15" ht="13" x14ac:dyDescent="0.15">
      <c r="A660" s="79"/>
      <c r="B660" s="79"/>
      <c r="K660" s="79"/>
      <c r="L660" s="79"/>
      <c r="O660" s="56"/>
    </row>
    <row r="661" spans="1:15" ht="13" x14ac:dyDescent="0.15">
      <c r="A661" s="79"/>
      <c r="B661" s="79"/>
      <c r="K661" s="79"/>
      <c r="L661" s="79"/>
      <c r="O661" s="56"/>
    </row>
    <row r="662" spans="1:15" ht="13" x14ac:dyDescent="0.15">
      <c r="A662" s="79"/>
      <c r="B662" s="79"/>
      <c r="K662" s="79"/>
      <c r="L662" s="79"/>
      <c r="O662" s="56"/>
    </row>
    <row r="663" spans="1:15" ht="13" x14ac:dyDescent="0.15">
      <c r="A663" s="79"/>
      <c r="B663" s="79"/>
      <c r="K663" s="79"/>
      <c r="L663" s="79"/>
      <c r="O663" s="56"/>
    </row>
    <row r="664" spans="1:15" ht="13" x14ac:dyDescent="0.15">
      <c r="A664" s="79"/>
      <c r="B664" s="79"/>
      <c r="K664" s="79"/>
      <c r="L664" s="79"/>
      <c r="O664" s="56"/>
    </row>
    <row r="665" spans="1:15" ht="13" x14ac:dyDescent="0.15">
      <c r="A665" s="79"/>
      <c r="B665" s="79"/>
      <c r="K665" s="79"/>
      <c r="L665" s="79"/>
      <c r="O665" s="56"/>
    </row>
    <row r="666" spans="1:15" ht="13" x14ac:dyDescent="0.15">
      <c r="A666" s="79"/>
      <c r="B666" s="79"/>
      <c r="K666" s="79"/>
      <c r="L666" s="79"/>
      <c r="O666" s="56"/>
    </row>
    <row r="667" spans="1:15" ht="13" x14ac:dyDescent="0.15">
      <c r="A667" s="79"/>
      <c r="B667" s="79"/>
      <c r="K667" s="79"/>
      <c r="L667" s="79"/>
      <c r="O667" s="56"/>
    </row>
    <row r="668" spans="1:15" ht="13" x14ac:dyDescent="0.15">
      <c r="A668" s="79"/>
      <c r="B668" s="79"/>
      <c r="K668" s="79"/>
      <c r="L668" s="79"/>
      <c r="O668" s="56"/>
    </row>
    <row r="669" spans="1:15" ht="13" x14ac:dyDescent="0.15">
      <c r="A669" s="79"/>
      <c r="B669" s="79"/>
      <c r="K669" s="79"/>
      <c r="L669" s="79"/>
      <c r="O669" s="56"/>
    </row>
    <row r="670" spans="1:15" ht="13" x14ac:dyDescent="0.15">
      <c r="A670" s="79"/>
      <c r="B670" s="79"/>
      <c r="K670" s="79"/>
      <c r="L670" s="79"/>
      <c r="O670" s="56"/>
    </row>
    <row r="671" spans="1:15" ht="13" x14ac:dyDescent="0.15">
      <c r="A671" s="79"/>
      <c r="B671" s="79"/>
      <c r="K671" s="79"/>
      <c r="L671" s="79"/>
      <c r="O671" s="56"/>
    </row>
    <row r="672" spans="1:15" ht="13" x14ac:dyDescent="0.15">
      <c r="A672" s="79"/>
      <c r="B672" s="79"/>
      <c r="K672" s="79"/>
      <c r="L672" s="79"/>
      <c r="O672" s="56"/>
    </row>
    <row r="673" spans="1:15" ht="13" x14ac:dyDescent="0.15">
      <c r="A673" s="79"/>
      <c r="B673" s="79"/>
      <c r="K673" s="79"/>
      <c r="L673" s="79"/>
      <c r="O673" s="56"/>
    </row>
    <row r="674" spans="1:15" ht="13" x14ac:dyDescent="0.15">
      <c r="A674" s="79"/>
      <c r="B674" s="79"/>
      <c r="K674" s="79"/>
      <c r="L674" s="79"/>
      <c r="O674" s="56"/>
    </row>
    <row r="675" spans="1:15" ht="13" x14ac:dyDescent="0.15">
      <c r="A675" s="79"/>
      <c r="B675" s="79"/>
      <c r="K675" s="79"/>
      <c r="L675" s="79"/>
      <c r="O675" s="56"/>
    </row>
    <row r="676" spans="1:15" ht="13" x14ac:dyDescent="0.15">
      <c r="A676" s="79"/>
      <c r="B676" s="79"/>
      <c r="K676" s="79"/>
      <c r="L676" s="79"/>
      <c r="O676" s="56"/>
    </row>
    <row r="677" spans="1:15" ht="13" x14ac:dyDescent="0.15">
      <c r="A677" s="79"/>
      <c r="B677" s="79"/>
      <c r="K677" s="79"/>
      <c r="L677" s="79"/>
      <c r="O677" s="56"/>
    </row>
    <row r="678" spans="1:15" ht="13" x14ac:dyDescent="0.15">
      <c r="A678" s="79"/>
      <c r="B678" s="79"/>
      <c r="K678" s="79"/>
      <c r="L678" s="79"/>
      <c r="O678" s="56"/>
    </row>
    <row r="679" spans="1:15" ht="13" x14ac:dyDescent="0.15">
      <c r="A679" s="79"/>
      <c r="B679" s="79"/>
      <c r="K679" s="79"/>
      <c r="L679" s="79"/>
      <c r="O679" s="56"/>
    </row>
    <row r="680" spans="1:15" ht="13" x14ac:dyDescent="0.15">
      <c r="A680" s="79"/>
      <c r="B680" s="79"/>
      <c r="K680" s="79"/>
      <c r="L680" s="79"/>
      <c r="O680" s="56"/>
    </row>
    <row r="681" spans="1:15" ht="13" x14ac:dyDescent="0.15">
      <c r="A681" s="79"/>
      <c r="B681" s="79"/>
      <c r="K681" s="79"/>
      <c r="L681" s="79"/>
      <c r="O681" s="56"/>
    </row>
    <row r="682" spans="1:15" ht="13" x14ac:dyDescent="0.15">
      <c r="A682" s="79"/>
      <c r="B682" s="79"/>
      <c r="K682" s="79"/>
      <c r="L682" s="79"/>
      <c r="O682" s="56"/>
    </row>
    <row r="683" spans="1:15" ht="13" x14ac:dyDescent="0.15">
      <c r="A683" s="79"/>
      <c r="B683" s="79"/>
      <c r="K683" s="79"/>
      <c r="L683" s="79"/>
      <c r="O683" s="56"/>
    </row>
    <row r="684" spans="1:15" ht="13" x14ac:dyDescent="0.15">
      <c r="A684" s="79"/>
      <c r="B684" s="79"/>
      <c r="K684" s="79"/>
      <c r="L684" s="79"/>
      <c r="O684" s="56"/>
    </row>
    <row r="685" spans="1:15" ht="13" x14ac:dyDescent="0.15">
      <c r="A685" s="79"/>
      <c r="B685" s="79"/>
      <c r="K685" s="79"/>
      <c r="L685" s="79"/>
      <c r="O685" s="56"/>
    </row>
    <row r="686" spans="1:15" ht="13" x14ac:dyDescent="0.15">
      <c r="A686" s="79"/>
      <c r="B686" s="79"/>
      <c r="K686" s="79"/>
      <c r="L686" s="79"/>
      <c r="O686" s="56"/>
    </row>
    <row r="687" spans="1:15" ht="13" x14ac:dyDescent="0.15">
      <c r="A687" s="79"/>
      <c r="B687" s="79"/>
      <c r="K687" s="79"/>
      <c r="L687" s="79"/>
      <c r="O687" s="56"/>
    </row>
    <row r="688" spans="1:15" ht="13" x14ac:dyDescent="0.15">
      <c r="A688" s="79"/>
      <c r="B688" s="79"/>
      <c r="K688" s="79"/>
      <c r="L688" s="79"/>
      <c r="O688" s="56"/>
    </row>
    <row r="689" spans="1:15" ht="13" x14ac:dyDescent="0.15">
      <c r="A689" s="79"/>
      <c r="B689" s="79"/>
      <c r="K689" s="79"/>
      <c r="L689" s="79"/>
      <c r="O689" s="56"/>
    </row>
    <row r="690" spans="1:15" ht="13" x14ac:dyDescent="0.15">
      <c r="A690" s="79"/>
      <c r="B690" s="79"/>
      <c r="K690" s="79"/>
      <c r="L690" s="79"/>
      <c r="O690" s="56"/>
    </row>
    <row r="691" spans="1:15" ht="13" x14ac:dyDescent="0.15">
      <c r="A691" s="79"/>
      <c r="B691" s="79"/>
      <c r="K691" s="79"/>
      <c r="L691" s="79"/>
      <c r="O691" s="56"/>
    </row>
    <row r="692" spans="1:15" ht="13" x14ac:dyDescent="0.15">
      <c r="A692" s="79"/>
      <c r="B692" s="79"/>
      <c r="K692" s="79"/>
      <c r="L692" s="79"/>
      <c r="O692" s="56"/>
    </row>
    <row r="693" spans="1:15" ht="13" x14ac:dyDescent="0.15">
      <c r="A693" s="79"/>
      <c r="B693" s="79"/>
      <c r="K693" s="79"/>
      <c r="L693" s="79"/>
      <c r="O693" s="56"/>
    </row>
    <row r="694" spans="1:15" ht="13" x14ac:dyDescent="0.15">
      <c r="A694" s="79"/>
      <c r="B694" s="79"/>
      <c r="K694" s="79"/>
      <c r="L694" s="79"/>
      <c r="O694" s="56"/>
    </row>
    <row r="695" spans="1:15" ht="13" x14ac:dyDescent="0.15">
      <c r="A695" s="79"/>
      <c r="B695" s="79"/>
      <c r="K695" s="79"/>
      <c r="L695" s="79"/>
      <c r="O695" s="56"/>
    </row>
    <row r="696" spans="1:15" ht="13" x14ac:dyDescent="0.15">
      <c r="A696" s="79"/>
      <c r="B696" s="79"/>
      <c r="K696" s="79"/>
      <c r="L696" s="79"/>
      <c r="O696" s="56"/>
    </row>
    <row r="697" spans="1:15" ht="13" x14ac:dyDescent="0.15">
      <c r="A697" s="79"/>
      <c r="B697" s="79"/>
      <c r="K697" s="79"/>
      <c r="L697" s="79"/>
      <c r="O697" s="56"/>
    </row>
    <row r="698" spans="1:15" ht="13" x14ac:dyDescent="0.15">
      <c r="A698" s="79"/>
      <c r="B698" s="79"/>
      <c r="K698" s="79"/>
      <c r="L698" s="79"/>
      <c r="O698" s="56"/>
    </row>
    <row r="699" spans="1:15" ht="13" x14ac:dyDescent="0.15">
      <c r="A699" s="79"/>
      <c r="B699" s="79"/>
      <c r="K699" s="79"/>
      <c r="L699" s="79"/>
      <c r="O699" s="56"/>
    </row>
    <row r="700" spans="1:15" ht="13" x14ac:dyDescent="0.15">
      <c r="A700" s="79"/>
      <c r="B700" s="79"/>
      <c r="K700" s="79"/>
      <c r="L700" s="79"/>
      <c r="O700" s="56"/>
    </row>
    <row r="701" spans="1:15" ht="13" x14ac:dyDescent="0.15">
      <c r="A701" s="79"/>
      <c r="B701" s="79"/>
      <c r="K701" s="79"/>
      <c r="L701" s="79"/>
      <c r="O701" s="56"/>
    </row>
    <row r="702" spans="1:15" ht="13" x14ac:dyDescent="0.15">
      <c r="A702" s="79"/>
      <c r="B702" s="79"/>
      <c r="K702" s="79"/>
      <c r="L702" s="79"/>
      <c r="O702" s="56"/>
    </row>
    <row r="703" spans="1:15" ht="13" x14ac:dyDescent="0.15">
      <c r="A703" s="79"/>
      <c r="B703" s="79"/>
      <c r="K703" s="79"/>
      <c r="L703" s="79"/>
      <c r="O703" s="56"/>
    </row>
    <row r="704" spans="1:15" ht="13" x14ac:dyDescent="0.15">
      <c r="A704" s="79"/>
      <c r="B704" s="79"/>
      <c r="K704" s="79"/>
      <c r="L704" s="79"/>
      <c r="O704" s="56"/>
    </row>
    <row r="705" spans="1:15" ht="13" x14ac:dyDescent="0.15">
      <c r="A705" s="79"/>
      <c r="B705" s="79"/>
      <c r="K705" s="79"/>
      <c r="L705" s="79"/>
      <c r="O705" s="56"/>
    </row>
    <row r="706" spans="1:15" ht="13" x14ac:dyDescent="0.15">
      <c r="A706" s="79"/>
      <c r="B706" s="79"/>
      <c r="K706" s="79"/>
      <c r="L706" s="79"/>
      <c r="O706" s="56"/>
    </row>
    <row r="707" spans="1:15" ht="13" x14ac:dyDescent="0.15">
      <c r="A707" s="79"/>
      <c r="B707" s="79"/>
      <c r="K707" s="79"/>
      <c r="L707" s="79"/>
      <c r="O707" s="56"/>
    </row>
    <row r="708" spans="1:15" ht="13" x14ac:dyDescent="0.15">
      <c r="A708" s="79"/>
      <c r="B708" s="79"/>
      <c r="K708" s="79"/>
      <c r="L708" s="79"/>
      <c r="O708" s="56"/>
    </row>
    <row r="709" spans="1:15" ht="13" x14ac:dyDescent="0.15">
      <c r="A709" s="79"/>
      <c r="B709" s="79"/>
      <c r="K709" s="79"/>
      <c r="L709" s="79"/>
      <c r="O709" s="56"/>
    </row>
    <row r="710" spans="1:15" ht="13" x14ac:dyDescent="0.15">
      <c r="A710" s="79"/>
      <c r="B710" s="79"/>
      <c r="K710" s="79"/>
      <c r="L710" s="79"/>
      <c r="O710" s="56"/>
    </row>
    <row r="711" spans="1:15" ht="13" x14ac:dyDescent="0.15">
      <c r="A711" s="79"/>
      <c r="B711" s="79"/>
      <c r="K711" s="79"/>
      <c r="L711" s="79"/>
      <c r="O711" s="56"/>
    </row>
    <row r="712" spans="1:15" ht="13" x14ac:dyDescent="0.15">
      <c r="A712" s="79"/>
      <c r="B712" s="79"/>
      <c r="K712" s="79"/>
      <c r="L712" s="79"/>
      <c r="O712" s="56"/>
    </row>
    <row r="713" spans="1:15" ht="13" x14ac:dyDescent="0.15">
      <c r="A713" s="79"/>
      <c r="B713" s="79"/>
      <c r="K713" s="79"/>
      <c r="L713" s="79"/>
      <c r="O713" s="56"/>
    </row>
    <row r="714" spans="1:15" ht="13" x14ac:dyDescent="0.15">
      <c r="A714" s="79"/>
      <c r="B714" s="79"/>
      <c r="K714" s="79"/>
      <c r="L714" s="79"/>
      <c r="O714" s="56"/>
    </row>
    <row r="715" spans="1:15" ht="13" x14ac:dyDescent="0.15">
      <c r="A715" s="79"/>
      <c r="B715" s="79"/>
      <c r="K715" s="79"/>
      <c r="L715" s="79"/>
      <c r="O715" s="56"/>
    </row>
    <row r="716" spans="1:15" ht="13" x14ac:dyDescent="0.15">
      <c r="A716" s="79"/>
      <c r="B716" s="79"/>
      <c r="K716" s="79"/>
      <c r="L716" s="79"/>
      <c r="O716" s="56"/>
    </row>
    <row r="717" spans="1:15" ht="13" x14ac:dyDescent="0.15">
      <c r="A717" s="79"/>
      <c r="B717" s="79"/>
      <c r="K717" s="79"/>
      <c r="L717" s="79"/>
      <c r="O717" s="56"/>
    </row>
    <row r="718" spans="1:15" ht="13" x14ac:dyDescent="0.15">
      <c r="A718" s="79"/>
      <c r="B718" s="79"/>
      <c r="K718" s="79"/>
      <c r="L718" s="79"/>
      <c r="O718" s="56"/>
    </row>
    <row r="719" spans="1:15" ht="13" x14ac:dyDescent="0.15">
      <c r="A719" s="79"/>
      <c r="B719" s="79"/>
      <c r="K719" s="79"/>
      <c r="L719" s="79"/>
      <c r="O719" s="56"/>
    </row>
    <row r="720" spans="1:15" ht="13" x14ac:dyDescent="0.15">
      <c r="A720" s="79"/>
      <c r="B720" s="79"/>
      <c r="K720" s="79"/>
      <c r="L720" s="79"/>
      <c r="O720" s="56"/>
    </row>
    <row r="721" spans="1:15" ht="13" x14ac:dyDescent="0.15">
      <c r="A721" s="79"/>
      <c r="B721" s="79"/>
      <c r="K721" s="79"/>
      <c r="L721" s="79"/>
      <c r="O721" s="56"/>
    </row>
    <row r="722" spans="1:15" ht="13" x14ac:dyDescent="0.15">
      <c r="A722" s="79"/>
      <c r="B722" s="79"/>
      <c r="K722" s="79"/>
      <c r="L722" s="79"/>
      <c r="O722" s="56"/>
    </row>
    <row r="723" spans="1:15" ht="13" x14ac:dyDescent="0.15">
      <c r="A723" s="79"/>
      <c r="B723" s="79"/>
      <c r="K723" s="79"/>
      <c r="L723" s="79"/>
      <c r="O723" s="56"/>
    </row>
    <row r="724" spans="1:15" ht="13" x14ac:dyDescent="0.15">
      <c r="A724" s="79"/>
      <c r="B724" s="79"/>
      <c r="K724" s="79"/>
      <c r="L724" s="79"/>
      <c r="O724" s="56"/>
    </row>
    <row r="725" spans="1:15" ht="13" x14ac:dyDescent="0.15">
      <c r="A725" s="79"/>
      <c r="B725" s="79"/>
      <c r="K725" s="79"/>
      <c r="L725" s="79"/>
      <c r="O725" s="56"/>
    </row>
    <row r="726" spans="1:15" ht="13" x14ac:dyDescent="0.15">
      <c r="A726" s="79"/>
      <c r="B726" s="79"/>
      <c r="K726" s="79"/>
      <c r="L726" s="79"/>
      <c r="O726" s="56"/>
    </row>
    <row r="727" spans="1:15" ht="13" x14ac:dyDescent="0.15">
      <c r="A727" s="79"/>
      <c r="B727" s="79"/>
      <c r="K727" s="79"/>
      <c r="L727" s="79"/>
      <c r="O727" s="56"/>
    </row>
    <row r="728" spans="1:15" ht="13" x14ac:dyDescent="0.15">
      <c r="A728" s="79"/>
      <c r="B728" s="79"/>
      <c r="K728" s="79"/>
      <c r="L728" s="79"/>
      <c r="O728" s="56"/>
    </row>
    <row r="729" spans="1:15" ht="13" x14ac:dyDescent="0.15">
      <c r="A729" s="79"/>
      <c r="B729" s="79"/>
      <c r="K729" s="79"/>
      <c r="L729" s="79"/>
      <c r="O729" s="56"/>
    </row>
    <row r="730" spans="1:15" ht="13" x14ac:dyDescent="0.15">
      <c r="A730" s="79"/>
      <c r="B730" s="79"/>
      <c r="K730" s="79"/>
      <c r="L730" s="79"/>
      <c r="O730" s="56"/>
    </row>
    <row r="731" spans="1:15" ht="13" x14ac:dyDescent="0.15">
      <c r="A731" s="79"/>
      <c r="B731" s="79"/>
      <c r="K731" s="79"/>
      <c r="L731" s="79"/>
      <c r="O731" s="56"/>
    </row>
    <row r="732" spans="1:15" ht="13" x14ac:dyDescent="0.15">
      <c r="A732" s="79"/>
      <c r="B732" s="79"/>
      <c r="K732" s="79"/>
      <c r="L732" s="79"/>
      <c r="O732" s="56"/>
    </row>
    <row r="733" spans="1:15" ht="13" x14ac:dyDescent="0.15">
      <c r="A733" s="79"/>
      <c r="B733" s="79"/>
      <c r="K733" s="79"/>
      <c r="L733" s="79"/>
      <c r="O733" s="56"/>
    </row>
    <row r="734" spans="1:15" ht="13" x14ac:dyDescent="0.15">
      <c r="A734" s="79"/>
      <c r="B734" s="79"/>
      <c r="K734" s="79"/>
      <c r="L734" s="79"/>
      <c r="O734" s="56"/>
    </row>
    <row r="735" spans="1:15" ht="13" x14ac:dyDescent="0.15">
      <c r="A735" s="79"/>
      <c r="B735" s="79"/>
      <c r="K735" s="79"/>
      <c r="L735" s="79"/>
      <c r="O735" s="56"/>
    </row>
    <row r="736" spans="1:15" ht="13" x14ac:dyDescent="0.15">
      <c r="A736" s="79"/>
      <c r="B736" s="79"/>
      <c r="K736" s="79"/>
      <c r="L736" s="79"/>
      <c r="O736" s="56"/>
    </row>
    <row r="737" spans="1:15" ht="13" x14ac:dyDescent="0.15">
      <c r="A737" s="79"/>
      <c r="B737" s="79"/>
      <c r="K737" s="79"/>
      <c r="L737" s="79"/>
      <c r="O737" s="56"/>
    </row>
    <row r="738" spans="1:15" ht="13" x14ac:dyDescent="0.15">
      <c r="A738" s="79"/>
      <c r="B738" s="79"/>
      <c r="K738" s="79"/>
      <c r="L738" s="79"/>
      <c r="O738" s="56"/>
    </row>
    <row r="739" spans="1:15" ht="13" x14ac:dyDescent="0.15">
      <c r="A739" s="79"/>
      <c r="B739" s="79"/>
      <c r="K739" s="79"/>
      <c r="L739" s="79"/>
      <c r="O739" s="56"/>
    </row>
    <row r="740" spans="1:15" ht="13" x14ac:dyDescent="0.15">
      <c r="A740" s="79"/>
      <c r="B740" s="79"/>
      <c r="K740" s="79"/>
      <c r="L740" s="79"/>
      <c r="O740" s="56"/>
    </row>
    <row r="741" spans="1:15" ht="13" x14ac:dyDescent="0.15">
      <c r="A741" s="79"/>
      <c r="B741" s="79"/>
      <c r="K741" s="79"/>
      <c r="L741" s="79"/>
      <c r="O741" s="56"/>
    </row>
    <row r="742" spans="1:15" ht="13" x14ac:dyDescent="0.15">
      <c r="A742" s="79"/>
      <c r="B742" s="79"/>
      <c r="K742" s="79"/>
      <c r="L742" s="79"/>
      <c r="O742" s="56"/>
    </row>
    <row r="743" spans="1:15" ht="13" x14ac:dyDescent="0.15">
      <c r="A743" s="79"/>
      <c r="B743" s="79"/>
      <c r="K743" s="79"/>
      <c r="L743" s="79"/>
      <c r="O743" s="56"/>
    </row>
    <row r="744" spans="1:15" ht="13" x14ac:dyDescent="0.15">
      <c r="A744" s="79"/>
      <c r="B744" s="79"/>
      <c r="K744" s="79"/>
      <c r="L744" s="79"/>
      <c r="O744" s="56"/>
    </row>
    <row r="745" spans="1:15" ht="13" x14ac:dyDescent="0.15">
      <c r="A745" s="79"/>
      <c r="B745" s="79"/>
      <c r="K745" s="79"/>
      <c r="L745" s="79"/>
      <c r="O745" s="56"/>
    </row>
    <row r="746" spans="1:15" ht="13" x14ac:dyDescent="0.15">
      <c r="A746" s="79"/>
      <c r="B746" s="79"/>
      <c r="K746" s="79"/>
      <c r="L746" s="79"/>
      <c r="O746" s="56"/>
    </row>
    <row r="747" spans="1:15" ht="13" x14ac:dyDescent="0.15">
      <c r="A747" s="79"/>
      <c r="B747" s="79"/>
      <c r="K747" s="79"/>
      <c r="L747" s="79"/>
      <c r="O747" s="56"/>
    </row>
    <row r="748" spans="1:15" ht="13" x14ac:dyDescent="0.15">
      <c r="A748" s="79"/>
      <c r="B748" s="79"/>
      <c r="K748" s="79"/>
      <c r="L748" s="79"/>
      <c r="O748" s="56"/>
    </row>
    <row r="749" spans="1:15" ht="13" x14ac:dyDescent="0.15">
      <c r="A749" s="79"/>
      <c r="B749" s="79"/>
      <c r="K749" s="79"/>
      <c r="L749" s="79"/>
      <c r="O749" s="56"/>
    </row>
    <row r="750" spans="1:15" ht="13" x14ac:dyDescent="0.15">
      <c r="A750" s="79"/>
      <c r="B750" s="79"/>
      <c r="K750" s="79"/>
      <c r="L750" s="79"/>
      <c r="O750" s="56"/>
    </row>
    <row r="751" spans="1:15" ht="13" x14ac:dyDescent="0.15">
      <c r="A751" s="79"/>
      <c r="B751" s="79"/>
      <c r="K751" s="79"/>
      <c r="L751" s="79"/>
      <c r="O751" s="56"/>
    </row>
    <row r="752" spans="1:15" ht="13" x14ac:dyDescent="0.15">
      <c r="A752" s="79"/>
      <c r="B752" s="79"/>
      <c r="K752" s="79"/>
      <c r="L752" s="79"/>
      <c r="O752" s="56"/>
    </row>
    <row r="753" spans="1:15" ht="13" x14ac:dyDescent="0.15">
      <c r="A753" s="79"/>
      <c r="B753" s="79"/>
      <c r="K753" s="79"/>
      <c r="L753" s="79"/>
      <c r="O753" s="56"/>
    </row>
    <row r="754" spans="1:15" ht="13" x14ac:dyDescent="0.15">
      <c r="A754" s="79"/>
      <c r="B754" s="79"/>
      <c r="K754" s="79"/>
      <c r="L754" s="79"/>
      <c r="O754" s="56"/>
    </row>
    <row r="755" spans="1:15" ht="13" x14ac:dyDescent="0.15">
      <c r="A755" s="79"/>
      <c r="B755" s="79"/>
      <c r="K755" s="79"/>
      <c r="L755" s="79"/>
      <c r="O755" s="56"/>
    </row>
    <row r="756" spans="1:15" ht="13" x14ac:dyDescent="0.15">
      <c r="A756" s="79"/>
      <c r="B756" s="79"/>
      <c r="K756" s="79"/>
      <c r="L756" s="79"/>
      <c r="O756" s="56"/>
    </row>
    <row r="757" spans="1:15" ht="13" x14ac:dyDescent="0.15">
      <c r="A757" s="79"/>
      <c r="B757" s="79"/>
      <c r="K757" s="79"/>
      <c r="L757" s="79"/>
      <c r="O757" s="56"/>
    </row>
    <row r="758" spans="1:15" ht="13" x14ac:dyDescent="0.15">
      <c r="A758" s="79"/>
      <c r="B758" s="79"/>
      <c r="K758" s="79"/>
      <c r="L758" s="79"/>
      <c r="O758" s="56"/>
    </row>
    <row r="759" spans="1:15" ht="13" x14ac:dyDescent="0.15">
      <c r="A759" s="79"/>
      <c r="B759" s="79"/>
      <c r="K759" s="79"/>
      <c r="L759" s="79"/>
      <c r="O759" s="56"/>
    </row>
    <row r="760" spans="1:15" ht="13" x14ac:dyDescent="0.15">
      <c r="A760" s="79"/>
      <c r="B760" s="79"/>
      <c r="K760" s="79"/>
      <c r="L760" s="79"/>
      <c r="O760" s="56"/>
    </row>
    <row r="761" spans="1:15" ht="13" x14ac:dyDescent="0.15">
      <c r="A761" s="79"/>
      <c r="B761" s="79"/>
      <c r="K761" s="79"/>
      <c r="L761" s="79"/>
      <c r="O761" s="56"/>
    </row>
    <row r="762" spans="1:15" ht="13" x14ac:dyDescent="0.15">
      <c r="A762" s="79"/>
      <c r="B762" s="79"/>
      <c r="K762" s="79"/>
      <c r="L762" s="79"/>
      <c r="O762" s="56"/>
    </row>
    <row r="763" spans="1:15" ht="13" x14ac:dyDescent="0.15">
      <c r="A763" s="79"/>
      <c r="B763" s="79"/>
      <c r="K763" s="79"/>
      <c r="L763" s="79"/>
      <c r="O763" s="56"/>
    </row>
    <row r="764" spans="1:15" ht="13" x14ac:dyDescent="0.15">
      <c r="A764" s="79"/>
      <c r="B764" s="79"/>
      <c r="K764" s="79"/>
      <c r="L764" s="79"/>
      <c r="O764" s="56"/>
    </row>
    <row r="765" spans="1:15" ht="13" x14ac:dyDescent="0.15">
      <c r="A765" s="79"/>
      <c r="B765" s="79"/>
      <c r="K765" s="79"/>
      <c r="L765" s="79"/>
      <c r="O765" s="56"/>
    </row>
    <row r="766" spans="1:15" ht="13" x14ac:dyDescent="0.15">
      <c r="A766" s="79"/>
      <c r="B766" s="79"/>
      <c r="K766" s="79"/>
      <c r="L766" s="79"/>
      <c r="O766" s="56"/>
    </row>
    <row r="767" spans="1:15" ht="13" x14ac:dyDescent="0.15">
      <c r="A767" s="79"/>
      <c r="B767" s="79"/>
      <c r="K767" s="79"/>
      <c r="L767" s="79"/>
      <c r="O767" s="56"/>
    </row>
    <row r="768" spans="1:15" ht="13" x14ac:dyDescent="0.15">
      <c r="A768" s="79"/>
      <c r="B768" s="79"/>
      <c r="K768" s="79"/>
      <c r="L768" s="79"/>
      <c r="O768" s="56"/>
    </row>
    <row r="769" spans="1:15" ht="13" x14ac:dyDescent="0.15">
      <c r="A769" s="79"/>
      <c r="B769" s="79"/>
      <c r="K769" s="79"/>
      <c r="L769" s="79"/>
      <c r="O769" s="56"/>
    </row>
    <row r="770" spans="1:15" ht="13" x14ac:dyDescent="0.15">
      <c r="A770" s="79"/>
      <c r="B770" s="79"/>
      <c r="K770" s="79"/>
      <c r="L770" s="79"/>
      <c r="O770" s="56"/>
    </row>
    <row r="771" spans="1:15" ht="13" x14ac:dyDescent="0.15">
      <c r="A771" s="79"/>
      <c r="B771" s="79"/>
      <c r="K771" s="79"/>
      <c r="L771" s="79"/>
      <c r="O771" s="56"/>
    </row>
    <row r="772" spans="1:15" ht="13" x14ac:dyDescent="0.15">
      <c r="A772" s="79"/>
      <c r="B772" s="79"/>
      <c r="K772" s="79"/>
      <c r="L772" s="79"/>
      <c r="O772" s="56"/>
    </row>
    <row r="773" spans="1:15" ht="13" x14ac:dyDescent="0.15">
      <c r="A773" s="79"/>
      <c r="B773" s="79"/>
      <c r="K773" s="79"/>
      <c r="L773" s="79"/>
      <c r="O773" s="56"/>
    </row>
    <row r="774" spans="1:15" ht="13" x14ac:dyDescent="0.15">
      <c r="A774" s="79"/>
      <c r="B774" s="79"/>
      <c r="K774" s="79"/>
      <c r="L774" s="79"/>
      <c r="O774" s="56"/>
    </row>
    <row r="775" spans="1:15" ht="13" x14ac:dyDescent="0.15">
      <c r="A775" s="79"/>
      <c r="B775" s="79"/>
      <c r="K775" s="79"/>
      <c r="L775" s="79"/>
      <c r="O775" s="56"/>
    </row>
    <row r="776" spans="1:15" ht="13" x14ac:dyDescent="0.15">
      <c r="A776" s="79"/>
      <c r="B776" s="79"/>
      <c r="K776" s="79"/>
      <c r="L776" s="79"/>
      <c r="O776" s="56"/>
    </row>
    <row r="777" spans="1:15" ht="13" x14ac:dyDescent="0.15">
      <c r="A777" s="79"/>
      <c r="B777" s="79"/>
      <c r="K777" s="79"/>
      <c r="L777" s="79"/>
      <c r="O777" s="56"/>
    </row>
    <row r="778" spans="1:15" ht="13" x14ac:dyDescent="0.15">
      <c r="A778" s="79"/>
      <c r="B778" s="79"/>
      <c r="K778" s="79"/>
      <c r="L778" s="79"/>
      <c r="O778" s="56"/>
    </row>
    <row r="779" spans="1:15" ht="13" x14ac:dyDescent="0.15">
      <c r="A779" s="79"/>
      <c r="B779" s="79"/>
      <c r="K779" s="79"/>
      <c r="L779" s="79"/>
      <c r="O779" s="56"/>
    </row>
    <row r="780" spans="1:15" ht="13" x14ac:dyDescent="0.15">
      <c r="A780" s="79"/>
      <c r="B780" s="79"/>
      <c r="K780" s="79"/>
      <c r="L780" s="79"/>
      <c r="O780" s="56"/>
    </row>
    <row r="781" spans="1:15" ht="13" x14ac:dyDescent="0.15">
      <c r="A781" s="79"/>
      <c r="B781" s="79"/>
      <c r="K781" s="79"/>
      <c r="L781" s="79"/>
      <c r="O781" s="56"/>
    </row>
    <row r="782" spans="1:15" ht="13" x14ac:dyDescent="0.15">
      <c r="A782" s="79"/>
      <c r="B782" s="79"/>
      <c r="K782" s="79"/>
      <c r="L782" s="79"/>
      <c r="O782" s="56"/>
    </row>
    <row r="783" spans="1:15" ht="13" x14ac:dyDescent="0.15">
      <c r="A783" s="79"/>
      <c r="B783" s="79"/>
      <c r="K783" s="79"/>
      <c r="L783" s="79"/>
      <c r="O783" s="56"/>
    </row>
    <row r="784" spans="1:15" ht="13" x14ac:dyDescent="0.15">
      <c r="A784" s="79"/>
      <c r="B784" s="79"/>
      <c r="K784" s="79"/>
      <c r="L784" s="79"/>
      <c r="O784" s="56"/>
    </row>
    <row r="785" spans="1:15" ht="13" x14ac:dyDescent="0.15">
      <c r="A785" s="79"/>
      <c r="B785" s="79"/>
      <c r="K785" s="79"/>
      <c r="L785" s="79"/>
      <c r="O785" s="56"/>
    </row>
    <row r="786" spans="1:15" ht="13" x14ac:dyDescent="0.15">
      <c r="A786" s="79"/>
      <c r="B786" s="79"/>
      <c r="K786" s="79"/>
      <c r="L786" s="79"/>
      <c r="O786" s="56"/>
    </row>
    <row r="787" spans="1:15" ht="13" x14ac:dyDescent="0.15">
      <c r="A787" s="79"/>
      <c r="B787" s="79"/>
      <c r="K787" s="79"/>
      <c r="L787" s="79"/>
      <c r="O787" s="56"/>
    </row>
    <row r="788" spans="1:15" ht="13" x14ac:dyDescent="0.15">
      <c r="A788" s="79"/>
      <c r="B788" s="79"/>
      <c r="K788" s="79"/>
      <c r="L788" s="79"/>
      <c r="O788" s="56"/>
    </row>
    <row r="789" spans="1:15" ht="13" x14ac:dyDescent="0.15">
      <c r="A789" s="79"/>
      <c r="B789" s="79"/>
      <c r="K789" s="79"/>
      <c r="L789" s="79"/>
      <c r="O789" s="56"/>
    </row>
    <row r="790" spans="1:15" ht="13" x14ac:dyDescent="0.15">
      <c r="A790" s="79"/>
      <c r="B790" s="79"/>
      <c r="K790" s="79"/>
      <c r="L790" s="79"/>
      <c r="O790" s="56"/>
    </row>
    <row r="791" spans="1:15" ht="13" x14ac:dyDescent="0.15">
      <c r="A791" s="79"/>
      <c r="B791" s="79"/>
      <c r="K791" s="79"/>
      <c r="L791" s="79"/>
      <c r="O791" s="56"/>
    </row>
    <row r="792" spans="1:15" ht="13" x14ac:dyDescent="0.15">
      <c r="A792" s="79"/>
      <c r="B792" s="79"/>
      <c r="K792" s="79"/>
      <c r="L792" s="79"/>
      <c r="O792" s="56"/>
    </row>
    <row r="793" spans="1:15" ht="13" x14ac:dyDescent="0.15">
      <c r="A793" s="79"/>
      <c r="B793" s="79"/>
      <c r="K793" s="79"/>
      <c r="L793" s="79"/>
      <c r="O793" s="56"/>
    </row>
    <row r="794" spans="1:15" ht="13" x14ac:dyDescent="0.15">
      <c r="A794" s="79"/>
      <c r="B794" s="79"/>
      <c r="K794" s="79"/>
      <c r="L794" s="79"/>
      <c r="O794" s="56"/>
    </row>
    <row r="795" spans="1:15" ht="13" x14ac:dyDescent="0.15">
      <c r="A795" s="79"/>
      <c r="B795" s="79"/>
      <c r="K795" s="79"/>
      <c r="L795" s="79"/>
      <c r="O795" s="56"/>
    </row>
    <row r="796" spans="1:15" ht="13" x14ac:dyDescent="0.15">
      <c r="A796" s="79"/>
      <c r="B796" s="79"/>
      <c r="K796" s="79"/>
      <c r="L796" s="79"/>
      <c r="O796" s="56"/>
    </row>
    <row r="797" spans="1:15" ht="13" x14ac:dyDescent="0.15">
      <c r="A797" s="79"/>
      <c r="B797" s="79"/>
      <c r="K797" s="79"/>
      <c r="L797" s="79"/>
      <c r="O797" s="56"/>
    </row>
    <row r="798" spans="1:15" ht="13" x14ac:dyDescent="0.15">
      <c r="A798" s="79"/>
      <c r="B798" s="79"/>
      <c r="K798" s="79"/>
      <c r="L798" s="79"/>
      <c r="O798" s="56"/>
    </row>
    <row r="799" spans="1:15" ht="13" x14ac:dyDescent="0.15">
      <c r="A799" s="79"/>
      <c r="B799" s="79"/>
      <c r="K799" s="79"/>
      <c r="L799" s="79"/>
      <c r="O799" s="56"/>
    </row>
    <row r="800" spans="1:15" ht="13" x14ac:dyDescent="0.15">
      <c r="A800" s="79"/>
      <c r="B800" s="79"/>
      <c r="K800" s="79"/>
      <c r="L800" s="79"/>
      <c r="O800" s="56"/>
    </row>
    <row r="801" spans="1:15" ht="13" x14ac:dyDescent="0.15">
      <c r="A801" s="79"/>
      <c r="B801" s="79"/>
      <c r="K801" s="79"/>
      <c r="L801" s="79"/>
      <c r="O801" s="56"/>
    </row>
    <row r="802" spans="1:15" ht="13" x14ac:dyDescent="0.15">
      <c r="A802" s="79"/>
      <c r="B802" s="79"/>
      <c r="K802" s="79"/>
      <c r="L802" s="79"/>
      <c r="O802" s="56"/>
    </row>
    <row r="803" spans="1:15" ht="13" x14ac:dyDescent="0.15">
      <c r="A803" s="79"/>
      <c r="B803" s="79"/>
      <c r="K803" s="79"/>
      <c r="L803" s="79"/>
      <c r="O803" s="56"/>
    </row>
    <row r="804" spans="1:15" ht="13" x14ac:dyDescent="0.15">
      <c r="A804" s="79"/>
      <c r="B804" s="79"/>
      <c r="K804" s="79"/>
      <c r="L804" s="79"/>
      <c r="O804" s="56"/>
    </row>
    <row r="805" spans="1:15" ht="13" x14ac:dyDescent="0.15">
      <c r="A805" s="79"/>
      <c r="B805" s="79"/>
      <c r="K805" s="79"/>
      <c r="L805" s="79"/>
      <c r="O805" s="56"/>
    </row>
    <row r="806" spans="1:15" ht="13" x14ac:dyDescent="0.15">
      <c r="A806" s="79"/>
      <c r="B806" s="79"/>
      <c r="K806" s="79"/>
      <c r="L806" s="79"/>
      <c r="O806" s="56"/>
    </row>
    <row r="807" spans="1:15" ht="13" x14ac:dyDescent="0.15">
      <c r="A807" s="79"/>
      <c r="B807" s="79"/>
      <c r="K807" s="79"/>
      <c r="L807" s="79"/>
      <c r="O807" s="56"/>
    </row>
    <row r="808" spans="1:15" ht="13" x14ac:dyDescent="0.15">
      <c r="A808" s="79"/>
      <c r="B808" s="79"/>
      <c r="K808" s="79"/>
      <c r="L808" s="79"/>
      <c r="O808" s="56"/>
    </row>
    <row r="809" spans="1:15" ht="13" x14ac:dyDescent="0.15">
      <c r="A809" s="79"/>
      <c r="B809" s="79"/>
      <c r="K809" s="79"/>
      <c r="L809" s="79"/>
      <c r="O809" s="56"/>
    </row>
    <row r="810" spans="1:15" ht="13" x14ac:dyDescent="0.15">
      <c r="A810" s="79"/>
      <c r="B810" s="79"/>
      <c r="K810" s="79"/>
      <c r="L810" s="79"/>
      <c r="O810" s="56"/>
    </row>
    <row r="811" spans="1:15" ht="13" x14ac:dyDescent="0.15">
      <c r="A811" s="79"/>
      <c r="B811" s="79"/>
      <c r="K811" s="79"/>
      <c r="L811" s="79"/>
      <c r="O811" s="56"/>
    </row>
    <row r="812" spans="1:15" ht="13" x14ac:dyDescent="0.15">
      <c r="A812" s="79"/>
      <c r="B812" s="79"/>
      <c r="K812" s="79"/>
      <c r="L812" s="79"/>
      <c r="O812" s="56"/>
    </row>
    <row r="813" spans="1:15" ht="13" x14ac:dyDescent="0.15">
      <c r="A813" s="79"/>
      <c r="B813" s="79"/>
      <c r="K813" s="79"/>
      <c r="L813" s="79"/>
      <c r="O813" s="56"/>
    </row>
    <row r="814" spans="1:15" ht="13" x14ac:dyDescent="0.15">
      <c r="A814" s="79"/>
      <c r="B814" s="79"/>
      <c r="K814" s="79"/>
      <c r="L814" s="79"/>
      <c r="O814" s="56"/>
    </row>
    <row r="815" spans="1:15" ht="13" x14ac:dyDescent="0.15">
      <c r="A815" s="79"/>
      <c r="B815" s="79"/>
      <c r="K815" s="79"/>
      <c r="L815" s="79"/>
      <c r="O815" s="56"/>
    </row>
    <row r="816" spans="1:15" ht="13" x14ac:dyDescent="0.15">
      <c r="A816" s="79"/>
      <c r="B816" s="79"/>
      <c r="K816" s="79"/>
      <c r="L816" s="79"/>
      <c r="O816" s="56"/>
    </row>
    <row r="817" spans="1:15" ht="13" x14ac:dyDescent="0.15">
      <c r="A817" s="79"/>
      <c r="B817" s="79"/>
      <c r="K817" s="79"/>
      <c r="L817" s="79"/>
      <c r="O817" s="56"/>
    </row>
    <row r="818" spans="1:15" ht="13" x14ac:dyDescent="0.15">
      <c r="A818" s="79"/>
      <c r="B818" s="79"/>
      <c r="K818" s="79"/>
      <c r="L818" s="79"/>
      <c r="O818" s="56"/>
    </row>
    <row r="819" spans="1:15" ht="13" x14ac:dyDescent="0.15">
      <c r="A819" s="79"/>
      <c r="B819" s="79"/>
      <c r="K819" s="79"/>
      <c r="L819" s="79"/>
      <c r="O819" s="56"/>
    </row>
    <row r="820" spans="1:15" ht="13" x14ac:dyDescent="0.15">
      <c r="A820" s="79"/>
      <c r="B820" s="79"/>
      <c r="K820" s="79"/>
      <c r="L820" s="79"/>
      <c r="O820" s="56"/>
    </row>
    <row r="821" spans="1:15" ht="13" x14ac:dyDescent="0.15">
      <c r="A821" s="79"/>
      <c r="B821" s="79"/>
      <c r="K821" s="79"/>
      <c r="L821" s="79"/>
      <c r="O821" s="56"/>
    </row>
    <row r="822" spans="1:15" ht="13" x14ac:dyDescent="0.15">
      <c r="A822" s="79"/>
      <c r="B822" s="79"/>
      <c r="K822" s="79"/>
      <c r="L822" s="79"/>
      <c r="O822" s="56"/>
    </row>
    <row r="823" spans="1:15" ht="13" x14ac:dyDescent="0.15">
      <c r="A823" s="79"/>
      <c r="B823" s="79"/>
      <c r="K823" s="79"/>
      <c r="L823" s="79"/>
      <c r="O823" s="56"/>
    </row>
    <row r="824" spans="1:15" ht="13" x14ac:dyDescent="0.15">
      <c r="A824" s="79"/>
      <c r="B824" s="79"/>
      <c r="K824" s="79"/>
      <c r="L824" s="79"/>
      <c r="O824" s="56"/>
    </row>
    <row r="825" spans="1:15" ht="13" x14ac:dyDescent="0.15">
      <c r="A825" s="79"/>
      <c r="B825" s="79"/>
      <c r="K825" s="79"/>
      <c r="L825" s="79"/>
      <c r="O825" s="56"/>
    </row>
    <row r="826" spans="1:15" ht="13" x14ac:dyDescent="0.15">
      <c r="A826" s="79"/>
      <c r="B826" s="79"/>
      <c r="K826" s="79"/>
      <c r="L826" s="79"/>
      <c r="O826" s="56"/>
    </row>
    <row r="827" spans="1:15" ht="13" x14ac:dyDescent="0.15">
      <c r="A827" s="79"/>
      <c r="B827" s="79"/>
      <c r="K827" s="79"/>
      <c r="L827" s="79"/>
      <c r="O827" s="56"/>
    </row>
    <row r="828" spans="1:15" ht="13" x14ac:dyDescent="0.15">
      <c r="A828" s="79"/>
      <c r="B828" s="79"/>
      <c r="K828" s="79"/>
      <c r="L828" s="79"/>
      <c r="O828" s="56"/>
    </row>
    <row r="829" spans="1:15" ht="13" x14ac:dyDescent="0.15">
      <c r="A829" s="79"/>
      <c r="B829" s="79"/>
      <c r="K829" s="79"/>
      <c r="L829" s="79"/>
      <c r="O829" s="56"/>
    </row>
    <row r="830" spans="1:15" ht="13" x14ac:dyDescent="0.15">
      <c r="A830" s="79"/>
      <c r="B830" s="79"/>
      <c r="K830" s="79"/>
      <c r="L830" s="79"/>
      <c r="O830" s="56"/>
    </row>
    <row r="831" spans="1:15" ht="13" x14ac:dyDescent="0.15">
      <c r="A831" s="79"/>
      <c r="B831" s="79"/>
      <c r="K831" s="79"/>
      <c r="L831" s="79"/>
      <c r="O831" s="56"/>
    </row>
    <row r="832" spans="1:15" ht="13" x14ac:dyDescent="0.15">
      <c r="A832" s="79"/>
      <c r="B832" s="79"/>
      <c r="K832" s="79"/>
      <c r="L832" s="79"/>
      <c r="O832" s="56"/>
    </row>
    <row r="833" spans="1:15" ht="13" x14ac:dyDescent="0.15">
      <c r="A833" s="79"/>
      <c r="B833" s="79"/>
      <c r="K833" s="79"/>
      <c r="L833" s="79"/>
      <c r="O833" s="56"/>
    </row>
    <row r="834" spans="1:15" ht="13" x14ac:dyDescent="0.15">
      <c r="A834" s="79"/>
      <c r="B834" s="79"/>
      <c r="K834" s="79"/>
      <c r="L834" s="79"/>
      <c r="O834" s="56"/>
    </row>
    <row r="835" spans="1:15" ht="13" x14ac:dyDescent="0.15">
      <c r="A835" s="79"/>
      <c r="B835" s="79"/>
      <c r="K835" s="79"/>
      <c r="L835" s="79"/>
      <c r="O835" s="56"/>
    </row>
    <row r="836" spans="1:15" ht="13" x14ac:dyDescent="0.15">
      <c r="A836" s="79"/>
      <c r="B836" s="79"/>
      <c r="K836" s="79"/>
      <c r="L836" s="79"/>
      <c r="O836" s="56"/>
    </row>
    <row r="837" spans="1:15" ht="13" x14ac:dyDescent="0.15">
      <c r="A837" s="79"/>
      <c r="B837" s="79"/>
      <c r="K837" s="79"/>
      <c r="L837" s="79"/>
      <c r="O837" s="56"/>
    </row>
    <row r="838" spans="1:15" ht="13" x14ac:dyDescent="0.15">
      <c r="A838" s="79"/>
      <c r="B838" s="79"/>
      <c r="K838" s="79"/>
      <c r="L838" s="79"/>
      <c r="O838" s="56"/>
    </row>
    <row r="839" spans="1:15" ht="13" x14ac:dyDescent="0.15">
      <c r="A839" s="79"/>
      <c r="B839" s="79"/>
      <c r="K839" s="79"/>
      <c r="L839" s="79"/>
      <c r="O839" s="56"/>
    </row>
    <row r="840" spans="1:15" ht="13" x14ac:dyDescent="0.15">
      <c r="A840" s="79"/>
      <c r="B840" s="79"/>
      <c r="K840" s="79"/>
      <c r="L840" s="79"/>
      <c r="O840" s="56"/>
    </row>
    <row r="841" spans="1:15" ht="13" x14ac:dyDescent="0.15">
      <c r="A841" s="79"/>
      <c r="B841" s="79"/>
      <c r="K841" s="79"/>
      <c r="L841" s="79"/>
      <c r="O841" s="56"/>
    </row>
    <row r="842" spans="1:15" ht="13" x14ac:dyDescent="0.15">
      <c r="A842" s="79"/>
      <c r="B842" s="79"/>
      <c r="K842" s="79"/>
      <c r="L842" s="79"/>
      <c r="O842" s="56"/>
    </row>
    <row r="843" spans="1:15" ht="13" x14ac:dyDescent="0.15">
      <c r="A843" s="79"/>
      <c r="B843" s="79"/>
      <c r="K843" s="79"/>
      <c r="L843" s="79"/>
      <c r="O843" s="56"/>
    </row>
    <row r="844" spans="1:15" ht="13" x14ac:dyDescent="0.15">
      <c r="A844" s="79"/>
      <c r="B844" s="79"/>
      <c r="K844" s="79"/>
      <c r="L844" s="79"/>
      <c r="O844" s="56"/>
    </row>
    <row r="845" spans="1:15" ht="13" x14ac:dyDescent="0.15">
      <c r="A845" s="79"/>
      <c r="B845" s="79"/>
      <c r="K845" s="79"/>
      <c r="L845" s="79"/>
      <c r="O845" s="56"/>
    </row>
    <row r="846" spans="1:15" ht="13" x14ac:dyDescent="0.15">
      <c r="A846" s="79"/>
      <c r="B846" s="79"/>
      <c r="K846" s="79"/>
      <c r="L846" s="79"/>
      <c r="O846" s="56"/>
    </row>
    <row r="847" spans="1:15" ht="13" x14ac:dyDescent="0.15">
      <c r="A847" s="79"/>
      <c r="B847" s="79"/>
      <c r="K847" s="79"/>
      <c r="L847" s="79"/>
      <c r="O847" s="56"/>
    </row>
    <row r="848" spans="1:15" ht="13" x14ac:dyDescent="0.15">
      <c r="A848" s="79"/>
      <c r="B848" s="79"/>
      <c r="K848" s="79"/>
      <c r="L848" s="79"/>
      <c r="O848" s="56"/>
    </row>
    <row r="849" spans="1:15" ht="13" x14ac:dyDescent="0.15">
      <c r="A849" s="79"/>
      <c r="B849" s="79"/>
      <c r="K849" s="79"/>
      <c r="L849" s="79"/>
      <c r="O849" s="56"/>
    </row>
    <row r="850" spans="1:15" ht="13" x14ac:dyDescent="0.15">
      <c r="A850" s="79"/>
      <c r="B850" s="79"/>
      <c r="K850" s="79"/>
      <c r="L850" s="79"/>
      <c r="O850" s="56"/>
    </row>
    <row r="851" spans="1:15" ht="13" x14ac:dyDescent="0.15">
      <c r="A851" s="79"/>
      <c r="B851" s="79"/>
      <c r="K851" s="79"/>
      <c r="L851" s="79"/>
      <c r="O851" s="56"/>
    </row>
    <row r="852" spans="1:15" ht="13" x14ac:dyDescent="0.15">
      <c r="A852" s="79"/>
      <c r="B852" s="79"/>
      <c r="K852" s="79"/>
      <c r="L852" s="79"/>
      <c r="O852" s="56"/>
    </row>
    <row r="853" spans="1:15" ht="13" x14ac:dyDescent="0.15">
      <c r="A853" s="79"/>
      <c r="B853" s="79"/>
      <c r="K853" s="79"/>
      <c r="L853" s="79"/>
      <c r="O853" s="56"/>
    </row>
    <row r="854" spans="1:15" ht="13" x14ac:dyDescent="0.15">
      <c r="A854" s="79"/>
      <c r="B854" s="79"/>
      <c r="K854" s="79"/>
      <c r="L854" s="79"/>
      <c r="O854" s="56"/>
    </row>
    <row r="855" spans="1:15" ht="13" x14ac:dyDescent="0.15">
      <c r="A855" s="79"/>
      <c r="B855" s="79"/>
      <c r="K855" s="79"/>
      <c r="L855" s="79"/>
      <c r="O855" s="56"/>
    </row>
    <row r="856" spans="1:15" ht="13" x14ac:dyDescent="0.15">
      <c r="A856" s="79"/>
      <c r="B856" s="79"/>
      <c r="K856" s="79"/>
      <c r="L856" s="79"/>
      <c r="O856" s="56"/>
    </row>
    <row r="857" spans="1:15" ht="13" x14ac:dyDescent="0.15">
      <c r="A857" s="79"/>
      <c r="B857" s="79"/>
      <c r="K857" s="79"/>
      <c r="L857" s="79"/>
      <c r="O857" s="56"/>
    </row>
    <row r="858" spans="1:15" ht="13" x14ac:dyDescent="0.15">
      <c r="A858" s="79"/>
      <c r="B858" s="79"/>
      <c r="K858" s="79"/>
      <c r="L858" s="79"/>
      <c r="O858" s="56"/>
    </row>
    <row r="859" spans="1:15" ht="13" x14ac:dyDescent="0.15">
      <c r="A859" s="79"/>
      <c r="B859" s="79"/>
      <c r="K859" s="79"/>
      <c r="L859" s="79"/>
      <c r="O859" s="56"/>
    </row>
    <row r="860" spans="1:15" ht="13" x14ac:dyDescent="0.15">
      <c r="A860" s="79"/>
      <c r="B860" s="79"/>
      <c r="K860" s="79"/>
      <c r="L860" s="79"/>
      <c r="O860" s="56"/>
    </row>
    <row r="861" spans="1:15" ht="13" x14ac:dyDescent="0.15">
      <c r="A861" s="79"/>
      <c r="B861" s="79"/>
      <c r="K861" s="79"/>
      <c r="L861" s="79"/>
      <c r="O861" s="56"/>
    </row>
    <row r="862" spans="1:15" ht="13" x14ac:dyDescent="0.15">
      <c r="A862" s="79"/>
      <c r="B862" s="79"/>
      <c r="K862" s="79"/>
      <c r="L862" s="79"/>
      <c r="O862" s="56"/>
    </row>
    <row r="863" spans="1:15" ht="13" x14ac:dyDescent="0.15">
      <c r="A863" s="79"/>
      <c r="B863" s="79"/>
      <c r="K863" s="79"/>
      <c r="L863" s="79"/>
      <c r="O863" s="56"/>
    </row>
    <row r="864" spans="1:15" ht="13" x14ac:dyDescent="0.15">
      <c r="A864" s="79"/>
      <c r="B864" s="79"/>
      <c r="K864" s="79"/>
      <c r="L864" s="79"/>
      <c r="O864" s="56"/>
    </row>
    <row r="865" spans="1:15" ht="13" x14ac:dyDescent="0.15">
      <c r="A865" s="79"/>
      <c r="B865" s="79"/>
      <c r="K865" s="79"/>
      <c r="L865" s="79"/>
      <c r="O865" s="56"/>
    </row>
    <row r="866" spans="1:15" ht="13" x14ac:dyDescent="0.15">
      <c r="A866" s="79"/>
      <c r="B866" s="79"/>
      <c r="K866" s="79"/>
      <c r="L866" s="79"/>
      <c r="O866" s="56"/>
    </row>
    <row r="867" spans="1:15" ht="13" x14ac:dyDescent="0.15">
      <c r="A867" s="79"/>
      <c r="B867" s="79"/>
      <c r="K867" s="79"/>
      <c r="L867" s="79"/>
      <c r="O867" s="56"/>
    </row>
    <row r="868" spans="1:15" ht="13" x14ac:dyDescent="0.15">
      <c r="A868" s="79"/>
      <c r="B868" s="79"/>
      <c r="K868" s="79"/>
      <c r="L868" s="79"/>
      <c r="O868" s="56"/>
    </row>
    <row r="869" spans="1:15" ht="13" x14ac:dyDescent="0.15">
      <c r="A869" s="79"/>
      <c r="B869" s="79"/>
      <c r="K869" s="79"/>
      <c r="L869" s="79"/>
      <c r="O869" s="56"/>
    </row>
    <row r="870" spans="1:15" ht="13" x14ac:dyDescent="0.15">
      <c r="A870" s="79"/>
      <c r="B870" s="79"/>
      <c r="K870" s="79"/>
      <c r="L870" s="79"/>
      <c r="O870" s="56"/>
    </row>
    <row r="871" spans="1:15" ht="13" x14ac:dyDescent="0.15">
      <c r="A871" s="79"/>
      <c r="B871" s="79"/>
      <c r="K871" s="79"/>
      <c r="L871" s="79"/>
      <c r="O871" s="56"/>
    </row>
    <row r="872" spans="1:15" ht="13" x14ac:dyDescent="0.15">
      <c r="A872" s="79"/>
      <c r="B872" s="79"/>
      <c r="K872" s="79"/>
      <c r="L872" s="79"/>
      <c r="O872" s="56"/>
    </row>
    <row r="873" spans="1:15" ht="13" x14ac:dyDescent="0.15">
      <c r="A873" s="79"/>
      <c r="B873" s="79"/>
      <c r="K873" s="79"/>
      <c r="L873" s="79"/>
      <c r="O873" s="56"/>
    </row>
    <row r="874" spans="1:15" ht="13" x14ac:dyDescent="0.15">
      <c r="A874" s="79"/>
      <c r="B874" s="79"/>
      <c r="K874" s="79"/>
      <c r="L874" s="79"/>
      <c r="O874" s="56"/>
    </row>
    <row r="875" spans="1:15" ht="13" x14ac:dyDescent="0.15">
      <c r="A875" s="79"/>
      <c r="B875" s="79"/>
      <c r="K875" s="79"/>
      <c r="L875" s="79"/>
      <c r="O875" s="56"/>
    </row>
    <row r="876" spans="1:15" ht="13" x14ac:dyDescent="0.15">
      <c r="A876" s="79"/>
      <c r="B876" s="79"/>
      <c r="K876" s="79"/>
      <c r="L876" s="79"/>
      <c r="O876" s="56"/>
    </row>
    <row r="877" spans="1:15" ht="13" x14ac:dyDescent="0.15">
      <c r="A877" s="79"/>
      <c r="B877" s="79"/>
      <c r="K877" s="79"/>
      <c r="L877" s="79"/>
      <c r="O877" s="56"/>
    </row>
    <row r="878" spans="1:15" ht="13" x14ac:dyDescent="0.15">
      <c r="A878" s="79"/>
      <c r="B878" s="79"/>
      <c r="K878" s="79"/>
      <c r="L878" s="79"/>
      <c r="O878" s="56"/>
    </row>
    <row r="879" spans="1:15" ht="13" x14ac:dyDescent="0.15">
      <c r="A879" s="79"/>
      <c r="B879" s="79"/>
      <c r="K879" s="79"/>
      <c r="L879" s="79"/>
      <c r="O879" s="56"/>
    </row>
    <row r="880" spans="1:15" ht="13" x14ac:dyDescent="0.15">
      <c r="A880" s="79"/>
      <c r="B880" s="79"/>
      <c r="K880" s="79"/>
      <c r="L880" s="79"/>
      <c r="O880" s="56"/>
    </row>
    <row r="881" spans="1:15" ht="13" x14ac:dyDescent="0.15">
      <c r="A881" s="79"/>
      <c r="B881" s="79"/>
      <c r="K881" s="79"/>
      <c r="L881" s="79"/>
      <c r="O881" s="56"/>
    </row>
    <row r="882" spans="1:15" ht="13" x14ac:dyDescent="0.15">
      <c r="A882" s="79"/>
      <c r="B882" s="79"/>
      <c r="K882" s="79"/>
      <c r="L882" s="79"/>
      <c r="O882" s="56"/>
    </row>
    <row r="883" spans="1:15" ht="13" x14ac:dyDescent="0.15">
      <c r="A883" s="79"/>
      <c r="B883" s="79"/>
      <c r="K883" s="79"/>
      <c r="L883" s="79"/>
      <c r="O883" s="56"/>
    </row>
    <row r="884" spans="1:15" ht="13" x14ac:dyDescent="0.15">
      <c r="A884" s="79"/>
      <c r="B884" s="79"/>
      <c r="K884" s="79"/>
      <c r="L884" s="79"/>
      <c r="O884" s="56"/>
    </row>
    <row r="885" spans="1:15" ht="13" x14ac:dyDescent="0.15">
      <c r="A885" s="79"/>
      <c r="B885" s="79"/>
      <c r="K885" s="79"/>
      <c r="L885" s="79"/>
      <c r="O885" s="56"/>
    </row>
    <row r="886" spans="1:15" ht="13" x14ac:dyDescent="0.15">
      <c r="A886" s="79"/>
      <c r="B886" s="79"/>
      <c r="K886" s="79"/>
      <c r="L886" s="79"/>
      <c r="O886" s="56"/>
    </row>
    <row r="887" spans="1:15" ht="13" x14ac:dyDescent="0.15">
      <c r="A887" s="79"/>
      <c r="B887" s="79"/>
      <c r="K887" s="79"/>
      <c r="L887" s="79"/>
      <c r="O887" s="56"/>
    </row>
    <row r="888" spans="1:15" ht="13" x14ac:dyDescent="0.15">
      <c r="A888" s="79"/>
      <c r="B888" s="79"/>
      <c r="K888" s="79"/>
      <c r="L888" s="79"/>
      <c r="O888" s="56"/>
    </row>
    <row r="889" spans="1:15" ht="13" x14ac:dyDescent="0.15">
      <c r="A889" s="79"/>
      <c r="B889" s="79"/>
      <c r="K889" s="79"/>
      <c r="L889" s="79"/>
      <c r="O889" s="56"/>
    </row>
    <row r="890" spans="1:15" ht="13" x14ac:dyDescent="0.15">
      <c r="A890" s="79"/>
      <c r="B890" s="79"/>
      <c r="K890" s="79"/>
      <c r="L890" s="79"/>
      <c r="O890" s="56"/>
    </row>
    <row r="891" spans="1:15" ht="13" x14ac:dyDescent="0.15">
      <c r="A891" s="79"/>
      <c r="B891" s="79"/>
      <c r="K891" s="79"/>
      <c r="L891" s="79"/>
      <c r="O891" s="56"/>
    </row>
    <row r="892" spans="1:15" ht="13" x14ac:dyDescent="0.15">
      <c r="A892" s="79"/>
      <c r="B892" s="79"/>
      <c r="K892" s="79"/>
      <c r="L892" s="79"/>
      <c r="O892" s="56"/>
    </row>
    <row r="893" spans="1:15" ht="13" x14ac:dyDescent="0.15">
      <c r="A893" s="79"/>
      <c r="B893" s="79"/>
      <c r="K893" s="79"/>
      <c r="L893" s="79"/>
      <c r="O893" s="56"/>
    </row>
    <row r="894" spans="1:15" ht="13" x14ac:dyDescent="0.15">
      <c r="A894" s="79"/>
      <c r="B894" s="79"/>
      <c r="K894" s="79"/>
      <c r="L894" s="79"/>
      <c r="O894" s="56"/>
    </row>
    <row r="895" spans="1:15" ht="13" x14ac:dyDescent="0.15">
      <c r="A895" s="79"/>
      <c r="B895" s="79"/>
      <c r="K895" s="79"/>
      <c r="L895" s="79"/>
      <c r="O895" s="56"/>
    </row>
    <row r="896" spans="1:15" ht="13" x14ac:dyDescent="0.15">
      <c r="A896" s="79"/>
      <c r="B896" s="79"/>
      <c r="K896" s="79"/>
      <c r="L896" s="79"/>
      <c r="O896" s="56"/>
    </row>
    <row r="897" spans="1:15" ht="13" x14ac:dyDescent="0.15">
      <c r="A897" s="79"/>
      <c r="B897" s="79"/>
      <c r="K897" s="79"/>
      <c r="L897" s="79"/>
      <c r="O897" s="56"/>
    </row>
    <row r="898" spans="1:15" ht="13" x14ac:dyDescent="0.15">
      <c r="A898" s="79"/>
      <c r="B898" s="79"/>
      <c r="K898" s="79"/>
      <c r="L898" s="79"/>
      <c r="O898" s="56"/>
    </row>
    <row r="899" spans="1:15" ht="13" x14ac:dyDescent="0.15">
      <c r="A899" s="79"/>
      <c r="B899" s="79"/>
      <c r="K899" s="79"/>
      <c r="L899" s="79"/>
      <c r="O899" s="56"/>
    </row>
    <row r="900" spans="1:15" ht="13" x14ac:dyDescent="0.15">
      <c r="A900" s="79"/>
      <c r="B900" s="79"/>
      <c r="K900" s="79"/>
      <c r="L900" s="79"/>
      <c r="O900" s="56"/>
    </row>
    <row r="901" spans="1:15" ht="13" x14ac:dyDescent="0.15">
      <c r="A901" s="79"/>
      <c r="B901" s="79"/>
      <c r="K901" s="79"/>
      <c r="L901" s="79"/>
      <c r="O901" s="56"/>
    </row>
    <row r="902" spans="1:15" ht="13" x14ac:dyDescent="0.15">
      <c r="A902" s="79"/>
      <c r="B902" s="79"/>
      <c r="K902" s="79"/>
      <c r="L902" s="79"/>
      <c r="O902" s="56"/>
    </row>
    <row r="903" spans="1:15" ht="13" x14ac:dyDescent="0.15">
      <c r="A903" s="79"/>
      <c r="B903" s="79"/>
      <c r="K903" s="79"/>
      <c r="L903" s="79"/>
      <c r="O903" s="56"/>
    </row>
    <row r="904" spans="1:15" ht="13" x14ac:dyDescent="0.15">
      <c r="A904" s="79"/>
      <c r="B904" s="79"/>
      <c r="K904" s="79"/>
      <c r="L904" s="79"/>
      <c r="O904" s="56"/>
    </row>
    <row r="905" spans="1:15" ht="13" x14ac:dyDescent="0.15">
      <c r="A905" s="79"/>
      <c r="B905" s="79"/>
      <c r="K905" s="79"/>
      <c r="L905" s="79"/>
      <c r="O905" s="56"/>
    </row>
    <row r="906" spans="1:15" ht="13" x14ac:dyDescent="0.15">
      <c r="A906" s="79"/>
      <c r="B906" s="79"/>
      <c r="K906" s="79"/>
      <c r="L906" s="79"/>
      <c r="O906" s="56"/>
    </row>
    <row r="907" spans="1:15" ht="13" x14ac:dyDescent="0.15">
      <c r="A907" s="79"/>
      <c r="B907" s="79"/>
      <c r="K907" s="79"/>
      <c r="L907" s="79"/>
      <c r="O907" s="56"/>
    </row>
    <row r="908" spans="1:15" ht="13" x14ac:dyDescent="0.15">
      <c r="A908" s="79"/>
      <c r="B908" s="79"/>
      <c r="K908" s="79"/>
      <c r="L908" s="79"/>
      <c r="O908" s="56"/>
    </row>
    <row r="909" spans="1:15" ht="13" x14ac:dyDescent="0.15">
      <c r="A909" s="79"/>
      <c r="B909" s="79"/>
      <c r="K909" s="79"/>
      <c r="L909" s="79"/>
      <c r="O909" s="56"/>
    </row>
    <row r="910" spans="1:15" ht="13" x14ac:dyDescent="0.15">
      <c r="A910" s="79"/>
      <c r="B910" s="79"/>
      <c r="K910" s="79"/>
      <c r="L910" s="79"/>
      <c r="O910" s="56"/>
    </row>
    <row r="911" spans="1:15" ht="13" x14ac:dyDescent="0.15">
      <c r="A911" s="79"/>
      <c r="B911" s="79"/>
      <c r="K911" s="79"/>
      <c r="L911" s="79"/>
      <c r="O911" s="56"/>
    </row>
    <row r="912" spans="1:15" ht="13" x14ac:dyDescent="0.15">
      <c r="A912" s="79"/>
      <c r="B912" s="79"/>
      <c r="K912" s="79"/>
      <c r="L912" s="79"/>
      <c r="O912" s="56"/>
    </row>
    <row r="913" spans="1:15" ht="13" x14ac:dyDescent="0.15">
      <c r="A913" s="79"/>
      <c r="B913" s="79"/>
      <c r="K913" s="79"/>
      <c r="L913" s="79"/>
      <c r="O913" s="56"/>
    </row>
    <row r="914" spans="1:15" ht="13" x14ac:dyDescent="0.15">
      <c r="A914" s="79"/>
      <c r="B914" s="79"/>
      <c r="K914" s="79"/>
      <c r="L914" s="79"/>
      <c r="O914" s="56"/>
    </row>
    <row r="915" spans="1:15" ht="13" x14ac:dyDescent="0.15">
      <c r="A915" s="79"/>
      <c r="B915" s="79"/>
      <c r="K915" s="79"/>
      <c r="L915" s="79"/>
      <c r="O915" s="56"/>
    </row>
    <row r="916" spans="1:15" ht="13" x14ac:dyDescent="0.15">
      <c r="A916" s="79"/>
      <c r="B916" s="79"/>
      <c r="K916" s="79"/>
      <c r="L916" s="79"/>
      <c r="O916" s="56"/>
    </row>
    <row r="917" spans="1:15" ht="13" x14ac:dyDescent="0.15">
      <c r="A917" s="79"/>
      <c r="B917" s="79"/>
      <c r="K917" s="79"/>
      <c r="L917" s="79"/>
      <c r="O917" s="56"/>
    </row>
    <row r="918" spans="1:15" ht="13" x14ac:dyDescent="0.15">
      <c r="A918" s="79"/>
      <c r="B918" s="79"/>
      <c r="K918" s="79"/>
      <c r="L918" s="79"/>
      <c r="O918" s="56"/>
    </row>
    <row r="919" spans="1:15" ht="13" x14ac:dyDescent="0.15">
      <c r="A919" s="79"/>
      <c r="B919" s="79"/>
      <c r="K919" s="79"/>
      <c r="L919" s="79"/>
      <c r="O919" s="56"/>
    </row>
    <row r="920" spans="1:15" ht="13" x14ac:dyDescent="0.15">
      <c r="A920" s="79"/>
      <c r="B920" s="79"/>
      <c r="K920" s="79"/>
      <c r="L920" s="79"/>
      <c r="O920" s="56"/>
    </row>
    <row r="921" spans="1:15" ht="13" x14ac:dyDescent="0.15">
      <c r="A921" s="79"/>
      <c r="B921" s="79"/>
      <c r="K921" s="79"/>
      <c r="L921" s="79"/>
      <c r="O921" s="56"/>
    </row>
    <row r="922" spans="1:15" ht="13" x14ac:dyDescent="0.15">
      <c r="A922" s="79"/>
      <c r="B922" s="79"/>
      <c r="K922" s="79"/>
      <c r="L922" s="79"/>
      <c r="O922" s="56"/>
    </row>
    <row r="923" spans="1:15" ht="13" x14ac:dyDescent="0.15">
      <c r="A923" s="79"/>
      <c r="B923" s="79"/>
      <c r="K923" s="79"/>
      <c r="L923" s="79"/>
      <c r="O923" s="56"/>
    </row>
    <row r="924" spans="1:15" ht="13" x14ac:dyDescent="0.15">
      <c r="A924" s="79"/>
      <c r="B924" s="79"/>
      <c r="K924" s="79"/>
      <c r="L924" s="79"/>
      <c r="O924" s="56"/>
    </row>
    <row r="925" spans="1:15" ht="13" x14ac:dyDescent="0.15">
      <c r="A925" s="79"/>
      <c r="B925" s="79"/>
      <c r="K925" s="79"/>
      <c r="L925" s="79"/>
      <c r="O925" s="56"/>
    </row>
    <row r="926" spans="1:15" ht="13" x14ac:dyDescent="0.15">
      <c r="A926" s="79"/>
      <c r="B926" s="79"/>
      <c r="K926" s="79"/>
      <c r="L926" s="79"/>
      <c r="O926" s="56"/>
    </row>
    <row r="927" spans="1:15" ht="13" x14ac:dyDescent="0.15">
      <c r="A927" s="79"/>
      <c r="B927" s="79"/>
      <c r="K927" s="79"/>
      <c r="L927" s="79"/>
      <c r="O927" s="56"/>
    </row>
    <row r="928" spans="1:15" ht="13" x14ac:dyDescent="0.15">
      <c r="A928" s="79"/>
      <c r="B928" s="79"/>
      <c r="K928" s="79"/>
      <c r="L928" s="79"/>
      <c r="O928" s="56"/>
    </row>
    <row r="929" spans="1:15" ht="13" x14ac:dyDescent="0.15">
      <c r="A929" s="79"/>
      <c r="B929" s="79"/>
      <c r="K929" s="79"/>
      <c r="L929" s="79"/>
      <c r="O929" s="56"/>
    </row>
    <row r="930" spans="1:15" ht="13" x14ac:dyDescent="0.15">
      <c r="A930" s="79"/>
      <c r="B930" s="79"/>
      <c r="K930" s="79"/>
      <c r="L930" s="79"/>
      <c r="O930" s="56"/>
    </row>
    <row r="931" spans="1:15" ht="13" x14ac:dyDescent="0.15">
      <c r="A931" s="79"/>
      <c r="B931" s="79"/>
      <c r="K931" s="79"/>
      <c r="L931" s="79"/>
      <c r="O931" s="56"/>
    </row>
    <row r="932" spans="1:15" ht="13" x14ac:dyDescent="0.15">
      <c r="A932" s="79"/>
      <c r="B932" s="79"/>
      <c r="K932" s="79"/>
      <c r="L932" s="79"/>
      <c r="O932" s="56"/>
    </row>
    <row r="933" spans="1:15" ht="13" x14ac:dyDescent="0.15">
      <c r="A933" s="79"/>
      <c r="B933" s="79"/>
      <c r="K933" s="79"/>
      <c r="L933" s="79"/>
      <c r="O933" s="56"/>
    </row>
    <row r="934" spans="1:15" ht="13" x14ac:dyDescent="0.15">
      <c r="A934" s="79"/>
      <c r="B934" s="79"/>
      <c r="K934" s="79"/>
      <c r="L934" s="79"/>
      <c r="O934" s="56"/>
    </row>
    <row r="935" spans="1:15" ht="13" x14ac:dyDescent="0.15">
      <c r="A935" s="79"/>
      <c r="B935" s="79"/>
      <c r="K935" s="79"/>
      <c r="L935" s="79"/>
      <c r="O935" s="56"/>
    </row>
    <row r="936" spans="1:15" ht="13" x14ac:dyDescent="0.15">
      <c r="A936" s="79"/>
      <c r="B936" s="79"/>
      <c r="K936" s="79"/>
      <c r="L936" s="79"/>
      <c r="O936" s="56"/>
    </row>
    <row r="937" spans="1:15" ht="13" x14ac:dyDescent="0.15">
      <c r="A937" s="79"/>
      <c r="B937" s="79"/>
      <c r="K937" s="79"/>
      <c r="L937" s="79"/>
      <c r="O937" s="56"/>
    </row>
    <row r="938" spans="1:15" ht="13" x14ac:dyDescent="0.15">
      <c r="A938" s="79"/>
      <c r="B938" s="79"/>
      <c r="K938" s="79"/>
      <c r="L938" s="79"/>
      <c r="O938" s="56"/>
    </row>
    <row r="939" spans="1:15" ht="13" x14ac:dyDescent="0.15">
      <c r="A939" s="79"/>
      <c r="B939" s="79"/>
      <c r="K939" s="79"/>
      <c r="L939" s="79"/>
      <c r="O939" s="56"/>
    </row>
    <row r="940" spans="1:15" ht="13" x14ac:dyDescent="0.15">
      <c r="A940" s="79"/>
      <c r="B940" s="79"/>
      <c r="K940" s="79"/>
      <c r="L940" s="79"/>
      <c r="O940" s="56"/>
    </row>
    <row r="941" spans="1:15" ht="13" x14ac:dyDescent="0.15">
      <c r="A941" s="79"/>
      <c r="B941" s="79"/>
      <c r="K941" s="79"/>
      <c r="L941" s="79"/>
      <c r="O941" s="56"/>
    </row>
    <row r="942" spans="1:15" ht="13" x14ac:dyDescent="0.15">
      <c r="A942" s="79"/>
      <c r="B942" s="79"/>
      <c r="K942" s="79"/>
      <c r="L942" s="79"/>
      <c r="O942" s="56"/>
    </row>
    <row r="943" spans="1:15" ht="13" x14ac:dyDescent="0.15">
      <c r="A943" s="79"/>
      <c r="B943" s="79"/>
      <c r="K943" s="79"/>
      <c r="L943" s="79"/>
      <c r="O943" s="56"/>
    </row>
    <row r="944" spans="1:15" ht="13" x14ac:dyDescent="0.15">
      <c r="A944" s="79"/>
      <c r="B944" s="79"/>
      <c r="K944" s="79"/>
      <c r="L944" s="79"/>
      <c r="O944" s="56"/>
    </row>
    <row r="945" spans="1:15" ht="13" x14ac:dyDescent="0.15">
      <c r="A945" s="79"/>
      <c r="B945" s="79"/>
      <c r="K945" s="79"/>
      <c r="L945" s="79"/>
      <c r="O945" s="56"/>
    </row>
    <row r="946" spans="1:15" ht="13" x14ac:dyDescent="0.15">
      <c r="A946" s="79"/>
      <c r="B946" s="79"/>
      <c r="K946" s="79"/>
      <c r="L946" s="79"/>
      <c r="O946" s="56"/>
    </row>
    <row r="947" spans="1:15" ht="13" x14ac:dyDescent="0.15">
      <c r="A947" s="79"/>
      <c r="B947" s="79"/>
      <c r="K947" s="79"/>
      <c r="L947" s="79"/>
      <c r="O947" s="56"/>
    </row>
    <row r="948" spans="1:15" ht="13" x14ac:dyDescent="0.15">
      <c r="A948" s="79"/>
      <c r="B948" s="79"/>
      <c r="K948" s="79"/>
      <c r="L948" s="79"/>
      <c r="O948" s="56"/>
    </row>
    <row r="949" spans="1:15" ht="13" x14ac:dyDescent="0.15">
      <c r="A949" s="79"/>
      <c r="B949" s="79"/>
      <c r="K949" s="79"/>
      <c r="L949" s="79"/>
      <c r="O949" s="56"/>
    </row>
    <row r="950" spans="1:15" ht="13" x14ac:dyDescent="0.15">
      <c r="A950" s="79"/>
      <c r="B950" s="79"/>
      <c r="K950" s="79"/>
      <c r="L950" s="79"/>
      <c r="O950" s="56"/>
    </row>
    <row r="951" spans="1:15" ht="13" x14ac:dyDescent="0.15">
      <c r="A951" s="79"/>
      <c r="B951" s="79"/>
      <c r="K951" s="79"/>
      <c r="L951" s="79"/>
      <c r="O951" s="56"/>
    </row>
    <row r="952" spans="1:15" ht="13" x14ac:dyDescent="0.15">
      <c r="A952" s="79"/>
      <c r="B952" s="79"/>
      <c r="K952" s="79"/>
      <c r="L952" s="79"/>
      <c r="O952" s="56"/>
    </row>
    <row r="953" spans="1:15" ht="13" x14ac:dyDescent="0.15">
      <c r="A953" s="79"/>
      <c r="B953" s="79"/>
      <c r="K953" s="79"/>
      <c r="L953" s="79"/>
      <c r="O953" s="56"/>
    </row>
    <row r="954" spans="1:15" ht="13" x14ac:dyDescent="0.15">
      <c r="A954" s="79"/>
      <c r="B954" s="79"/>
      <c r="K954" s="79"/>
      <c r="L954" s="79"/>
      <c r="O954" s="56"/>
    </row>
    <row r="955" spans="1:15" ht="13" x14ac:dyDescent="0.15">
      <c r="A955" s="79"/>
      <c r="B955" s="79"/>
      <c r="K955" s="79"/>
      <c r="L955" s="79"/>
      <c r="O955" s="56"/>
    </row>
    <row r="956" spans="1:15" ht="13" x14ac:dyDescent="0.15">
      <c r="A956" s="79"/>
      <c r="B956" s="79"/>
      <c r="K956" s="79"/>
      <c r="L956" s="79"/>
      <c r="O956" s="56"/>
    </row>
    <row r="957" spans="1:15" ht="13" x14ac:dyDescent="0.15">
      <c r="A957" s="79"/>
      <c r="B957" s="79"/>
      <c r="K957" s="79"/>
      <c r="L957" s="79"/>
      <c r="O957" s="56"/>
    </row>
    <row r="958" spans="1:15" ht="13" x14ac:dyDescent="0.15">
      <c r="A958" s="79"/>
      <c r="B958" s="79"/>
      <c r="K958" s="79"/>
      <c r="L958" s="79"/>
      <c r="O958" s="56"/>
    </row>
    <row r="959" spans="1:15" ht="13" x14ac:dyDescent="0.15">
      <c r="A959" s="79"/>
      <c r="B959" s="79"/>
      <c r="K959" s="79"/>
      <c r="L959" s="79"/>
      <c r="O959" s="56"/>
    </row>
    <row r="960" spans="1:15" ht="13" x14ac:dyDescent="0.15">
      <c r="A960" s="79"/>
      <c r="B960" s="79"/>
      <c r="K960" s="79"/>
      <c r="L960" s="79"/>
      <c r="O960" s="56"/>
    </row>
    <row r="961" spans="1:15" ht="13" x14ac:dyDescent="0.15">
      <c r="A961" s="79"/>
      <c r="B961" s="79"/>
      <c r="K961" s="79"/>
      <c r="L961" s="79"/>
      <c r="O961" s="56"/>
    </row>
    <row r="962" spans="1:15" ht="13" x14ac:dyDescent="0.15">
      <c r="A962" s="79"/>
      <c r="B962" s="79"/>
      <c r="K962" s="79"/>
      <c r="L962" s="79"/>
      <c r="O962" s="56"/>
    </row>
    <row r="963" spans="1:15" ht="13" x14ac:dyDescent="0.15">
      <c r="A963" s="79"/>
      <c r="B963" s="79"/>
      <c r="K963" s="79"/>
      <c r="L963" s="79"/>
      <c r="O963" s="56"/>
    </row>
    <row r="964" spans="1:15" ht="13" x14ac:dyDescent="0.15">
      <c r="A964" s="79"/>
      <c r="B964" s="79"/>
      <c r="K964" s="79"/>
      <c r="L964" s="79"/>
      <c r="O964" s="56"/>
    </row>
    <row r="965" spans="1:15" ht="13" x14ac:dyDescent="0.15">
      <c r="A965" s="79"/>
      <c r="B965" s="79"/>
      <c r="K965" s="79"/>
      <c r="L965" s="79"/>
      <c r="O965" s="56"/>
    </row>
    <row r="966" spans="1:15" ht="13" x14ac:dyDescent="0.15">
      <c r="A966" s="79"/>
      <c r="B966" s="79"/>
      <c r="K966" s="79"/>
      <c r="L966" s="79"/>
      <c r="O966" s="56"/>
    </row>
    <row r="967" spans="1:15" ht="13" x14ac:dyDescent="0.15">
      <c r="A967" s="79"/>
      <c r="B967" s="79"/>
      <c r="K967" s="79"/>
      <c r="L967" s="79"/>
      <c r="O967" s="56"/>
    </row>
    <row r="968" spans="1:15" ht="13" x14ac:dyDescent="0.15">
      <c r="A968" s="79"/>
      <c r="B968" s="79"/>
      <c r="K968" s="79"/>
      <c r="L968" s="79"/>
      <c r="O968" s="56"/>
    </row>
    <row r="969" spans="1:15" ht="13" x14ac:dyDescent="0.15">
      <c r="A969" s="79"/>
      <c r="B969" s="79"/>
      <c r="K969" s="79"/>
      <c r="L969" s="79"/>
      <c r="O969" s="56"/>
    </row>
    <row r="970" spans="1:15" ht="13" x14ac:dyDescent="0.15">
      <c r="A970" s="79"/>
      <c r="B970" s="79"/>
      <c r="K970" s="79"/>
      <c r="L970" s="79"/>
      <c r="O970" s="56"/>
    </row>
    <row r="971" spans="1:15" ht="13" x14ac:dyDescent="0.15">
      <c r="A971" s="79"/>
      <c r="B971" s="79"/>
      <c r="K971" s="79"/>
      <c r="L971" s="79"/>
      <c r="O971" s="56"/>
    </row>
    <row r="972" spans="1:15" ht="13" x14ac:dyDescent="0.15">
      <c r="A972" s="79"/>
      <c r="B972" s="79"/>
      <c r="K972" s="79"/>
      <c r="L972" s="79"/>
      <c r="O972" s="56"/>
    </row>
    <row r="973" spans="1:15" ht="13" x14ac:dyDescent="0.15">
      <c r="A973" s="79"/>
      <c r="B973" s="79"/>
      <c r="K973" s="79"/>
      <c r="L973" s="79"/>
      <c r="O973" s="56"/>
    </row>
    <row r="974" spans="1:15" ht="13" x14ac:dyDescent="0.15">
      <c r="A974" s="79"/>
      <c r="B974" s="79"/>
      <c r="K974" s="79"/>
      <c r="L974" s="79"/>
      <c r="O974" s="56"/>
    </row>
    <row r="975" spans="1:15" ht="13" x14ac:dyDescent="0.15">
      <c r="A975" s="79"/>
      <c r="B975" s="79"/>
      <c r="K975" s="79"/>
      <c r="L975" s="79"/>
      <c r="O975" s="56"/>
    </row>
    <row r="976" spans="1:15" ht="13" x14ac:dyDescent="0.15">
      <c r="A976" s="79"/>
      <c r="B976" s="79"/>
      <c r="K976" s="79"/>
      <c r="L976" s="79"/>
      <c r="O976" s="56"/>
    </row>
    <row r="977" spans="1:15" ht="13" x14ac:dyDescent="0.15">
      <c r="A977" s="79"/>
      <c r="B977" s="79"/>
      <c r="K977" s="79"/>
      <c r="L977" s="79"/>
      <c r="O977" s="56"/>
    </row>
    <row r="978" spans="1:15" ht="13" x14ac:dyDescent="0.15">
      <c r="A978" s="79"/>
      <c r="B978" s="79"/>
      <c r="K978" s="79"/>
      <c r="L978" s="79"/>
      <c r="O978" s="56"/>
    </row>
    <row r="979" spans="1:15" ht="13" x14ac:dyDescent="0.15">
      <c r="A979" s="79"/>
      <c r="B979" s="79"/>
      <c r="K979" s="79"/>
      <c r="L979" s="79"/>
      <c r="O979" s="56"/>
    </row>
    <row r="980" spans="1:15" ht="13" x14ac:dyDescent="0.15">
      <c r="A980" s="79"/>
      <c r="B980" s="79"/>
      <c r="K980" s="79"/>
      <c r="L980" s="79"/>
      <c r="O980" s="56"/>
    </row>
    <row r="981" spans="1:15" ht="13" x14ac:dyDescent="0.15">
      <c r="A981" s="79"/>
      <c r="B981" s="79"/>
      <c r="K981" s="79"/>
      <c r="L981" s="79"/>
      <c r="O981" s="56"/>
    </row>
    <row r="982" spans="1:15" ht="13" x14ac:dyDescent="0.15">
      <c r="A982" s="79"/>
      <c r="B982" s="79"/>
      <c r="K982" s="79"/>
      <c r="L982" s="79"/>
      <c r="O982" s="56"/>
    </row>
    <row r="983" spans="1:15" ht="13" x14ac:dyDescent="0.15">
      <c r="A983" s="79"/>
      <c r="B983" s="79"/>
      <c r="K983" s="79"/>
      <c r="L983" s="79"/>
      <c r="O983" s="56"/>
    </row>
    <row r="984" spans="1:15" ht="13" x14ac:dyDescent="0.15">
      <c r="A984" s="79"/>
      <c r="B984" s="79"/>
      <c r="K984" s="79"/>
      <c r="L984" s="79"/>
      <c r="O984" s="56"/>
    </row>
    <row r="985" spans="1:15" ht="13" x14ac:dyDescent="0.15">
      <c r="A985" s="79"/>
      <c r="B985" s="79"/>
      <c r="K985" s="79"/>
      <c r="L985" s="79"/>
      <c r="O985" s="56"/>
    </row>
    <row r="986" spans="1:15" ht="13" x14ac:dyDescent="0.15">
      <c r="A986" s="79"/>
      <c r="B986" s="79"/>
      <c r="K986" s="79"/>
      <c r="L986" s="79"/>
      <c r="O986" s="56"/>
    </row>
    <row r="987" spans="1:15" ht="13" x14ac:dyDescent="0.15">
      <c r="A987" s="79"/>
      <c r="B987" s="79"/>
      <c r="K987" s="79"/>
      <c r="L987" s="79"/>
      <c r="O987" s="56"/>
    </row>
    <row r="988" spans="1:15" ht="13" x14ac:dyDescent="0.15">
      <c r="A988" s="79"/>
      <c r="B988" s="79"/>
      <c r="K988" s="79"/>
      <c r="L988" s="79"/>
      <c r="O988" s="56"/>
    </row>
    <row r="989" spans="1:15" ht="13" x14ac:dyDescent="0.15">
      <c r="A989" s="79"/>
      <c r="B989" s="79"/>
      <c r="K989" s="79"/>
      <c r="L989" s="79"/>
      <c r="O989" s="56"/>
    </row>
    <row r="990" spans="1:15" ht="13" x14ac:dyDescent="0.15">
      <c r="A990" s="79"/>
      <c r="B990" s="79"/>
      <c r="K990" s="79"/>
      <c r="L990" s="79"/>
      <c r="O990" s="56"/>
    </row>
    <row r="991" spans="1:15" ht="13" x14ac:dyDescent="0.15">
      <c r="A991" s="79"/>
      <c r="B991" s="79"/>
      <c r="K991" s="79"/>
      <c r="L991" s="79"/>
      <c r="O991" s="56"/>
    </row>
    <row r="992" spans="1:15" ht="13" x14ac:dyDescent="0.15">
      <c r="A992" s="79"/>
      <c r="B992" s="79"/>
      <c r="K992" s="79"/>
      <c r="L992" s="79"/>
      <c r="O992" s="56"/>
    </row>
    <row r="993" spans="1:15" ht="13" x14ac:dyDescent="0.15">
      <c r="A993" s="79"/>
      <c r="B993" s="79"/>
      <c r="K993" s="79"/>
      <c r="L993" s="79"/>
      <c r="O993" s="56"/>
    </row>
    <row r="994" spans="1:15" ht="13" x14ac:dyDescent="0.15">
      <c r="A994" s="79"/>
      <c r="B994" s="79"/>
      <c r="K994" s="79"/>
      <c r="L994" s="79"/>
      <c r="O994" s="56"/>
    </row>
    <row r="995" spans="1:15" ht="13" x14ac:dyDescent="0.15">
      <c r="A995" s="79"/>
      <c r="B995" s="79"/>
      <c r="K995" s="79"/>
      <c r="L995" s="79"/>
      <c r="O995" s="56"/>
    </row>
    <row r="996" spans="1:15" ht="13" x14ac:dyDescent="0.15">
      <c r="A996" s="79"/>
      <c r="B996" s="79"/>
      <c r="K996" s="79"/>
      <c r="L996" s="79"/>
      <c r="O996" s="56"/>
    </row>
    <row r="997" spans="1:15" ht="13" x14ac:dyDescent="0.15">
      <c r="A997" s="79"/>
      <c r="B997" s="79"/>
      <c r="K997" s="79"/>
      <c r="L997" s="79"/>
      <c r="O997" s="56"/>
    </row>
  </sheetData>
  <hyperlinks>
    <hyperlink ref="M2" r:id="rId1" xr:uid="{00000000-0004-0000-0200-000000000000}"/>
    <hyperlink ref="M3" r:id="rId2" xr:uid="{00000000-0004-0000-0200-000001000000}"/>
    <hyperlink ref="M4" r:id="rId3" xr:uid="{00000000-0004-0000-0200-000002000000}"/>
    <hyperlink ref="M5" r:id="rId4" xr:uid="{00000000-0004-0000-0200-000003000000}"/>
    <hyperlink ref="M6" r:id="rId5" xr:uid="{00000000-0004-0000-0200-000004000000}"/>
    <hyperlink ref="M7" r:id="rId6" xr:uid="{00000000-0004-0000-0200-000005000000}"/>
    <hyperlink ref="M13" r:id="rId7" xr:uid="{00000000-0004-0000-0200-000006000000}"/>
    <hyperlink ref="M14" r:id="rId8" xr:uid="{00000000-0004-0000-0200-000007000000}"/>
    <hyperlink ref="M15" r:id="rId9" xr:uid="{00000000-0004-0000-0200-000008000000}"/>
    <hyperlink ref="M33" r:id="rId10" xr:uid="{00000000-0004-0000-0200-000009000000}"/>
  </hyperlinks>
  <pageMargins left="0.7" right="0.7" top="0.3" bottom="0.3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17.6640625" customWidth="1"/>
    <col min="3" max="4" width="12.1640625" customWidth="1"/>
    <col min="5" max="5" width="58.33203125" customWidth="1"/>
    <col min="6" max="6" width="122.6640625" customWidth="1"/>
    <col min="7" max="7" width="22.1640625" customWidth="1"/>
    <col min="8" max="8" width="41.6640625" customWidth="1"/>
    <col min="9" max="9" width="33" customWidth="1"/>
    <col min="10" max="10" width="28.6640625" customWidth="1"/>
    <col min="11" max="11" width="24.6640625" customWidth="1"/>
    <col min="12" max="12" width="25.1640625" customWidth="1"/>
    <col min="13" max="13" width="12.1640625" customWidth="1"/>
    <col min="14" max="14" width="59.6640625" customWidth="1"/>
    <col min="15" max="15" width="18.83203125" customWidth="1"/>
    <col min="16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80" t="s">
        <v>38</v>
      </c>
      <c r="D1" s="80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81">
        <v>20</v>
      </c>
      <c r="B2" s="81" t="s">
        <v>745</v>
      </c>
      <c r="C2" s="82" t="s">
        <v>51</v>
      </c>
      <c r="D2" s="82" t="str">
        <f t="shared" ref="D2:D50" si="0">A2&amp;B2&amp;C2</f>
        <v>2003001</v>
      </c>
      <c r="E2" s="83" t="s">
        <v>1018</v>
      </c>
      <c r="F2" s="83"/>
      <c r="G2" s="83"/>
      <c r="H2" s="83"/>
      <c r="I2" s="83"/>
      <c r="J2" s="83"/>
      <c r="K2" s="81"/>
      <c r="L2" s="81"/>
      <c r="M2" s="84"/>
      <c r="N2" s="83"/>
      <c r="O2" s="81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spans="1:27" ht="15.75" customHeight="1" x14ac:dyDescent="0.2">
      <c r="A3" s="61">
        <v>20</v>
      </c>
      <c r="B3" s="61" t="s">
        <v>745</v>
      </c>
      <c r="C3" s="62" t="s">
        <v>60</v>
      </c>
      <c r="D3" s="62" t="str">
        <f t="shared" si="0"/>
        <v>2003002</v>
      </c>
      <c r="E3" s="67" t="s">
        <v>964</v>
      </c>
      <c r="F3" s="67" t="s">
        <v>1019</v>
      </c>
      <c r="G3" s="67" t="s">
        <v>1020</v>
      </c>
      <c r="H3" s="67" t="s">
        <v>1021</v>
      </c>
      <c r="I3" s="67" t="s">
        <v>1022</v>
      </c>
      <c r="J3" s="67" t="s">
        <v>1023</v>
      </c>
      <c r="K3" s="61">
        <f>6281216110404</f>
        <v>6281216110404</v>
      </c>
      <c r="L3" s="61">
        <f>6282256243162</f>
        <v>6282256243162</v>
      </c>
      <c r="M3" s="86" t="s">
        <v>1024</v>
      </c>
      <c r="N3" s="67" t="s">
        <v>1025</v>
      </c>
      <c r="O3" s="6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87">
        <v>20</v>
      </c>
      <c r="B4" s="87" t="s">
        <v>745</v>
      </c>
      <c r="C4" s="88" t="s">
        <v>68</v>
      </c>
      <c r="D4" s="88" t="str">
        <f t="shared" si="0"/>
        <v>2003003</v>
      </c>
      <c r="E4" s="89" t="s">
        <v>1026</v>
      </c>
      <c r="F4" s="89" t="s">
        <v>1027</v>
      </c>
      <c r="G4" s="89" t="s">
        <v>1020</v>
      </c>
      <c r="H4" s="89" t="s">
        <v>1028</v>
      </c>
      <c r="I4" s="89" t="s">
        <v>1029</v>
      </c>
      <c r="J4" s="89" t="s">
        <v>1030</v>
      </c>
      <c r="K4" s="87">
        <v>81317696688</v>
      </c>
      <c r="L4" s="87">
        <v>81336345327</v>
      </c>
      <c r="M4" s="90" t="s">
        <v>1031</v>
      </c>
      <c r="N4" s="89" t="s">
        <v>1032</v>
      </c>
      <c r="O4" s="87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</row>
    <row r="5" spans="1:27" ht="15.75" customHeight="1" x14ac:dyDescent="0.2">
      <c r="A5" s="61">
        <v>20</v>
      </c>
      <c r="B5" s="61" t="s">
        <v>745</v>
      </c>
      <c r="C5" s="62" t="s">
        <v>76</v>
      </c>
      <c r="D5" s="62" t="str">
        <f t="shared" si="0"/>
        <v>2003004</v>
      </c>
      <c r="E5" s="67" t="s">
        <v>1033</v>
      </c>
      <c r="F5" s="67" t="s">
        <v>1034</v>
      </c>
      <c r="G5" s="67" t="s">
        <v>1020</v>
      </c>
      <c r="H5" s="67" t="s">
        <v>1035</v>
      </c>
      <c r="I5" s="67" t="s">
        <v>1036</v>
      </c>
      <c r="J5" s="64"/>
      <c r="K5" s="61">
        <v>81332807212</v>
      </c>
      <c r="L5" s="62"/>
      <c r="M5" s="86" t="s">
        <v>1037</v>
      </c>
      <c r="N5" s="67" t="s">
        <v>1038</v>
      </c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20</v>
      </c>
      <c r="B6" s="61" t="s">
        <v>745</v>
      </c>
      <c r="C6" s="62" t="s">
        <v>84</v>
      </c>
      <c r="D6" s="62" t="str">
        <f t="shared" si="0"/>
        <v>2003005</v>
      </c>
      <c r="E6" s="67" t="s">
        <v>1039</v>
      </c>
      <c r="F6" s="67" t="s">
        <v>1040</v>
      </c>
      <c r="G6" s="67" t="s">
        <v>1020</v>
      </c>
      <c r="H6" s="67" t="s">
        <v>1041</v>
      </c>
      <c r="I6" s="67" t="s">
        <v>1042</v>
      </c>
      <c r="J6" s="64"/>
      <c r="K6" s="61">
        <v>85337574873</v>
      </c>
      <c r="L6" s="62"/>
      <c r="M6" s="86" t="s">
        <v>1043</v>
      </c>
      <c r="N6" s="67" t="s">
        <v>1044</v>
      </c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87">
        <v>20</v>
      </c>
      <c r="B7" s="87" t="s">
        <v>745</v>
      </c>
      <c r="C7" s="88" t="s">
        <v>92</v>
      </c>
      <c r="D7" s="88" t="str">
        <f t="shared" si="0"/>
        <v>2003006</v>
      </c>
      <c r="E7" s="89" t="s">
        <v>1045</v>
      </c>
      <c r="F7" s="89" t="s">
        <v>1046</v>
      </c>
      <c r="G7" s="89" t="s">
        <v>1020</v>
      </c>
      <c r="H7" s="89" t="s">
        <v>1047</v>
      </c>
      <c r="I7" s="89" t="s">
        <v>1048</v>
      </c>
      <c r="J7" s="89" t="s">
        <v>1049</v>
      </c>
      <c r="K7" s="87">
        <v>81359233445</v>
      </c>
      <c r="L7" s="87">
        <v>85735600009</v>
      </c>
      <c r="M7" s="242" t="s">
        <v>1050</v>
      </c>
      <c r="N7" s="241"/>
      <c r="O7" s="87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</row>
    <row r="8" spans="1:27" ht="15.75" customHeight="1" x14ac:dyDescent="0.2">
      <c r="A8" s="81">
        <v>20</v>
      </c>
      <c r="B8" s="81" t="s">
        <v>745</v>
      </c>
      <c r="C8" s="82" t="s">
        <v>100</v>
      </c>
      <c r="D8" s="82" t="str">
        <f t="shared" si="0"/>
        <v>2003007</v>
      </c>
      <c r="E8" s="83" t="s">
        <v>1051</v>
      </c>
      <c r="F8" s="83" t="s">
        <v>1052</v>
      </c>
      <c r="G8" s="83" t="s">
        <v>1053</v>
      </c>
      <c r="H8" s="83" t="s">
        <v>1054</v>
      </c>
      <c r="I8" s="83" t="s">
        <v>1055</v>
      </c>
      <c r="J8" s="83" t="s">
        <v>1056</v>
      </c>
      <c r="K8" s="81">
        <v>8563523674</v>
      </c>
      <c r="L8" s="81">
        <v>85655078649</v>
      </c>
      <c r="M8" s="243" t="s">
        <v>1057</v>
      </c>
      <c r="N8" s="241"/>
      <c r="O8" s="81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 ht="15.75" customHeight="1" x14ac:dyDescent="0.2">
      <c r="A9" s="61">
        <v>20</v>
      </c>
      <c r="B9" s="61" t="s">
        <v>745</v>
      </c>
      <c r="C9" s="62" t="s">
        <v>108</v>
      </c>
      <c r="D9" s="62" t="str">
        <f t="shared" si="0"/>
        <v>2003008</v>
      </c>
      <c r="E9" s="67" t="s">
        <v>1058</v>
      </c>
      <c r="F9" s="67" t="s">
        <v>1059</v>
      </c>
      <c r="G9" s="67" t="s">
        <v>1053</v>
      </c>
      <c r="H9" s="67" t="s">
        <v>1060</v>
      </c>
      <c r="I9" s="67" t="s">
        <v>1061</v>
      </c>
      <c r="J9" s="67" t="s">
        <v>1062</v>
      </c>
      <c r="K9" s="61">
        <v>85755255415</v>
      </c>
      <c r="L9" s="61">
        <v>82228035363</v>
      </c>
      <c r="M9" s="86" t="s">
        <v>1063</v>
      </c>
      <c r="N9" s="67" t="s">
        <v>1064</v>
      </c>
      <c r="O9" s="6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20</v>
      </c>
      <c r="B10" s="61" t="s">
        <v>745</v>
      </c>
      <c r="C10" s="62" t="s">
        <v>116</v>
      </c>
      <c r="D10" s="62" t="str">
        <f t="shared" si="0"/>
        <v>2003009</v>
      </c>
      <c r="E10" s="67" t="s">
        <v>1065</v>
      </c>
      <c r="F10" s="67" t="s">
        <v>1066</v>
      </c>
      <c r="G10" s="67" t="s">
        <v>1020</v>
      </c>
      <c r="H10" s="67" t="s">
        <v>1067</v>
      </c>
      <c r="I10" s="67" t="s">
        <v>1068</v>
      </c>
      <c r="J10" s="67" t="s">
        <v>1069</v>
      </c>
      <c r="K10" s="61">
        <v>85895645183</v>
      </c>
      <c r="L10" s="76" t="s">
        <v>1070</v>
      </c>
      <c r="M10" s="86" t="s">
        <v>1071</v>
      </c>
      <c r="N10" s="67" t="s">
        <v>1072</v>
      </c>
      <c r="O10" s="6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20</v>
      </c>
      <c r="B11" s="61" t="s">
        <v>745</v>
      </c>
      <c r="C11" s="62" t="s">
        <v>124</v>
      </c>
      <c r="D11" s="62" t="str">
        <f t="shared" si="0"/>
        <v>2003010</v>
      </c>
      <c r="E11" s="67" t="s">
        <v>1073</v>
      </c>
      <c r="F11" s="67" t="s">
        <v>1074</v>
      </c>
      <c r="G11" s="67" t="s">
        <v>1053</v>
      </c>
      <c r="H11" s="67" t="s">
        <v>1075</v>
      </c>
      <c r="I11" s="67" t="s">
        <v>1076</v>
      </c>
      <c r="J11" s="67" t="s">
        <v>1077</v>
      </c>
      <c r="K11" s="61">
        <v>881026550846</v>
      </c>
      <c r="L11" s="76" t="s">
        <v>1078</v>
      </c>
      <c r="M11" s="63"/>
      <c r="N11" s="63"/>
      <c r="O11" s="6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21</v>
      </c>
      <c r="B12" s="61" t="s">
        <v>745</v>
      </c>
      <c r="C12" s="62" t="s">
        <v>132</v>
      </c>
      <c r="D12" s="62" t="str">
        <f t="shared" si="0"/>
        <v>2103011</v>
      </c>
      <c r="E12" s="67" t="s">
        <v>1079</v>
      </c>
      <c r="F12" s="67" t="s">
        <v>1080</v>
      </c>
      <c r="G12" s="67" t="s">
        <v>1053</v>
      </c>
      <c r="H12" s="67" t="s">
        <v>1081</v>
      </c>
      <c r="I12" s="67" t="s">
        <v>1082</v>
      </c>
      <c r="J12" s="64"/>
      <c r="K12" s="61">
        <v>85812210598</v>
      </c>
      <c r="L12" s="62"/>
      <c r="M12" s="67" t="s">
        <v>1083</v>
      </c>
      <c r="N12" s="67" t="s">
        <v>1084</v>
      </c>
      <c r="O12" s="61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21</v>
      </c>
      <c r="B13" s="61" t="s">
        <v>745</v>
      </c>
      <c r="C13" s="62" t="s">
        <v>140</v>
      </c>
      <c r="D13" s="62" t="str">
        <f t="shared" si="0"/>
        <v>2103012</v>
      </c>
      <c r="E13" s="67" t="s">
        <v>1085</v>
      </c>
      <c r="F13" s="67" t="s">
        <v>1086</v>
      </c>
      <c r="G13" s="67" t="s">
        <v>1053</v>
      </c>
      <c r="H13" s="67" t="s">
        <v>1087</v>
      </c>
      <c r="I13" s="67" t="s">
        <v>1088</v>
      </c>
      <c r="J13" s="64"/>
      <c r="K13" s="76" t="s">
        <v>1089</v>
      </c>
      <c r="L13" s="62"/>
      <c r="M13" s="244" t="s">
        <v>1090</v>
      </c>
      <c r="N13" s="241"/>
      <c r="O13" s="61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21</v>
      </c>
      <c r="B14" s="61" t="s">
        <v>745</v>
      </c>
      <c r="C14" s="62" t="s">
        <v>148</v>
      </c>
      <c r="D14" s="62" t="str">
        <f t="shared" si="0"/>
        <v>2103013</v>
      </c>
      <c r="E14" s="67" t="s">
        <v>1091</v>
      </c>
      <c r="F14" s="67" t="s">
        <v>1092</v>
      </c>
      <c r="G14" s="67" t="s">
        <v>1020</v>
      </c>
      <c r="H14" s="67" t="s">
        <v>1093</v>
      </c>
      <c r="I14" s="67" t="s">
        <v>1094</v>
      </c>
      <c r="J14" s="67" t="s">
        <v>1095</v>
      </c>
      <c r="K14" s="61">
        <v>82302015747</v>
      </c>
      <c r="L14" s="61">
        <v>82131896159</v>
      </c>
      <c r="M14" s="67" t="s">
        <v>1096</v>
      </c>
      <c r="N14" s="67" t="s">
        <v>1097</v>
      </c>
      <c r="O14" s="6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21</v>
      </c>
      <c r="B15" s="61" t="s">
        <v>745</v>
      </c>
      <c r="C15" s="62" t="s">
        <v>156</v>
      </c>
      <c r="D15" s="62" t="str">
        <f t="shared" si="0"/>
        <v>2103014</v>
      </c>
      <c r="E15" s="67" t="s">
        <v>1098</v>
      </c>
      <c r="F15" s="67" t="s">
        <v>1099</v>
      </c>
      <c r="G15" s="67" t="s">
        <v>1020</v>
      </c>
      <c r="H15" s="67" t="s">
        <v>1100</v>
      </c>
      <c r="I15" s="67" t="s">
        <v>1101</v>
      </c>
      <c r="J15" s="67" t="s">
        <v>1102</v>
      </c>
      <c r="K15" s="61">
        <v>82227700692</v>
      </c>
      <c r="L15" s="61">
        <v>87759062007</v>
      </c>
      <c r="M15" s="86" t="s">
        <v>1103</v>
      </c>
      <c r="N15" s="67" t="s">
        <v>1104</v>
      </c>
      <c r="O15" s="6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21</v>
      </c>
      <c r="B16" s="61" t="s">
        <v>745</v>
      </c>
      <c r="C16" s="62" t="s">
        <v>164</v>
      </c>
      <c r="D16" s="62" t="str">
        <f t="shared" si="0"/>
        <v>2103015</v>
      </c>
      <c r="E16" s="67" t="s">
        <v>1105</v>
      </c>
      <c r="F16" s="67" t="s">
        <v>1106</v>
      </c>
      <c r="G16" s="67" t="s">
        <v>1053</v>
      </c>
      <c r="H16" s="67" t="s">
        <v>1107</v>
      </c>
      <c r="I16" s="67" t="s">
        <v>1108</v>
      </c>
      <c r="J16" s="67" t="s">
        <v>1109</v>
      </c>
      <c r="K16" s="61">
        <v>81274345582</v>
      </c>
      <c r="L16" s="61">
        <f>6281336240804</f>
        <v>6281336240804</v>
      </c>
      <c r="M16" s="86" t="s">
        <v>1110</v>
      </c>
      <c r="N16" s="67" t="s">
        <v>1111</v>
      </c>
      <c r="O16" s="61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745</v>
      </c>
      <c r="C17" s="62" t="s">
        <v>173</v>
      </c>
      <c r="D17" s="62" t="str">
        <f t="shared" si="0"/>
        <v>2203016</v>
      </c>
      <c r="E17" s="67" t="s">
        <v>1112</v>
      </c>
      <c r="F17" s="67" t="s">
        <v>1113</v>
      </c>
      <c r="G17" s="67" t="s">
        <v>1020</v>
      </c>
      <c r="H17" s="67" t="s">
        <v>1114</v>
      </c>
      <c r="I17" s="67" t="s">
        <v>1115</v>
      </c>
      <c r="J17" s="63"/>
      <c r="K17" s="61">
        <v>85230755672</v>
      </c>
      <c r="L17" s="62"/>
      <c r="M17" s="63"/>
      <c r="N17" s="63"/>
      <c r="O17" s="68">
        <v>7</v>
      </c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23"/>
    </row>
    <row r="18" spans="1:27" ht="15.75" customHeight="1" x14ac:dyDescent="0.2">
      <c r="A18" s="61">
        <v>22</v>
      </c>
      <c r="B18" s="61" t="s">
        <v>745</v>
      </c>
      <c r="C18" s="62" t="s">
        <v>180</v>
      </c>
      <c r="D18" s="62" t="str">
        <f t="shared" si="0"/>
        <v>2203017</v>
      </c>
      <c r="E18" s="69" t="s">
        <v>1116</v>
      </c>
      <c r="F18" s="69" t="s">
        <v>1117</v>
      </c>
      <c r="G18" s="69" t="s">
        <v>1118</v>
      </c>
      <c r="H18" s="69" t="s">
        <v>1119</v>
      </c>
      <c r="I18" s="69" t="s">
        <v>909</v>
      </c>
      <c r="J18" s="63"/>
      <c r="K18" s="70" t="s">
        <v>910</v>
      </c>
      <c r="L18" s="62"/>
      <c r="M18" s="63"/>
      <c r="N18" s="63"/>
      <c r="O18" s="68">
        <v>2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22</v>
      </c>
      <c r="B19" s="61" t="s">
        <v>745</v>
      </c>
      <c r="C19" s="62" t="s">
        <v>188</v>
      </c>
      <c r="D19" s="62" t="str">
        <f t="shared" si="0"/>
        <v>2203018</v>
      </c>
      <c r="E19" s="69" t="s">
        <v>1120</v>
      </c>
      <c r="F19" s="69" t="s">
        <v>1121</v>
      </c>
      <c r="G19" s="69" t="s">
        <v>1122</v>
      </c>
      <c r="H19" s="69" t="s">
        <v>1123</v>
      </c>
      <c r="I19" s="69" t="s">
        <v>1124</v>
      </c>
      <c r="J19" s="69" t="s">
        <v>1125</v>
      </c>
      <c r="K19" s="70" t="s">
        <v>1126</v>
      </c>
      <c r="L19" s="70" t="s">
        <v>1127</v>
      </c>
      <c r="M19" s="67"/>
      <c r="N19" s="67"/>
      <c r="O19" s="68">
        <v>6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22</v>
      </c>
      <c r="B20" s="61" t="s">
        <v>745</v>
      </c>
      <c r="C20" s="62" t="s">
        <v>196</v>
      </c>
      <c r="D20" s="62" t="str">
        <f t="shared" si="0"/>
        <v>2203019</v>
      </c>
      <c r="E20" s="69" t="s">
        <v>1128</v>
      </c>
      <c r="F20" s="69" t="s">
        <v>1129</v>
      </c>
      <c r="G20" s="69" t="s">
        <v>1122</v>
      </c>
      <c r="H20" s="69" t="s">
        <v>1130</v>
      </c>
      <c r="I20" s="69" t="s">
        <v>1131</v>
      </c>
      <c r="J20" s="67"/>
      <c r="K20" s="68" t="s">
        <v>1132</v>
      </c>
      <c r="L20" s="61"/>
      <c r="M20" s="67"/>
      <c r="N20" s="67"/>
      <c r="O20" s="68">
        <v>14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22</v>
      </c>
      <c r="B21" s="61" t="s">
        <v>745</v>
      </c>
      <c r="C21" s="62" t="s">
        <v>204</v>
      </c>
      <c r="D21" s="62" t="str">
        <f t="shared" si="0"/>
        <v>2203020</v>
      </c>
      <c r="E21" s="69" t="s">
        <v>1133</v>
      </c>
      <c r="F21" s="69" t="s">
        <v>1134</v>
      </c>
      <c r="G21" s="69" t="s">
        <v>1118</v>
      </c>
      <c r="H21" s="69" t="s">
        <v>1135</v>
      </c>
      <c r="I21" s="69" t="s">
        <v>1136</v>
      </c>
      <c r="J21" s="67"/>
      <c r="K21" s="70" t="s">
        <v>1137</v>
      </c>
      <c r="L21" s="61"/>
      <c r="M21" s="67"/>
      <c r="N21" s="67"/>
      <c r="O21" s="68">
        <v>4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22</v>
      </c>
      <c r="B22" s="61" t="s">
        <v>745</v>
      </c>
      <c r="C22" s="62" t="s">
        <v>212</v>
      </c>
      <c r="D22" s="62" t="str">
        <f t="shared" si="0"/>
        <v>2203021</v>
      </c>
      <c r="E22" s="69" t="s">
        <v>1138</v>
      </c>
      <c r="F22" s="69" t="s">
        <v>1139</v>
      </c>
      <c r="G22" s="69" t="s">
        <v>1118</v>
      </c>
      <c r="H22" s="69" t="s">
        <v>1140</v>
      </c>
      <c r="I22" s="69" t="s">
        <v>1141</v>
      </c>
      <c r="J22" s="67"/>
      <c r="K22" s="70" t="s">
        <v>1142</v>
      </c>
      <c r="L22" s="61"/>
      <c r="M22" s="67"/>
      <c r="N22" s="67"/>
      <c r="O22" s="68">
        <v>9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23</v>
      </c>
      <c r="B23" s="61" t="s">
        <v>745</v>
      </c>
      <c r="C23" s="62" t="s">
        <v>219</v>
      </c>
      <c r="D23" s="62" t="str">
        <f t="shared" si="0"/>
        <v>2303022</v>
      </c>
      <c r="E23" s="69" t="s">
        <v>1143</v>
      </c>
      <c r="F23" s="69" t="s">
        <v>1144</v>
      </c>
      <c r="G23" s="69" t="s">
        <v>1118</v>
      </c>
      <c r="H23" s="69" t="s">
        <v>1145</v>
      </c>
      <c r="I23" s="69" t="s">
        <v>1146</v>
      </c>
      <c r="J23" s="67"/>
      <c r="K23" s="70" t="s">
        <v>1147</v>
      </c>
      <c r="L23" s="61"/>
      <c r="M23" s="67"/>
      <c r="N23" s="67"/>
      <c r="O23" s="68">
        <v>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23</v>
      </c>
      <c r="B24" s="61" t="s">
        <v>745</v>
      </c>
      <c r="C24" s="62" t="s">
        <v>226</v>
      </c>
      <c r="D24" s="62" t="str">
        <f t="shared" si="0"/>
        <v>2303023</v>
      </c>
      <c r="E24" s="54" t="s">
        <v>1148</v>
      </c>
      <c r="F24" s="54" t="s">
        <v>1149</v>
      </c>
      <c r="G24" s="69" t="s">
        <v>1118</v>
      </c>
      <c r="H24" s="69" t="s">
        <v>1150</v>
      </c>
      <c r="I24" s="54" t="s">
        <v>1151</v>
      </c>
      <c r="J24" s="54"/>
      <c r="K24" s="93" t="s">
        <v>1152</v>
      </c>
      <c r="L24" s="61"/>
      <c r="M24" s="67"/>
      <c r="N24" s="54" t="s">
        <v>1153</v>
      </c>
      <c r="O24" s="68">
        <v>5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23</v>
      </c>
      <c r="B25" s="61" t="s">
        <v>745</v>
      </c>
      <c r="C25" s="62" t="s">
        <v>234</v>
      </c>
      <c r="D25" s="62" t="str">
        <f t="shared" si="0"/>
        <v>2303024</v>
      </c>
      <c r="E25" s="69" t="s">
        <v>1154</v>
      </c>
      <c r="F25" s="69" t="s">
        <v>1155</v>
      </c>
      <c r="G25" s="69" t="s">
        <v>1122</v>
      </c>
      <c r="H25" s="69" t="s">
        <v>1156</v>
      </c>
      <c r="I25" s="69" t="s">
        <v>1157</v>
      </c>
      <c r="J25" s="67"/>
      <c r="K25" s="70" t="s">
        <v>1158</v>
      </c>
      <c r="L25" s="61"/>
      <c r="M25" s="67"/>
      <c r="N25" s="69" t="s">
        <v>1159</v>
      </c>
      <c r="O25" s="68">
        <v>6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23</v>
      </c>
      <c r="B26" s="61" t="s">
        <v>745</v>
      </c>
      <c r="C26" s="62" t="s">
        <v>240</v>
      </c>
      <c r="D26" s="62" t="str">
        <f t="shared" si="0"/>
        <v>2303025</v>
      </c>
      <c r="E26" s="69" t="s">
        <v>1160</v>
      </c>
      <c r="F26" s="69" t="s">
        <v>1161</v>
      </c>
      <c r="G26" s="69" t="s">
        <v>1122</v>
      </c>
      <c r="H26" s="69" t="s">
        <v>1162</v>
      </c>
      <c r="I26" s="69" t="s">
        <v>1163</v>
      </c>
      <c r="J26" s="67"/>
      <c r="K26" s="70" t="s">
        <v>1164</v>
      </c>
      <c r="L26" s="61"/>
      <c r="M26" s="67"/>
      <c r="N26" s="69" t="s">
        <v>663</v>
      </c>
      <c r="O26" s="68">
        <v>8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23</v>
      </c>
      <c r="B27" s="61" t="s">
        <v>745</v>
      </c>
      <c r="C27" s="62" t="s">
        <v>246</v>
      </c>
      <c r="D27" s="62" t="str">
        <f t="shared" si="0"/>
        <v>2303026</v>
      </c>
      <c r="E27" s="69" t="s">
        <v>1165</v>
      </c>
      <c r="F27" s="69" t="s">
        <v>1166</v>
      </c>
      <c r="G27" s="69" t="s">
        <v>1118</v>
      </c>
      <c r="H27" s="69" t="s">
        <v>1167</v>
      </c>
      <c r="I27" s="69" t="s">
        <v>1168</v>
      </c>
      <c r="J27" s="67"/>
      <c r="K27" s="70" t="s">
        <v>1169</v>
      </c>
      <c r="L27" s="61"/>
      <c r="M27" s="67"/>
      <c r="N27" s="69" t="s">
        <v>1170</v>
      </c>
      <c r="O27" s="68">
        <v>4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23</v>
      </c>
      <c r="B28" s="61" t="s">
        <v>745</v>
      </c>
      <c r="C28" s="62" t="s">
        <v>251</v>
      </c>
      <c r="D28" s="62" t="str">
        <f t="shared" si="0"/>
        <v>2303027</v>
      </c>
      <c r="E28" s="69" t="s">
        <v>1171</v>
      </c>
      <c r="F28" s="69" t="s">
        <v>1172</v>
      </c>
      <c r="G28" s="69" t="s">
        <v>1118</v>
      </c>
      <c r="H28" s="69" t="s">
        <v>1173</v>
      </c>
      <c r="I28" s="69" t="s">
        <v>1171</v>
      </c>
      <c r="J28" s="67"/>
      <c r="K28" s="70" t="s">
        <v>1174</v>
      </c>
      <c r="L28" s="61"/>
      <c r="M28" s="67"/>
      <c r="N28" s="69" t="s">
        <v>1175</v>
      </c>
      <c r="O28" s="68">
        <v>2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23</v>
      </c>
      <c r="B29" s="61" t="s">
        <v>745</v>
      </c>
      <c r="C29" s="62" t="s">
        <v>256</v>
      </c>
      <c r="D29" s="62" t="str">
        <f t="shared" si="0"/>
        <v>2303028</v>
      </c>
      <c r="E29" s="69" t="s">
        <v>1176</v>
      </c>
      <c r="F29" s="69" t="s">
        <v>1172</v>
      </c>
      <c r="G29" s="69" t="s">
        <v>1118</v>
      </c>
      <c r="H29" s="69" t="s">
        <v>1177</v>
      </c>
      <c r="I29" s="69" t="s">
        <v>1178</v>
      </c>
      <c r="J29" s="67"/>
      <c r="K29" s="70" t="s">
        <v>1179</v>
      </c>
      <c r="L29" s="61"/>
      <c r="M29" s="67"/>
      <c r="N29" s="69" t="s">
        <v>1180</v>
      </c>
      <c r="O29" s="68">
        <v>3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23</v>
      </c>
      <c r="B30" s="61" t="s">
        <v>745</v>
      </c>
      <c r="C30" s="62" t="s">
        <v>261</v>
      </c>
      <c r="D30" s="62" t="str">
        <f t="shared" si="0"/>
        <v>2303029</v>
      </c>
      <c r="E30" s="69" t="s">
        <v>1181</v>
      </c>
      <c r="F30" s="69" t="s">
        <v>1182</v>
      </c>
      <c r="G30" s="69" t="s">
        <v>1118</v>
      </c>
      <c r="H30" s="69" t="s">
        <v>1183</v>
      </c>
      <c r="I30" s="69" t="s">
        <v>1184</v>
      </c>
      <c r="J30" s="67"/>
      <c r="K30" s="70" t="s">
        <v>1185</v>
      </c>
      <c r="L30" s="61"/>
      <c r="M30" s="67"/>
      <c r="N30" s="69" t="s">
        <v>1186</v>
      </c>
      <c r="O30" s="68">
        <v>2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23</v>
      </c>
      <c r="B31" s="61" t="s">
        <v>745</v>
      </c>
      <c r="C31" s="62" t="s">
        <v>266</v>
      </c>
      <c r="D31" s="62" t="str">
        <f t="shared" si="0"/>
        <v>2303030</v>
      </c>
      <c r="E31" s="69" t="s">
        <v>1187</v>
      </c>
      <c r="F31" s="69" t="s">
        <v>1188</v>
      </c>
      <c r="G31" s="69" t="s">
        <v>1122</v>
      </c>
      <c r="H31" s="69" t="s">
        <v>1189</v>
      </c>
      <c r="I31" s="69" t="s">
        <v>1190</v>
      </c>
      <c r="J31" s="67"/>
      <c r="K31" s="70" t="s">
        <v>1191</v>
      </c>
      <c r="L31" s="61"/>
      <c r="M31" s="67"/>
      <c r="N31" s="94" t="s">
        <v>1192</v>
      </c>
      <c r="O31" s="68">
        <v>4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23</v>
      </c>
      <c r="B32" s="61" t="s">
        <v>745</v>
      </c>
      <c r="C32" s="62" t="s">
        <v>272</v>
      </c>
      <c r="D32" s="62" t="str">
        <f t="shared" si="0"/>
        <v>2303031</v>
      </c>
      <c r="E32" s="69" t="s">
        <v>1193</v>
      </c>
      <c r="F32" s="69" t="s">
        <v>1194</v>
      </c>
      <c r="G32" s="69" t="s">
        <v>1118</v>
      </c>
      <c r="H32" s="69" t="s">
        <v>1195</v>
      </c>
      <c r="I32" s="69" t="s">
        <v>1196</v>
      </c>
      <c r="J32" s="67"/>
      <c r="K32" s="70" t="s">
        <v>1197</v>
      </c>
      <c r="L32" s="61"/>
      <c r="M32" s="67"/>
      <c r="N32" s="69" t="s">
        <v>1198</v>
      </c>
      <c r="O32" s="68">
        <v>5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23</v>
      </c>
      <c r="B33" s="61" t="s">
        <v>745</v>
      </c>
      <c r="C33" s="62" t="s">
        <v>278</v>
      </c>
      <c r="D33" s="62" t="str">
        <f t="shared" si="0"/>
        <v>2303032</v>
      </c>
      <c r="E33" s="69" t="s">
        <v>1199</v>
      </c>
      <c r="F33" s="69" t="s">
        <v>1200</v>
      </c>
      <c r="G33" s="69" t="s">
        <v>1122</v>
      </c>
      <c r="H33" s="69" t="s">
        <v>1201</v>
      </c>
      <c r="I33" s="69" t="s">
        <v>1202</v>
      </c>
      <c r="J33" s="67"/>
      <c r="K33" s="68" t="s">
        <v>653</v>
      </c>
      <c r="L33" s="61"/>
      <c r="M33" s="67"/>
      <c r="N33" s="69" t="s">
        <v>653</v>
      </c>
      <c r="O33" s="68">
        <v>3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23</v>
      </c>
      <c r="B34" s="61" t="s">
        <v>745</v>
      </c>
      <c r="C34" s="62" t="s">
        <v>284</v>
      </c>
      <c r="D34" s="62" t="str">
        <f t="shared" si="0"/>
        <v>2303033</v>
      </c>
      <c r="E34" s="69" t="s">
        <v>1203</v>
      </c>
      <c r="F34" s="69" t="s">
        <v>1204</v>
      </c>
      <c r="G34" s="69" t="s">
        <v>1118</v>
      </c>
      <c r="H34" s="69" t="s">
        <v>1205</v>
      </c>
      <c r="I34" s="69" t="s">
        <v>1206</v>
      </c>
      <c r="J34" s="67"/>
      <c r="K34" s="70" t="s">
        <v>1207</v>
      </c>
      <c r="L34" s="61"/>
      <c r="M34" s="67"/>
      <c r="N34" s="69" t="s">
        <v>1208</v>
      </c>
      <c r="O34" s="68">
        <v>10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61">
        <v>23</v>
      </c>
      <c r="B35" s="61" t="s">
        <v>745</v>
      </c>
      <c r="C35" s="62" t="s">
        <v>290</v>
      </c>
      <c r="D35" s="62" t="str">
        <f t="shared" si="0"/>
        <v>2303034</v>
      </c>
      <c r="E35" s="69" t="s">
        <v>1209</v>
      </c>
      <c r="F35" s="69" t="s">
        <v>1210</v>
      </c>
      <c r="G35" s="69" t="s">
        <v>1122</v>
      </c>
      <c r="H35" s="69" t="s">
        <v>1211</v>
      </c>
      <c r="I35" s="69" t="s">
        <v>1212</v>
      </c>
      <c r="J35" s="67"/>
      <c r="K35" s="68" t="s">
        <v>1213</v>
      </c>
      <c r="L35" s="61"/>
      <c r="M35" s="67"/>
      <c r="N35" s="69" t="s">
        <v>1214</v>
      </c>
      <c r="O35" s="68">
        <v>5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61">
        <v>23</v>
      </c>
      <c r="B36" s="61" t="s">
        <v>745</v>
      </c>
      <c r="C36" s="62" t="s">
        <v>296</v>
      </c>
      <c r="D36" s="62" t="str">
        <f t="shared" si="0"/>
        <v>2303035</v>
      </c>
      <c r="E36" s="69" t="s">
        <v>1215</v>
      </c>
      <c r="F36" s="69" t="s">
        <v>1216</v>
      </c>
      <c r="G36" s="69" t="s">
        <v>1122</v>
      </c>
      <c r="H36" s="69" t="s">
        <v>1217</v>
      </c>
      <c r="I36" s="69" t="s">
        <v>1218</v>
      </c>
      <c r="J36" s="67"/>
      <c r="K36" s="70" t="s">
        <v>1219</v>
      </c>
      <c r="L36" s="61"/>
      <c r="M36" s="67"/>
      <c r="N36" s="69" t="s">
        <v>1220</v>
      </c>
      <c r="O36" s="68">
        <v>6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61">
        <v>23</v>
      </c>
      <c r="B37" s="61" t="s">
        <v>745</v>
      </c>
      <c r="C37" s="62" t="s">
        <v>301</v>
      </c>
      <c r="D37" s="62" t="str">
        <f t="shared" si="0"/>
        <v>2303036</v>
      </c>
      <c r="E37" s="69" t="s">
        <v>1221</v>
      </c>
      <c r="F37" s="69" t="s">
        <v>1222</v>
      </c>
      <c r="G37" s="69" t="s">
        <v>1118</v>
      </c>
      <c r="H37" s="69" t="s">
        <v>1223</v>
      </c>
      <c r="I37" s="69" t="s">
        <v>1224</v>
      </c>
      <c r="J37" s="67"/>
      <c r="K37" s="70" t="s">
        <v>1225</v>
      </c>
      <c r="L37" s="61"/>
      <c r="M37" s="67"/>
      <c r="N37" s="69" t="s">
        <v>1226</v>
      </c>
      <c r="O37" s="6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61">
        <v>23</v>
      </c>
      <c r="B38" s="61" t="s">
        <v>745</v>
      </c>
      <c r="C38" s="62" t="s">
        <v>308</v>
      </c>
      <c r="D38" s="62" t="str">
        <f t="shared" si="0"/>
        <v>2303037</v>
      </c>
      <c r="E38" s="69" t="s">
        <v>1227</v>
      </c>
      <c r="F38" s="69" t="s">
        <v>1228</v>
      </c>
      <c r="G38" s="69" t="s">
        <v>1122</v>
      </c>
      <c r="H38" s="69" t="s">
        <v>1229</v>
      </c>
      <c r="I38" s="69" t="s">
        <v>1230</v>
      </c>
      <c r="J38" s="67"/>
      <c r="K38" s="70" t="s">
        <v>1231</v>
      </c>
      <c r="L38" s="61"/>
      <c r="M38" s="67"/>
      <c r="N38" s="69" t="s">
        <v>1232</v>
      </c>
      <c r="O38" s="68">
        <v>7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61">
        <v>23</v>
      </c>
      <c r="B39" s="61" t="s">
        <v>745</v>
      </c>
      <c r="C39" s="62" t="s">
        <v>314</v>
      </c>
      <c r="D39" s="62" t="str">
        <f t="shared" si="0"/>
        <v>2303038</v>
      </c>
      <c r="E39" s="69" t="s">
        <v>1233</v>
      </c>
      <c r="F39" s="69" t="s">
        <v>1234</v>
      </c>
      <c r="G39" s="69" t="s">
        <v>1122</v>
      </c>
      <c r="H39" s="69" t="s">
        <v>1235</v>
      </c>
      <c r="I39" s="69" t="s">
        <v>1236</v>
      </c>
      <c r="J39" s="67"/>
      <c r="K39" s="68" t="s">
        <v>1237</v>
      </c>
      <c r="L39" s="61"/>
      <c r="M39" s="67"/>
      <c r="N39" s="69" t="s">
        <v>653</v>
      </c>
      <c r="O39" s="68">
        <v>3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61">
        <v>23</v>
      </c>
      <c r="B40" s="61" t="s">
        <v>745</v>
      </c>
      <c r="C40" s="62" t="s">
        <v>320</v>
      </c>
      <c r="D40" s="62" t="str">
        <f t="shared" si="0"/>
        <v>2303039</v>
      </c>
      <c r="E40" s="69" t="s">
        <v>1238</v>
      </c>
      <c r="F40" s="69" t="s">
        <v>1239</v>
      </c>
      <c r="G40" s="69" t="s">
        <v>1122</v>
      </c>
      <c r="H40" s="69" t="s">
        <v>1240</v>
      </c>
      <c r="I40" s="69" t="s">
        <v>1241</v>
      </c>
      <c r="J40" s="43" t="s">
        <v>1242</v>
      </c>
      <c r="K40" s="70" t="s">
        <v>1243</v>
      </c>
      <c r="L40" s="95" t="s">
        <v>1244</v>
      </c>
      <c r="M40" s="67"/>
      <c r="N40" s="69" t="s">
        <v>1245</v>
      </c>
      <c r="O40" s="68">
        <v>3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61">
        <v>24</v>
      </c>
      <c r="B41" s="61" t="s">
        <v>745</v>
      </c>
      <c r="C41" s="62" t="s">
        <v>326</v>
      </c>
      <c r="D41" s="62" t="str">
        <f t="shared" si="0"/>
        <v>2403040</v>
      </c>
      <c r="E41" s="67" t="s">
        <v>1246</v>
      </c>
      <c r="F41" s="67" t="s">
        <v>1247</v>
      </c>
      <c r="G41" s="67" t="s">
        <v>1118</v>
      </c>
      <c r="H41" s="67" t="s">
        <v>1248</v>
      </c>
      <c r="I41" s="67" t="s">
        <v>1249</v>
      </c>
      <c r="J41" s="67"/>
      <c r="K41" s="61">
        <v>81554729544</v>
      </c>
      <c r="L41" s="61"/>
      <c r="M41" s="67"/>
      <c r="N41" s="67" t="s">
        <v>1250</v>
      </c>
      <c r="O41" s="61">
        <v>5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61">
        <v>24</v>
      </c>
      <c r="B42" s="61" t="s">
        <v>745</v>
      </c>
      <c r="C42" s="62" t="s">
        <v>332</v>
      </c>
      <c r="D42" s="62" t="str">
        <f t="shared" si="0"/>
        <v>2403041</v>
      </c>
      <c r="E42" s="67" t="s">
        <v>1251</v>
      </c>
      <c r="F42" s="67" t="s">
        <v>1252</v>
      </c>
      <c r="G42" s="67" t="s">
        <v>1118</v>
      </c>
      <c r="H42" s="67" t="s">
        <v>1253</v>
      </c>
      <c r="I42" s="67" t="s">
        <v>1254</v>
      </c>
      <c r="J42" s="67"/>
      <c r="K42" s="61">
        <v>82242819999</v>
      </c>
      <c r="L42" s="61"/>
      <c r="M42" s="67"/>
      <c r="N42" s="67" t="s">
        <v>1255</v>
      </c>
      <c r="O42" s="61">
        <v>5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2">
      <c r="A43" s="61">
        <v>24</v>
      </c>
      <c r="B43" s="61" t="s">
        <v>745</v>
      </c>
      <c r="C43" s="62" t="s">
        <v>338</v>
      </c>
      <c r="D43" s="62" t="str">
        <f t="shared" si="0"/>
        <v>2403042</v>
      </c>
      <c r="E43" s="67" t="s">
        <v>1256</v>
      </c>
      <c r="F43" s="67" t="s">
        <v>1257</v>
      </c>
      <c r="G43" s="67" t="s">
        <v>1118</v>
      </c>
      <c r="H43" s="67" t="s">
        <v>1258</v>
      </c>
      <c r="I43" s="67" t="s">
        <v>1259</v>
      </c>
      <c r="J43" s="67"/>
      <c r="K43" s="61">
        <v>85379322520</v>
      </c>
      <c r="L43" s="61"/>
      <c r="M43" s="67"/>
      <c r="N43" s="67" t="s">
        <v>1260</v>
      </c>
      <c r="O43" s="61">
        <v>4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2">
      <c r="A44" s="61">
        <v>24</v>
      </c>
      <c r="B44" s="61" t="s">
        <v>745</v>
      </c>
      <c r="C44" s="62" t="s">
        <v>344</v>
      </c>
      <c r="D44" s="62" t="str">
        <f t="shared" si="0"/>
        <v>2403043</v>
      </c>
      <c r="E44" s="67" t="s">
        <v>1261</v>
      </c>
      <c r="F44" s="67" t="s">
        <v>1262</v>
      </c>
      <c r="G44" s="67" t="s">
        <v>1118</v>
      </c>
      <c r="H44" s="67" t="s">
        <v>1263</v>
      </c>
      <c r="I44" s="67" t="s">
        <v>1264</v>
      </c>
      <c r="J44" s="67"/>
      <c r="K44" s="61">
        <v>82245322143</v>
      </c>
      <c r="L44" s="61"/>
      <c r="M44" s="67"/>
      <c r="N44" s="67" t="s">
        <v>1265</v>
      </c>
      <c r="O44" s="61">
        <v>4</v>
      </c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23"/>
    </row>
    <row r="45" spans="1:27" ht="15.75" customHeight="1" x14ac:dyDescent="0.2">
      <c r="A45" s="61">
        <v>24</v>
      </c>
      <c r="B45" s="61" t="s">
        <v>745</v>
      </c>
      <c r="C45" s="62" t="s">
        <v>350</v>
      </c>
      <c r="D45" s="62" t="str">
        <f t="shared" si="0"/>
        <v>2403044</v>
      </c>
      <c r="E45" s="75" t="s">
        <v>1266</v>
      </c>
      <c r="F45" s="75" t="s">
        <v>1267</v>
      </c>
      <c r="G45" s="75" t="s">
        <v>1118</v>
      </c>
      <c r="H45" s="77" t="s">
        <v>1268</v>
      </c>
      <c r="I45" s="75" t="s">
        <v>1269</v>
      </c>
      <c r="J45" s="67"/>
      <c r="K45" s="76" t="s">
        <v>1270</v>
      </c>
      <c r="L45" s="61"/>
      <c r="M45" s="67"/>
      <c r="N45" s="67"/>
      <c r="O45" s="76">
        <v>2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2">
      <c r="A46" s="61">
        <v>24</v>
      </c>
      <c r="B46" s="61" t="s">
        <v>745</v>
      </c>
      <c r="C46" s="62" t="s">
        <v>356</v>
      </c>
      <c r="D46" s="62" t="str">
        <f t="shared" si="0"/>
        <v>2403045</v>
      </c>
      <c r="E46" s="75" t="s">
        <v>1271</v>
      </c>
      <c r="F46" s="75" t="s">
        <v>1272</v>
      </c>
      <c r="G46" s="75" t="s">
        <v>1118</v>
      </c>
      <c r="H46" s="75" t="s">
        <v>1273</v>
      </c>
      <c r="I46" s="75" t="s">
        <v>1274</v>
      </c>
      <c r="J46" s="67"/>
      <c r="K46" s="76">
        <v>895405462662</v>
      </c>
      <c r="L46" s="61"/>
      <c r="M46" s="67"/>
      <c r="N46" s="67"/>
      <c r="O46" s="76">
        <v>5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2">
      <c r="A47" s="61">
        <v>24</v>
      </c>
      <c r="B47" s="61" t="s">
        <v>745</v>
      </c>
      <c r="C47" s="62" t="s">
        <v>362</v>
      </c>
      <c r="D47" s="62" t="str">
        <f t="shared" si="0"/>
        <v>2403046</v>
      </c>
      <c r="E47" s="75" t="s">
        <v>1275</v>
      </c>
      <c r="F47" s="75" t="s">
        <v>1276</v>
      </c>
      <c r="G47" s="75" t="s">
        <v>1118</v>
      </c>
      <c r="H47" s="75" t="s">
        <v>1277</v>
      </c>
      <c r="I47" s="75" t="s">
        <v>1278</v>
      </c>
      <c r="J47" s="67"/>
      <c r="K47" s="76">
        <v>85604760197</v>
      </c>
      <c r="L47" s="61"/>
      <c r="M47" s="67"/>
      <c r="N47" s="67"/>
      <c r="O47" s="76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2">
      <c r="A48" s="61">
        <v>24</v>
      </c>
      <c r="B48" s="61" t="s">
        <v>745</v>
      </c>
      <c r="C48" s="62" t="s">
        <v>368</v>
      </c>
      <c r="D48" s="62" t="str">
        <f t="shared" si="0"/>
        <v>2403047</v>
      </c>
      <c r="E48" s="75" t="s">
        <v>1279</v>
      </c>
      <c r="F48" s="75" t="s">
        <v>1280</v>
      </c>
      <c r="G48" s="75" t="s">
        <v>1122</v>
      </c>
      <c r="H48" s="75" t="s">
        <v>1281</v>
      </c>
      <c r="I48" s="75" t="s">
        <v>1023</v>
      </c>
      <c r="J48" s="67"/>
      <c r="K48" s="76" t="s">
        <v>1282</v>
      </c>
      <c r="L48" s="61"/>
      <c r="M48" s="67"/>
      <c r="N48" s="67"/>
      <c r="O48" s="76">
        <v>2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2">
      <c r="A49" s="61">
        <v>25</v>
      </c>
      <c r="B49" s="61" t="s">
        <v>745</v>
      </c>
      <c r="C49" s="62" t="s">
        <v>374</v>
      </c>
      <c r="D49" s="62" t="str">
        <f t="shared" si="0"/>
        <v>2503048</v>
      </c>
      <c r="E49" s="54" t="s">
        <v>1283</v>
      </c>
      <c r="F49" s="54" t="s">
        <v>1284</v>
      </c>
      <c r="G49" s="54" t="s">
        <v>1122</v>
      </c>
      <c r="H49" s="54" t="s">
        <v>1285</v>
      </c>
      <c r="I49" s="54" t="s">
        <v>1286</v>
      </c>
      <c r="J49" s="54"/>
      <c r="K49" s="96" t="s">
        <v>1287</v>
      </c>
      <c r="L49" s="96"/>
      <c r="M49" s="54"/>
      <c r="N49" s="54" t="s">
        <v>1288</v>
      </c>
      <c r="O49" s="96">
        <v>4</v>
      </c>
      <c r="Q49" s="43"/>
      <c r="S49" s="44"/>
      <c r="U49" s="43"/>
      <c r="V49" s="43"/>
      <c r="W49" s="43"/>
      <c r="X49" s="43"/>
      <c r="Y49" s="43"/>
      <c r="Z49" s="43"/>
      <c r="AA49" s="43"/>
    </row>
    <row r="50" spans="1:27" ht="15.75" customHeight="1" x14ac:dyDescent="0.2">
      <c r="A50" s="61">
        <v>25</v>
      </c>
      <c r="B50" s="61" t="s">
        <v>745</v>
      </c>
      <c r="C50" s="62" t="s">
        <v>380</v>
      </c>
      <c r="D50" s="62" t="str">
        <f t="shared" si="0"/>
        <v>2503049</v>
      </c>
      <c r="E50" s="54" t="s">
        <v>1289</v>
      </c>
      <c r="F50" s="54" t="s">
        <v>1290</v>
      </c>
      <c r="G50" s="54" t="s">
        <v>1118</v>
      </c>
      <c r="H50" s="54" t="s">
        <v>1291</v>
      </c>
      <c r="I50" s="54" t="s">
        <v>1292</v>
      </c>
      <c r="J50" s="54"/>
      <c r="K50" s="96" t="s">
        <v>1293</v>
      </c>
      <c r="L50" s="96"/>
      <c r="M50" s="54"/>
      <c r="N50" s="54" t="s">
        <v>1294</v>
      </c>
      <c r="O50" s="96">
        <v>3</v>
      </c>
      <c r="R50" s="43"/>
      <c r="T50" s="44"/>
      <c r="V50" s="43"/>
      <c r="W50" s="43"/>
      <c r="X50" s="43"/>
      <c r="Y50" s="43"/>
      <c r="Z50" s="43"/>
      <c r="AA50" s="43"/>
    </row>
    <row r="51" spans="1:27" ht="15.75" customHeight="1" x14ac:dyDescent="0.15">
      <c r="A51" s="56"/>
      <c r="B51" s="56"/>
      <c r="C51" s="23"/>
      <c r="D51" s="23"/>
      <c r="E51" s="23"/>
      <c r="F51" s="23"/>
      <c r="G51" s="23"/>
      <c r="H51" s="23"/>
      <c r="I51" s="23"/>
      <c r="J51" s="23"/>
      <c r="K51" s="56"/>
      <c r="L51" s="56"/>
      <c r="M51" s="23"/>
      <c r="N51" s="23"/>
      <c r="O51" s="56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15">
      <c r="A52" s="56"/>
      <c r="B52" s="56"/>
      <c r="C52" s="23"/>
      <c r="D52" s="23"/>
      <c r="E52" s="23"/>
      <c r="F52" s="23"/>
      <c r="G52" s="23"/>
      <c r="H52" s="23"/>
      <c r="I52" s="23"/>
      <c r="J52" s="23"/>
      <c r="K52" s="56"/>
      <c r="L52" s="56"/>
      <c r="M52" s="23"/>
      <c r="N52" s="23"/>
      <c r="O52" s="5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15">
      <c r="A53" s="56"/>
      <c r="B53" s="56"/>
      <c r="C53" s="23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3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3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3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3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23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23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23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23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23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23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.75" customHeight="1" x14ac:dyDescent="0.15">
      <c r="A242" s="56"/>
      <c r="B242" s="56"/>
      <c r="C242" s="23"/>
      <c r="D242" s="23"/>
      <c r="E242" s="23"/>
      <c r="F242" s="23"/>
      <c r="G242" s="23"/>
      <c r="H242" s="23"/>
      <c r="I242" s="23"/>
      <c r="J242" s="23"/>
      <c r="K242" s="56"/>
      <c r="L242" s="56"/>
      <c r="M242" s="23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.75" customHeight="1" x14ac:dyDescent="0.15">
      <c r="A243" s="56"/>
      <c r="B243" s="56"/>
      <c r="C243" s="23"/>
      <c r="D243" s="23"/>
      <c r="E243" s="23"/>
      <c r="F243" s="23"/>
      <c r="G243" s="23"/>
      <c r="H243" s="23"/>
      <c r="I243" s="23"/>
      <c r="J243" s="23"/>
      <c r="K243" s="56"/>
      <c r="L243" s="56"/>
      <c r="M243" s="23"/>
      <c r="N243" s="23"/>
      <c r="O243" s="56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.75" customHeight="1" x14ac:dyDescent="0.15">
      <c r="A244" s="56"/>
      <c r="B244" s="56"/>
      <c r="C244" s="23"/>
      <c r="D244" s="23"/>
      <c r="E244" s="23"/>
      <c r="F244" s="23"/>
      <c r="G244" s="23"/>
      <c r="H244" s="23"/>
      <c r="I244" s="23"/>
      <c r="J244" s="23"/>
      <c r="K244" s="56"/>
      <c r="L244" s="56"/>
      <c r="M244" s="23"/>
      <c r="N244" s="23"/>
      <c r="O244" s="5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.75" customHeight="1" x14ac:dyDescent="0.15">
      <c r="A245" s="56"/>
      <c r="B245" s="56"/>
      <c r="C245" s="23"/>
      <c r="D245" s="23"/>
      <c r="E245" s="23"/>
      <c r="F245" s="23"/>
      <c r="G245" s="23"/>
      <c r="H245" s="23"/>
      <c r="I245" s="23"/>
      <c r="J245" s="23"/>
      <c r="K245" s="56"/>
      <c r="L245" s="56"/>
      <c r="M245" s="23"/>
      <c r="N245" s="23"/>
      <c r="O245" s="56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5.75" customHeight="1" x14ac:dyDescent="0.15">
      <c r="A246" s="56"/>
      <c r="B246" s="56"/>
      <c r="C246" s="23"/>
      <c r="D246" s="23"/>
      <c r="E246" s="23"/>
      <c r="F246" s="23"/>
      <c r="G246" s="23"/>
      <c r="H246" s="23"/>
      <c r="I246" s="23"/>
      <c r="J246" s="23"/>
      <c r="K246" s="56"/>
      <c r="L246" s="56"/>
      <c r="M246" s="23"/>
      <c r="N246" s="23"/>
      <c r="O246" s="5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5.75" customHeight="1" x14ac:dyDescent="0.15">
      <c r="A247" s="56"/>
      <c r="B247" s="56"/>
      <c r="C247" s="23"/>
      <c r="D247" s="23"/>
      <c r="E247" s="23"/>
      <c r="F247" s="23"/>
      <c r="G247" s="23"/>
      <c r="H247" s="23"/>
      <c r="I247" s="23"/>
      <c r="J247" s="23"/>
      <c r="K247" s="56"/>
      <c r="L247" s="56"/>
      <c r="M247" s="23"/>
      <c r="N247" s="23"/>
      <c r="O247" s="56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3" x14ac:dyDescent="0.15">
      <c r="A248" s="56"/>
      <c r="B248" s="56"/>
      <c r="K248" s="56"/>
      <c r="L248" s="79"/>
      <c r="O248" s="56"/>
    </row>
    <row r="249" spans="1:27" ht="13" x14ac:dyDescent="0.15">
      <c r="A249" s="56"/>
      <c r="B249" s="56"/>
      <c r="K249" s="56"/>
      <c r="L249" s="79"/>
      <c r="O249" s="56"/>
    </row>
    <row r="250" spans="1:27" ht="13" x14ac:dyDescent="0.15">
      <c r="A250" s="56"/>
      <c r="B250" s="56"/>
      <c r="K250" s="56"/>
      <c r="L250" s="79"/>
      <c r="O250" s="56"/>
    </row>
    <row r="251" spans="1:27" ht="13" x14ac:dyDescent="0.15">
      <c r="A251" s="56"/>
      <c r="B251" s="56"/>
      <c r="K251" s="56"/>
      <c r="L251" s="79"/>
      <c r="O251" s="56"/>
    </row>
    <row r="252" spans="1:27" ht="13" x14ac:dyDescent="0.15">
      <c r="A252" s="56"/>
      <c r="B252" s="56"/>
      <c r="K252" s="56"/>
      <c r="L252" s="79"/>
      <c r="O252" s="56"/>
    </row>
    <row r="253" spans="1:27" ht="13" x14ac:dyDescent="0.15">
      <c r="A253" s="56"/>
      <c r="B253" s="56"/>
      <c r="K253" s="56"/>
      <c r="L253" s="79"/>
      <c r="O253" s="56"/>
    </row>
    <row r="254" spans="1:27" ht="13" x14ac:dyDescent="0.15">
      <c r="A254" s="56"/>
      <c r="B254" s="56"/>
      <c r="K254" s="56"/>
      <c r="L254" s="79"/>
      <c r="O254" s="56"/>
    </row>
    <row r="255" spans="1:27" ht="13" x14ac:dyDescent="0.15">
      <c r="A255" s="56"/>
      <c r="B255" s="56"/>
      <c r="K255" s="56"/>
      <c r="L255" s="79"/>
      <c r="O255" s="56"/>
    </row>
    <row r="256" spans="1:27" ht="13" x14ac:dyDescent="0.15">
      <c r="A256" s="56"/>
      <c r="B256" s="56"/>
      <c r="K256" s="56"/>
      <c r="L256" s="79"/>
      <c r="O256" s="56"/>
    </row>
    <row r="257" spans="1:15" ht="13" x14ac:dyDescent="0.15">
      <c r="A257" s="56"/>
      <c r="B257" s="56"/>
      <c r="K257" s="56"/>
      <c r="L257" s="79"/>
      <c r="O257" s="56"/>
    </row>
    <row r="258" spans="1:15" ht="13" x14ac:dyDescent="0.15">
      <c r="A258" s="56"/>
      <c r="B258" s="56"/>
      <c r="K258" s="56"/>
      <c r="L258" s="79"/>
      <c r="O258" s="56"/>
    </row>
    <row r="259" spans="1:15" ht="13" x14ac:dyDescent="0.15">
      <c r="A259" s="56"/>
      <c r="B259" s="56"/>
      <c r="K259" s="56"/>
      <c r="L259" s="79"/>
      <c r="O259" s="56"/>
    </row>
    <row r="260" spans="1:15" ht="13" x14ac:dyDescent="0.15">
      <c r="A260" s="56"/>
      <c r="B260" s="56"/>
      <c r="K260" s="56"/>
      <c r="L260" s="79"/>
      <c r="O260" s="56"/>
    </row>
    <row r="261" spans="1:15" ht="13" x14ac:dyDescent="0.15">
      <c r="A261" s="56"/>
      <c r="B261" s="56"/>
      <c r="K261" s="56"/>
      <c r="L261" s="79"/>
      <c r="O261" s="56"/>
    </row>
    <row r="262" spans="1:15" ht="13" x14ac:dyDescent="0.15">
      <c r="A262" s="56"/>
      <c r="B262" s="56"/>
      <c r="K262" s="56"/>
      <c r="L262" s="79"/>
      <c r="O262" s="56"/>
    </row>
    <row r="263" spans="1:15" ht="13" x14ac:dyDescent="0.15">
      <c r="A263" s="56"/>
      <c r="B263" s="56"/>
      <c r="K263" s="56"/>
      <c r="L263" s="79"/>
      <c r="O263" s="56"/>
    </row>
    <row r="264" spans="1:15" ht="13" x14ac:dyDescent="0.15">
      <c r="A264" s="56"/>
      <c r="B264" s="56"/>
      <c r="K264" s="56"/>
      <c r="L264" s="79"/>
      <c r="O264" s="56"/>
    </row>
    <row r="265" spans="1:15" ht="13" x14ac:dyDescent="0.15">
      <c r="A265" s="56"/>
      <c r="B265" s="56"/>
      <c r="K265" s="56"/>
      <c r="L265" s="79"/>
      <c r="O265" s="56"/>
    </row>
    <row r="266" spans="1:15" ht="13" x14ac:dyDescent="0.15">
      <c r="A266" s="56"/>
      <c r="B266" s="56"/>
      <c r="K266" s="56"/>
      <c r="L266" s="79"/>
      <c r="O266" s="56"/>
    </row>
    <row r="267" spans="1:15" ht="13" x14ac:dyDescent="0.15">
      <c r="A267" s="56"/>
      <c r="B267" s="56"/>
      <c r="K267" s="56"/>
      <c r="L267" s="79"/>
      <c r="O267" s="56"/>
    </row>
    <row r="268" spans="1:15" ht="13" x14ac:dyDescent="0.15">
      <c r="A268" s="56"/>
      <c r="B268" s="56"/>
      <c r="K268" s="56"/>
      <c r="L268" s="79"/>
      <c r="O268" s="56"/>
    </row>
    <row r="269" spans="1:15" ht="13" x14ac:dyDescent="0.15">
      <c r="A269" s="56"/>
      <c r="B269" s="56"/>
      <c r="K269" s="56"/>
      <c r="L269" s="79"/>
      <c r="O269" s="56"/>
    </row>
    <row r="270" spans="1:15" ht="13" x14ac:dyDescent="0.15">
      <c r="A270" s="56"/>
      <c r="B270" s="56"/>
      <c r="K270" s="56"/>
      <c r="L270" s="79"/>
      <c r="O270" s="56"/>
    </row>
    <row r="271" spans="1:15" ht="13" x14ac:dyDescent="0.15">
      <c r="A271" s="56"/>
      <c r="B271" s="56"/>
      <c r="K271" s="56"/>
      <c r="L271" s="79"/>
      <c r="O271" s="56"/>
    </row>
    <row r="272" spans="1:15" ht="13" x14ac:dyDescent="0.15">
      <c r="A272" s="56"/>
      <c r="B272" s="56"/>
      <c r="K272" s="56"/>
      <c r="L272" s="79"/>
      <c r="O272" s="56"/>
    </row>
    <row r="273" spans="1:15" ht="13" x14ac:dyDescent="0.15">
      <c r="A273" s="56"/>
      <c r="B273" s="56"/>
      <c r="K273" s="56"/>
      <c r="L273" s="79"/>
      <c r="O273" s="56"/>
    </row>
    <row r="274" spans="1:15" ht="13" x14ac:dyDescent="0.15">
      <c r="A274" s="56"/>
      <c r="B274" s="56"/>
      <c r="K274" s="56"/>
      <c r="L274" s="79"/>
      <c r="O274" s="56"/>
    </row>
    <row r="275" spans="1:15" ht="13" x14ac:dyDescent="0.15">
      <c r="A275" s="56"/>
      <c r="B275" s="56"/>
      <c r="K275" s="56"/>
      <c r="L275" s="79"/>
      <c r="O275" s="56"/>
    </row>
    <row r="276" spans="1:15" ht="13" x14ac:dyDescent="0.15">
      <c r="A276" s="56"/>
      <c r="B276" s="56"/>
      <c r="K276" s="56"/>
      <c r="L276" s="79"/>
      <c r="O276" s="56"/>
    </row>
    <row r="277" spans="1:15" ht="13" x14ac:dyDescent="0.15">
      <c r="A277" s="56"/>
      <c r="B277" s="56"/>
      <c r="K277" s="56"/>
      <c r="L277" s="79"/>
      <c r="O277" s="56"/>
    </row>
    <row r="278" spans="1:15" ht="13" x14ac:dyDescent="0.15">
      <c r="A278" s="56"/>
      <c r="B278" s="56"/>
      <c r="K278" s="56"/>
      <c r="L278" s="79"/>
      <c r="O278" s="56"/>
    </row>
    <row r="279" spans="1:15" ht="13" x14ac:dyDescent="0.15">
      <c r="A279" s="56"/>
      <c r="B279" s="56"/>
      <c r="K279" s="56"/>
      <c r="L279" s="79"/>
      <c r="O279" s="56"/>
    </row>
    <row r="280" spans="1:15" ht="13" x14ac:dyDescent="0.15">
      <c r="A280" s="56"/>
      <c r="B280" s="56"/>
      <c r="K280" s="56"/>
      <c r="L280" s="79"/>
      <c r="O280" s="56"/>
    </row>
    <row r="281" spans="1:15" ht="13" x14ac:dyDescent="0.15">
      <c r="A281" s="56"/>
      <c r="B281" s="56"/>
      <c r="K281" s="56"/>
      <c r="L281" s="79"/>
      <c r="O281" s="56"/>
    </row>
    <row r="282" spans="1:15" ht="13" x14ac:dyDescent="0.15">
      <c r="A282" s="56"/>
      <c r="B282" s="56"/>
      <c r="K282" s="56"/>
      <c r="L282" s="79"/>
      <c r="O282" s="56"/>
    </row>
    <row r="283" spans="1:15" ht="13" x14ac:dyDescent="0.15">
      <c r="A283" s="56"/>
      <c r="B283" s="56"/>
      <c r="K283" s="56"/>
      <c r="L283" s="79"/>
      <c r="O283" s="56"/>
    </row>
    <row r="284" spans="1:15" ht="13" x14ac:dyDescent="0.15">
      <c r="A284" s="56"/>
      <c r="B284" s="56"/>
      <c r="K284" s="56"/>
      <c r="L284" s="79"/>
      <c r="O284" s="56"/>
    </row>
    <row r="285" spans="1:15" ht="13" x14ac:dyDescent="0.15">
      <c r="A285" s="56"/>
      <c r="B285" s="56"/>
      <c r="K285" s="56"/>
      <c r="L285" s="79"/>
      <c r="O285" s="56"/>
    </row>
    <row r="286" spans="1:15" ht="13" x14ac:dyDescent="0.15">
      <c r="A286" s="56"/>
      <c r="B286" s="56"/>
      <c r="K286" s="56"/>
      <c r="L286" s="79"/>
      <c r="O286" s="56"/>
    </row>
    <row r="287" spans="1:15" ht="13" x14ac:dyDescent="0.15">
      <c r="A287" s="56"/>
      <c r="B287" s="56"/>
      <c r="K287" s="56"/>
      <c r="L287" s="79"/>
      <c r="O287" s="56"/>
    </row>
    <row r="288" spans="1:15" ht="13" x14ac:dyDescent="0.15">
      <c r="A288" s="56"/>
      <c r="B288" s="56"/>
      <c r="K288" s="56"/>
      <c r="L288" s="79"/>
      <c r="O288" s="56"/>
    </row>
    <row r="289" spans="1:15" ht="13" x14ac:dyDescent="0.15">
      <c r="A289" s="56"/>
      <c r="B289" s="56"/>
      <c r="K289" s="56"/>
      <c r="L289" s="79"/>
      <c r="O289" s="56"/>
    </row>
    <row r="290" spans="1:15" ht="13" x14ac:dyDescent="0.15">
      <c r="A290" s="56"/>
      <c r="B290" s="56"/>
      <c r="K290" s="56"/>
      <c r="L290" s="79"/>
      <c r="O290" s="56"/>
    </row>
    <row r="291" spans="1:15" ht="13" x14ac:dyDescent="0.15">
      <c r="A291" s="56"/>
      <c r="B291" s="56"/>
      <c r="K291" s="56"/>
      <c r="L291" s="79"/>
      <c r="O291" s="56"/>
    </row>
    <row r="292" spans="1:15" ht="13" x14ac:dyDescent="0.15">
      <c r="A292" s="56"/>
      <c r="B292" s="56"/>
      <c r="K292" s="56"/>
      <c r="L292" s="79"/>
      <c r="O292" s="56"/>
    </row>
    <row r="293" spans="1:15" ht="13" x14ac:dyDescent="0.15">
      <c r="A293" s="56"/>
      <c r="B293" s="56"/>
      <c r="K293" s="56"/>
      <c r="L293" s="79"/>
      <c r="O293" s="56"/>
    </row>
    <row r="294" spans="1:15" ht="13" x14ac:dyDescent="0.15">
      <c r="A294" s="56"/>
      <c r="B294" s="56"/>
      <c r="K294" s="56"/>
      <c r="L294" s="79"/>
      <c r="O294" s="56"/>
    </row>
    <row r="295" spans="1:15" ht="13" x14ac:dyDescent="0.15">
      <c r="A295" s="56"/>
      <c r="B295" s="56"/>
      <c r="K295" s="56"/>
      <c r="L295" s="79"/>
      <c r="O295" s="56"/>
    </row>
    <row r="296" spans="1:15" ht="13" x14ac:dyDescent="0.15">
      <c r="A296" s="56"/>
      <c r="B296" s="56"/>
      <c r="K296" s="56"/>
      <c r="L296" s="79"/>
      <c r="O296" s="56"/>
    </row>
    <row r="297" spans="1:15" ht="13" x14ac:dyDescent="0.15">
      <c r="A297" s="56"/>
      <c r="B297" s="56"/>
      <c r="K297" s="56"/>
      <c r="L297" s="79"/>
      <c r="O297" s="56"/>
    </row>
    <row r="298" spans="1:15" ht="13" x14ac:dyDescent="0.15">
      <c r="A298" s="56"/>
      <c r="B298" s="56"/>
      <c r="K298" s="56"/>
      <c r="L298" s="79"/>
      <c r="O298" s="56"/>
    </row>
    <row r="299" spans="1:15" ht="13" x14ac:dyDescent="0.15">
      <c r="A299" s="56"/>
      <c r="B299" s="56"/>
      <c r="K299" s="56"/>
      <c r="L299" s="79"/>
      <c r="O299" s="56"/>
    </row>
    <row r="300" spans="1:15" ht="13" x14ac:dyDescent="0.15">
      <c r="A300" s="56"/>
      <c r="B300" s="56"/>
      <c r="K300" s="56"/>
      <c r="L300" s="79"/>
      <c r="O300" s="56"/>
    </row>
    <row r="301" spans="1:15" ht="13" x14ac:dyDescent="0.15">
      <c r="A301" s="56"/>
      <c r="B301" s="56"/>
      <c r="K301" s="56"/>
      <c r="L301" s="79"/>
      <c r="O301" s="56"/>
    </row>
    <row r="302" spans="1:15" ht="13" x14ac:dyDescent="0.15">
      <c r="A302" s="56"/>
      <c r="B302" s="56"/>
      <c r="K302" s="56"/>
      <c r="L302" s="79"/>
      <c r="O302" s="56"/>
    </row>
    <row r="303" spans="1:15" ht="13" x14ac:dyDescent="0.15">
      <c r="A303" s="56"/>
      <c r="B303" s="56"/>
      <c r="K303" s="56"/>
      <c r="L303" s="79"/>
      <c r="O303" s="56"/>
    </row>
    <row r="304" spans="1:15" ht="13" x14ac:dyDescent="0.15">
      <c r="A304" s="56"/>
      <c r="B304" s="56"/>
      <c r="K304" s="56"/>
      <c r="L304" s="79"/>
      <c r="O304" s="56"/>
    </row>
    <row r="305" spans="1:15" ht="13" x14ac:dyDescent="0.15">
      <c r="A305" s="56"/>
      <c r="B305" s="56"/>
      <c r="K305" s="56"/>
      <c r="L305" s="79"/>
      <c r="O305" s="56"/>
    </row>
    <row r="306" spans="1:15" ht="13" x14ac:dyDescent="0.15">
      <c r="A306" s="56"/>
      <c r="B306" s="56"/>
      <c r="K306" s="56"/>
      <c r="L306" s="79"/>
      <c r="O306" s="56"/>
    </row>
    <row r="307" spans="1:15" ht="13" x14ac:dyDescent="0.15">
      <c r="A307" s="56"/>
      <c r="B307" s="56"/>
      <c r="K307" s="56"/>
      <c r="L307" s="79"/>
      <c r="O307" s="56"/>
    </row>
    <row r="308" spans="1:15" ht="13" x14ac:dyDescent="0.15">
      <c r="A308" s="56"/>
      <c r="B308" s="56"/>
      <c r="K308" s="56"/>
      <c r="L308" s="79"/>
      <c r="O308" s="56"/>
    </row>
    <row r="309" spans="1:15" ht="13" x14ac:dyDescent="0.15">
      <c r="A309" s="56"/>
      <c r="B309" s="56"/>
      <c r="K309" s="56"/>
      <c r="L309" s="79"/>
      <c r="O309" s="56"/>
    </row>
    <row r="310" spans="1:15" ht="13" x14ac:dyDescent="0.15">
      <c r="A310" s="56"/>
      <c r="B310" s="56"/>
      <c r="K310" s="56"/>
      <c r="L310" s="79"/>
      <c r="O310" s="56"/>
    </row>
    <row r="311" spans="1:15" ht="13" x14ac:dyDescent="0.15">
      <c r="A311" s="56"/>
      <c r="B311" s="56"/>
      <c r="K311" s="56"/>
      <c r="L311" s="79"/>
      <c r="O311" s="56"/>
    </row>
    <row r="312" spans="1:15" ht="13" x14ac:dyDescent="0.15">
      <c r="A312" s="56"/>
      <c r="B312" s="56"/>
      <c r="K312" s="56"/>
      <c r="L312" s="79"/>
      <c r="O312" s="56"/>
    </row>
    <row r="313" spans="1:15" ht="13" x14ac:dyDescent="0.15">
      <c r="A313" s="56"/>
      <c r="B313" s="56"/>
      <c r="K313" s="56"/>
      <c r="L313" s="79"/>
      <c r="O313" s="56"/>
    </row>
    <row r="314" spans="1:15" ht="13" x14ac:dyDescent="0.15">
      <c r="A314" s="56"/>
      <c r="B314" s="56"/>
      <c r="K314" s="56"/>
      <c r="L314" s="79"/>
      <c r="O314" s="56"/>
    </row>
    <row r="315" spans="1:15" ht="13" x14ac:dyDescent="0.15">
      <c r="A315" s="56"/>
      <c r="B315" s="56"/>
      <c r="K315" s="56"/>
      <c r="L315" s="79"/>
      <c r="O315" s="56"/>
    </row>
    <row r="316" spans="1:15" ht="13" x14ac:dyDescent="0.15">
      <c r="A316" s="56"/>
      <c r="B316" s="56"/>
      <c r="K316" s="56"/>
      <c r="L316" s="79"/>
      <c r="O316" s="56"/>
    </row>
    <row r="317" spans="1:15" ht="13" x14ac:dyDescent="0.15">
      <c r="A317" s="56"/>
      <c r="B317" s="56"/>
      <c r="K317" s="56"/>
      <c r="L317" s="79"/>
      <c r="O317" s="56"/>
    </row>
    <row r="318" spans="1:15" ht="13" x14ac:dyDescent="0.15">
      <c r="A318" s="56"/>
      <c r="B318" s="56"/>
      <c r="K318" s="56"/>
      <c r="L318" s="79"/>
      <c r="O318" s="56"/>
    </row>
    <row r="319" spans="1:15" ht="13" x14ac:dyDescent="0.15">
      <c r="A319" s="56"/>
      <c r="B319" s="56"/>
      <c r="K319" s="56"/>
      <c r="L319" s="79"/>
      <c r="O319" s="56"/>
    </row>
    <row r="320" spans="1:15" ht="13" x14ac:dyDescent="0.15">
      <c r="A320" s="56"/>
      <c r="B320" s="56"/>
      <c r="K320" s="56"/>
      <c r="L320" s="79"/>
      <c r="O320" s="56"/>
    </row>
    <row r="321" spans="1:15" ht="13" x14ac:dyDescent="0.15">
      <c r="A321" s="56"/>
      <c r="B321" s="56"/>
      <c r="K321" s="56"/>
      <c r="L321" s="79"/>
      <c r="O321" s="56"/>
    </row>
    <row r="322" spans="1:15" ht="13" x14ac:dyDescent="0.15">
      <c r="A322" s="56"/>
      <c r="B322" s="56"/>
      <c r="K322" s="56"/>
      <c r="L322" s="79"/>
      <c r="O322" s="56"/>
    </row>
    <row r="323" spans="1:15" ht="13" x14ac:dyDescent="0.15">
      <c r="A323" s="56"/>
      <c r="B323" s="56"/>
      <c r="K323" s="56"/>
      <c r="L323" s="79"/>
      <c r="O323" s="56"/>
    </row>
    <row r="324" spans="1:15" ht="13" x14ac:dyDescent="0.15">
      <c r="A324" s="56"/>
      <c r="B324" s="56"/>
      <c r="K324" s="56"/>
      <c r="L324" s="79"/>
      <c r="O324" s="56"/>
    </row>
    <row r="325" spans="1:15" ht="13" x14ac:dyDescent="0.15">
      <c r="A325" s="56"/>
      <c r="B325" s="56"/>
      <c r="K325" s="56"/>
      <c r="L325" s="79"/>
      <c r="O325" s="56"/>
    </row>
    <row r="326" spans="1:15" ht="13" x14ac:dyDescent="0.15">
      <c r="A326" s="56"/>
      <c r="B326" s="56"/>
      <c r="K326" s="56"/>
      <c r="L326" s="79"/>
      <c r="O326" s="56"/>
    </row>
    <row r="327" spans="1:15" ht="13" x14ac:dyDescent="0.15">
      <c r="A327" s="56"/>
      <c r="B327" s="56"/>
      <c r="K327" s="56"/>
      <c r="L327" s="79"/>
      <c r="O327" s="56"/>
    </row>
    <row r="328" spans="1:15" ht="13" x14ac:dyDescent="0.15">
      <c r="A328" s="56"/>
      <c r="B328" s="56"/>
      <c r="K328" s="56"/>
      <c r="L328" s="79"/>
      <c r="O328" s="56"/>
    </row>
    <row r="329" spans="1:15" ht="13" x14ac:dyDescent="0.15">
      <c r="A329" s="56"/>
      <c r="B329" s="56"/>
      <c r="K329" s="56"/>
      <c r="L329" s="79"/>
      <c r="O329" s="56"/>
    </row>
    <row r="330" spans="1:15" ht="13" x14ac:dyDescent="0.15">
      <c r="A330" s="56"/>
      <c r="B330" s="56"/>
      <c r="K330" s="56"/>
      <c r="L330" s="79"/>
      <c r="O330" s="56"/>
    </row>
    <row r="331" spans="1:15" ht="13" x14ac:dyDescent="0.15">
      <c r="A331" s="56"/>
      <c r="B331" s="56"/>
      <c r="K331" s="56"/>
      <c r="L331" s="79"/>
      <c r="O331" s="56"/>
    </row>
    <row r="332" spans="1:15" ht="13" x14ac:dyDescent="0.15">
      <c r="A332" s="56"/>
      <c r="B332" s="56"/>
      <c r="K332" s="56"/>
      <c r="L332" s="79"/>
      <c r="O332" s="56"/>
    </row>
    <row r="333" spans="1:15" ht="13" x14ac:dyDescent="0.15">
      <c r="A333" s="56"/>
      <c r="B333" s="56"/>
      <c r="K333" s="56"/>
      <c r="L333" s="79"/>
      <c r="O333" s="56"/>
    </row>
    <row r="334" spans="1:15" ht="13" x14ac:dyDescent="0.15">
      <c r="A334" s="56"/>
      <c r="B334" s="56"/>
      <c r="K334" s="56"/>
      <c r="L334" s="79"/>
      <c r="O334" s="56"/>
    </row>
    <row r="335" spans="1:15" ht="13" x14ac:dyDescent="0.15">
      <c r="A335" s="56"/>
      <c r="B335" s="56"/>
      <c r="K335" s="56"/>
      <c r="L335" s="79"/>
      <c r="O335" s="56"/>
    </row>
    <row r="336" spans="1:15" ht="13" x14ac:dyDescent="0.15">
      <c r="A336" s="56"/>
      <c r="B336" s="56"/>
      <c r="K336" s="56"/>
      <c r="L336" s="79"/>
      <c r="O336" s="56"/>
    </row>
    <row r="337" spans="1:15" ht="13" x14ac:dyDescent="0.15">
      <c r="A337" s="56"/>
      <c r="B337" s="56"/>
      <c r="K337" s="56"/>
      <c r="L337" s="79"/>
      <c r="O337" s="56"/>
    </row>
    <row r="338" spans="1:15" ht="13" x14ac:dyDescent="0.15">
      <c r="A338" s="56"/>
      <c r="B338" s="56"/>
      <c r="K338" s="56"/>
      <c r="L338" s="79"/>
      <c r="O338" s="56"/>
    </row>
    <row r="339" spans="1:15" ht="13" x14ac:dyDescent="0.15">
      <c r="A339" s="56"/>
      <c r="B339" s="56"/>
      <c r="K339" s="56"/>
      <c r="L339" s="79"/>
      <c r="O339" s="56"/>
    </row>
    <row r="340" spans="1:15" ht="13" x14ac:dyDescent="0.15">
      <c r="A340" s="56"/>
      <c r="B340" s="56"/>
      <c r="K340" s="56"/>
      <c r="L340" s="79"/>
      <c r="O340" s="56"/>
    </row>
    <row r="341" spans="1:15" ht="13" x14ac:dyDescent="0.15">
      <c r="A341" s="56"/>
      <c r="B341" s="56"/>
      <c r="K341" s="56"/>
      <c r="L341" s="79"/>
      <c r="O341" s="56"/>
    </row>
    <row r="342" spans="1:15" ht="13" x14ac:dyDescent="0.15">
      <c r="A342" s="56"/>
      <c r="B342" s="56"/>
      <c r="K342" s="56"/>
      <c r="L342" s="79"/>
      <c r="O342" s="56"/>
    </row>
    <row r="343" spans="1:15" ht="13" x14ac:dyDescent="0.15">
      <c r="A343" s="56"/>
      <c r="B343" s="56"/>
      <c r="K343" s="56"/>
      <c r="L343" s="79"/>
      <c r="O343" s="56"/>
    </row>
    <row r="344" spans="1:15" ht="13" x14ac:dyDescent="0.15">
      <c r="A344" s="56"/>
      <c r="B344" s="56"/>
      <c r="K344" s="56"/>
      <c r="L344" s="79"/>
      <c r="O344" s="56"/>
    </row>
    <row r="345" spans="1:15" ht="13" x14ac:dyDescent="0.15">
      <c r="A345" s="56"/>
      <c r="B345" s="56"/>
      <c r="K345" s="56"/>
      <c r="L345" s="79"/>
      <c r="O345" s="56"/>
    </row>
    <row r="346" spans="1:15" ht="13" x14ac:dyDescent="0.15">
      <c r="A346" s="56"/>
      <c r="B346" s="56"/>
      <c r="K346" s="56"/>
      <c r="L346" s="79"/>
      <c r="O346" s="56"/>
    </row>
    <row r="347" spans="1:15" ht="13" x14ac:dyDescent="0.15">
      <c r="A347" s="56"/>
      <c r="B347" s="56"/>
      <c r="K347" s="56"/>
      <c r="L347" s="79"/>
      <c r="O347" s="56"/>
    </row>
    <row r="348" spans="1:15" ht="13" x14ac:dyDescent="0.15">
      <c r="A348" s="56"/>
      <c r="B348" s="56"/>
      <c r="K348" s="56"/>
      <c r="L348" s="79"/>
      <c r="O348" s="56"/>
    </row>
    <row r="349" spans="1:15" ht="13" x14ac:dyDescent="0.15">
      <c r="A349" s="56"/>
      <c r="B349" s="56"/>
      <c r="K349" s="56"/>
      <c r="L349" s="79"/>
      <c r="O349" s="56"/>
    </row>
    <row r="350" spans="1:15" ht="13" x14ac:dyDescent="0.15">
      <c r="A350" s="56"/>
      <c r="B350" s="56"/>
      <c r="K350" s="56"/>
      <c r="L350" s="79"/>
      <c r="O350" s="56"/>
    </row>
    <row r="351" spans="1:15" ht="13" x14ac:dyDescent="0.15">
      <c r="A351" s="56"/>
      <c r="B351" s="56"/>
      <c r="K351" s="56"/>
      <c r="L351" s="79"/>
      <c r="O351" s="56"/>
    </row>
    <row r="352" spans="1:15" ht="13" x14ac:dyDescent="0.15">
      <c r="A352" s="56"/>
      <c r="B352" s="56"/>
      <c r="K352" s="56"/>
      <c r="L352" s="79"/>
      <c r="O352" s="56"/>
    </row>
    <row r="353" spans="1:15" ht="13" x14ac:dyDescent="0.15">
      <c r="A353" s="56"/>
      <c r="B353" s="56"/>
      <c r="K353" s="56"/>
      <c r="L353" s="79"/>
      <c r="O353" s="56"/>
    </row>
    <row r="354" spans="1:15" ht="13" x14ac:dyDescent="0.15">
      <c r="A354" s="56"/>
      <c r="B354" s="56"/>
      <c r="K354" s="56"/>
      <c r="L354" s="79"/>
      <c r="O354" s="56"/>
    </row>
    <row r="355" spans="1:15" ht="13" x14ac:dyDescent="0.15">
      <c r="A355" s="56"/>
      <c r="B355" s="56"/>
      <c r="K355" s="56"/>
      <c r="L355" s="79"/>
      <c r="O355" s="56"/>
    </row>
    <row r="356" spans="1:15" ht="13" x14ac:dyDescent="0.15">
      <c r="A356" s="56"/>
      <c r="B356" s="56"/>
      <c r="K356" s="56"/>
      <c r="L356" s="79"/>
      <c r="O356" s="56"/>
    </row>
    <row r="357" spans="1:15" ht="13" x14ac:dyDescent="0.15">
      <c r="A357" s="56"/>
      <c r="B357" s="56"/>
      <c r="K357" s="56"/>
      <c r="L357" s="79"/>
      <c r="O357" s="56"/>
    </row>
    <row r="358" spans="1:15" ht="13" x14ac:dyDescent="0.15">
      <c r="A358" s="56"/>
      <c r="B358" s="56"/>
      <c r="K358" s="56"/>
      <c r="L358" s="79"/>
      <c r="O358" s="56"/>
    </row>
    <row r="359" spans="1:15" ht="13" x14ac:dyDescent="0.15">
      <c r="A359" s="56"/>
      <c r="B359" s="56"/>
      <c r="K359" s="56"/>
      <c r="L359" s="79"/>
      <c r="O359" s="56"/>
    </row>
    <row r="360" spans="1:15" ht="13" x14ac:dyDescent="0.15">
      <c r="A360" s="56"/>
      <c r="B360" s="56"/>
      <c r="K360" s="56"/>
      <c r="L360" s="79"/>
      <c r="O360" s="56"/>
    </row>
    <row r="361" spans="1:15" ht="13" x14ac:dyDescent="0.15">
      <c r="A361" s="56"/>
      <c r="B361" s="56"/>
      <c r="K361" s="56"/>
      <c r="L361" s="79"/>
      <c r="O361" s="56"/>
    </row>
    <row r="362" spans="1:15" ht="13" x14ac:dyDescent="0.15">
      <c r="A362" s="56"/>
      <c r="B362" s="56"/>
      <c r="K362" s="56"/>
      <c r="L362" s="79"/>
      <c r="O362" s="56"/>
    </row>
    <row r="363" spans="1:15" ht="13" x14ac:dyDescent="0.15">
      <c r="A363" s="56"/>
      <c r="B363" s="56"/>
      <c r="K363" s="56"/>
      <c r="L363" s="79"/>
      <c r="O363" s="56"/>
    </row>
    <row r="364" spans="1:15" ht="13" x14ac:dyDescent="0.15">
      <c r="A364" s="56"/>
      <c r="B364" s="56"/>
      <c r="K364" s="56"/>
      <c r="L364" s="79"/>
      <c r="O364" s="56"/>
    </row>
    <row r="365" spans="1:15" ht="13" x14ac:dyDescent="0.15">
      <c r="A365" s="56"/>
      <c r="B365" s="56"/>
      <c r="K365" s="56"/>
      <c r="L365" s="79"/>
      <c r="O365" s="56"/>
    </row>
    <row r="366" spans="1:15" ht="13" x14ac:dyDescent="0.15">
      <c r="A366" s="56"/>
      <c r="B366" s="56"/>
      <c r="K366" s="56"/>
      <c r="L366" s="79"/>
      <c r="O366" s="56"/>
    </row>
    <row r="367" spans="1:15" ht="13" x14ac:dyDescent="0.15">
      <c r="A367" s="56"/>
      <c r="B367" s="56"/>
      <c r="K367" s="56"/>
      <c r="L367" s="79"/>
      <c r="O367" s="56"/>
    </row>
    <row r="368" spans="1:15" ht="13" x14ac:dyDescent="0.15">
      <c r="A368" s="56"/>
      <c r="B368" s="56"/>
      <c r="K368" s="56"/>
      <c r="L368" s="79"/>
      <c r="O368" s="56"/>
    </row>
    <row r="369" spans="1:15" ht="13" x14ac:dyDescent="0.15">
      <c r="A369" s="56"/>
      <c r="B369" s="56"/>
      <c r="K369" s="56"/>
      <c r="L369" s="79"/>
      <c r="O369" s="56"/>
    </row>
    <row r="370" spans="1:15" ht="13" x14ac:dyDescent="0.15">
      <c r="A370" s="56"/>
      <c r="B370" s="56"/>
      <c r="K370" s="56"/>
      <c r="L370" s="79"/>
      <c r="O370" s="56"/>
    </row>
    <row r="371" spans="1:15" ht="13" x14ac:dyDescent="0.15">
      <c r="A371" s="56"/>
      <c r="B371" s="56"/>
      <c r="K371" s="56"/>
      <c r="L371" s="79"/>
      <c r="O371" s="56"/>
    </row>
    <row r="372" spans="1:15" ht="13" x14ac:dyDescent="0.15">
      <c r="A372" s="56"/>
      <c r="B372" s="56"/>
      <c r="K372" s="56"/>
      <c r="L372" s="79"/>
      <c r="O372" s="56"/>
    </row>
    <row r="373" spans="1:15" ht="13" x14ac:dyDescent="0.15">
      <c r="A373" s="56"/>
      <c r="B373" s="56"/>
      <c r="K373" s="56"/>
      <c r="L373" s="79"/>
      <c r="O373" s="56"/>
    </row>
    <row r="374" spans="1:15" ht="13" x14ac:dyDescent="0.15">
      <c r="A374" s="56"/>
      <c r="B374" s="56"/>
      <c r="K374" s="56"/>
      <c r="L374" s="79"/>
      <c r="O374" s="56"/>
    </row>
    <row r="375" spans="1:15" ht="13" x14ac:dyDescent="0.15">
      <c r="A375" s="56"/>
      <c r="B375" s="56"/>
      <c r="K375" s="56"/>
      <c r="L375" s="79"/>
      <c r="O375" s="56"/>
    </row>
    <row r="376" spans="1:15" ht="13" x14ac:dyDescent="0.15">
      <c r="A376" s="56"/>
      <c r="B376" s="56"/>
      <c r="K376" s="56"/>
      <c r="L376" s="79"/>
      <c r="O376" s="56"/>
    </row>
    <row r="377" spans="1:15" ht="13" x14ac:dyDescent="0.15">
      <c r="A377" s="56"/>
      <c r="B377" s="56"/>
      <c r="K377" s="56"/>
      <c r="L377" s="79"/>
      <c r="O377" s="56"/>
    </row>
    <row r="378" spans="1:15" ht="13" x14ac:dyDescent="0.15">
      <c r="A378" s="56"/>
      <c r="B378" s="56"/>
      <c r="K378" s="56"/>
      <c r="L378" s="79"/>
      <c r="O378" s="56"/>
    </row>
    <row r="379" spans="1:15" ht="13" x14ac:dyDescent="0.15">
      <c r="A379" s="56"/>
      <c r="B379" s="56"/>
      <c r="K379" s="56"/>
      <c r="L379" s="79"/>
      <c r="O379" s="56"/>
    </row>
    <row r="380" spans="1:15" ht="13" x14ac:dyDescent="0.15">
      <c r="A380" s="56"/>
      <c r="B380" s="56"/>
      <c r="K380" s="56"/>
      <c r="L380" s="79"/>
      <c r="O380" s="56"/>
    </row>
    <row r="381" spans="1:15" ht="13" x14ac:dyDescent="0.15">
      <c r="A381" s="56"/>
      <c r="B381" s="56"/>
      <c r="K381" s="56"/>
      <c r="L381" s="79"/>
      <c r="O381" s="56"/>
    </row>
    <row r="382" spans="1:15" ht="13" x14ac:dyDescent="0.15">
      <c r="A382" s="56"/>
      <c r="B382" s="56"/>
      <c r="K382" s="56"/>
      <c r="L382" s="79"/>
      <c r="O382" s="56"/>
    </row>
    <row r="383" spans="1:15" ht="13" x14ac:dyDescent="0.15">
      <c r="A383" s="56"/>
      <c r="B383" s="56"/>
      <c r="K383" s="56"/>
      <c r="L383" s="79"/>
      <c r="O383" s="56"/>
    </row>
    <row r="384" spans="1:15" ht="13" x14ac:dyDescent="0.15">
      <c r="A384" s="56"/>
      <c r="B384" s="56"/>
      <c r="K384" s="56"/>
      <c r="L384" s="79"/>
      <c r="O384" s="56"/>
    </row>
    <row r="385" spans="1:15" ht="13" x14ac:dyDescent="0.15">
      <c r="A385" s="56"/>
      <c r="B385" s="56"/>
      <c r="K385" s="56"/>
      <c r="L385" s="79"/>
      <c r="O385" s="56"/>
    </row>
    <row r="386" spans="1:15" ht="13" x14ac:dyDescent="0.15">
      <c r="A386" s="56"/>
      <c r="B386" s="56"/>
      <c r="K386" s="56"/>
      <c r="L386" s="79"/>
      <c r="O386" s="56"/>
    </row>
    <row r="387" spans="1:15" ht="13" x14ac:dyDescent="0.15">
      <c r="A387" s="56"/>
      <c r="B387" s="56"/>
      <c r="K387" s="56"/>
      <c r="L387" s="79"/>
      <c r="O387" s="56"/>
    </row>
    <row r="388" spans="1:15" ht="13" x14ac:dyDescent="0.15">
      <c r="A388" s="56"/>
      <c r="B388" s="56"/>
      <c r="K388" s="56"/>
      <c r="L388" s="79"/>
      <c r="O388" s="56"/>
    </row>
    <row r="389" spans="1:15" ht="13" x14ac:dyDescent="0.15">
      <c r="A389" s="56"/>
      <c r="B389" s="56"/>
      <c r="K389" s="56"/>
      <c r="L389" s="79"/>
      <c r="O389" s="56"/>
    </row>
    <row r="390" spans="1:15" ht="13" x14ac:dyDescent="0.15">
      <c r="A390" s="56"/>
      <c r="B390" s="56"/>
      <c r="K390" s="56"/>
      <c r="L390" s="79"/>
      <c r="O390" s="56"/>
    </row>
    <row r="391" spans="1:15" ht="13" x14ac:dyDescent="0.15">
      <c r="A391" s="56"/>
      <c r="B391" s="56"/>
      <c r="K391" s="56"/>
      <c r="L391" s="79"/>
      <c r="O391" s="56"/>
    </row>
    <row r="392" spans="1:15" ht="13" x14ac:dyDescent="0.15">
      <c r="A392" s="56"/>
      <c r="B392" s="56"/>
      <c r="K392" s="56"/>
      <c r="L392" s="79"/>
      <c r="O392" s="56"/>
    </row>
    <row r="393" spans="1:15" ht="13" x14ac:dyDescent="0.15">
      <c r="A393" s="56"/>
      <c r="B393" s="56"/>
      <c r="K393" s="56"/>
      <c r="L393" s="79"/>
      <c r="O393" s="56"/>
    </row>
    <row r="394" spans="1:15" ht="13" x14ac:dyDescent="0.15">
      <c r="A394" s="56"/>
      <c r="B394" s="56"/>
      <c r="K394" s="56"/>
      <c r="L394" s="79"/>
      <c r="O394" s="56"/>
    </row>
    <row r="395" spans="1:15" ht="13" x14ac:dyDescent="0.15">
      <c r="A395" s="56"/>
      <c r="B395" s="56"/>
      <c r="K395" s="56"/>
      <c r="L395" s="79"/>
      <c r="O395" s="56"/>
    </row>
    <row r="396" spans="1:15" ht="13" x14ac:dyDescent="0.15">
      <c r="A396" s="56"/>
      <c r="B396" s="56"/>
      <c r="K396" s="56"/>
      <c r="L396" s="79"/>
      <c r="O396" s="56"/>
    </row>
    <row r="397" spans="1:15" ht="13" x14ac:dyDescent="0.15">
      <c r="A397" s="56"/>
      <c r="B397" s="56"/>
      <c r="K397" s="56"/>
      <c r="L397" s="79"/>
      <c r="O397" s="56"/>
    </row>
    <row r="398" spans="1:15" ht="13" x14ac:dyDescent="0.15">
      <c r="A398" s="56"/>
      <c r="B398" s="56"/>
      <c r="K398" s="56"/>
      <c r="L398" s="79"/>
      <c r="O398" s="56"/>
    </row>
    <row r="399" spans="1:15" ht="13" x14ac:dyDescent="0.15">
      <c r="A399" s="56"/>
      <c r="B399" s="56"/>
      <c r="K399" s="56"/>
      <c r="L399" s="79"/>
      <c r="O399" s="56"/>
    </row>
    <row r="400" spans="1:15" ht="13" x14ac:dyDescent="0.15">
      <c r="A400" s="56"/>
      <c r="B400" s="56"/>
      <c r="K400" s="56"/>
      <c r="L400" s="79"/>
      <c r="O400" s="56"/>
    </row>
    <row r="401" spans="1:15" ht="13" x14ac:dyDescent="0.15">
      <c r="A401" s="56"/>
      <c r="B401" s="56"/>
      <c r="K401" s="56"/>
      <c r="L401" s="79"/>
      <c r="O401" s="56"/>
    </row>
    <row r="402" spans="1:15" ht="13" x14ac:dyDescent="0.15">
      <c r="A402" s="56"/>
      <c r="B402" s="56"/>
      <c r="K402" s="56"/>
      <c r="L402" s="79"/>
      <c r="O402" s="56"/>
    </row>
    <row r="403" spans="1:15" ht="13" x14ac:dyDescent="0.15">
      <c r="A403" s="56"/>
      <c r="B403" s="56"/>
      <c r="K403" s="56"/>
      <c r="L403" s="79"/>
      <c r="O403" s="56"/>
    </row>
    <row r="404" spans="1:15" ht="13" x14ac:dyDescent="0.15">
      <c r="A404" s="56"/>
      <c r="B404" s="56"/>
      <c r="K404" s="56"/>
      <c r="L404" s="79"/>
      <c r="O404" s="56"/>
    </row>
    <row r="405" spans="1:15" ht="13" x14ac:dyDescent="0.15">
      <c r="A405" s="56"/>
      <c r="B405" s="56"/>
      <c r="K405" s="56"/>
      <c r="L405" s="79"/>
      <c r="O405" s="56"/>
    </row>
    <row r="406" spans="1:15" ht="13" x14ac:dyDescent="0.15">
      <c r="A406" s="56"/>
      <c r="B406" s="56"/>
      <c r="K406" s="56"/>
      <c r="L406" s="79"/>
      <c r="O406" s="56"/>
    </row>
    <row r="407" spans="1:15" ht="13" x14ac:dyDescent="0.15">
      <c r="A407" s="56"/>
      <c r="B407" s="56"/>
      <c r="K407" s="56"/>
      <c r="L407" s="79"/>
      <c r="O407" s="56"/>
    </row>
    <row r="408" spans="1:15" ht="13" x14ac:dyDescent="0.15">
      <c r="A408" s="56"/>
      <c r="B408" s="56"/>
      <c r="K408" s="56"/>
      <c r="L408" s="79"/>
      <c r="O408" s="56"/>
    </row>
    <row r="409" spans="1:15" ht="13" x14ac:dyDescent="0.15">
      <c r="A409" s="56"/>
      <c r="B409" s="56"/>
      <c r="K409" s="56"/>
      <c r="L409" s="79"/>
      <c r="O409" s="56"/>
    </row>
    <row r="410" spans="1:15" ht="13" x14ac:dyDescent="0.15">
      <c r="A410" s="56"/>
      <c r="B410" s="56"/>
      <c r="K410" s="56"/>
      <c r="L410" s="79"/>
      <c r="O410" s="56"/>
    </row>
    <row r="411" spans="1:15" ht="13" x14ac:dyDescent="0.15">
      <c r="A411" s="56"/>
      <c r="B411" s="56"/>
      <c r="K411" s="56"/>
      <c r="L411" s="79"/>
      <c r="O411" s="56"/>
    </row>
    <row r="412" spans="1:15" ht="13" x14ac:dyDescent="0.15">
      <c r="A412" s="56"/>
      <c r="B412" s="56"/>
      <c r="K412" s="56"/>
      <c r="L412" s="79"/>
      <c r="O412" s="56"/>
    </row>
    <row r="413" spans="1:15" ht="13" x14ac:dyDescent="0.15">
      <c r="A413" s="56"/>
      <c r="B413" s="56"/>
      <c r="K413" s="56"/>
      <c r="L413" s="79"/>
      <c r="O413" s="56"/>
    </row>
    <row r="414" spans="1:15" ht="13" x14ac:dyDescent="0.15">
      <c r="A414" s="56"/>
      <c r="B414" s="56"/>
      <c r="K414" s="56"/>
      <c r="L414" s="79"/>
      <c r="O414" s="56"/>
    </row>
    <row r="415" spans="1:15" ht="13" x14ac:dyDescent="0.15">
      <c r="A415" s="56"/>
      <c r="B415" s="56"/>
      <c r="K415" s="56"/>
      <c r="L415" s="79"/>
      <c r="O415" s="56"/>
    </row>
    <row r="416" spans="1:15" ht="13" x14ac:dyDescent="0.15">
      <c r="A416" s="56"/>
      <c r="B416" s="56"/>
      <c r="K416" s="56"/>
      <c r="L416" s="79"/>
      <c r="O416" s="56"/>
    </row>
    <row r="417" spans="1:15" ht="13" x14ac:dyDescent="0.15">
      <c r="A417" s="56"/>
      <c r="B417" s="56"/>
      <c r="K417" s="56"/>
      <c r="L417" s="79"/>
      <c r="O417" s="56"/>
    </row>
    <row r="418" spans="1:15" ht="13" x14ac:dyDescent="0.15">
      <c r="A418" s="56"/>
      <c r="B418" s="56"/>
      <c r="K418" s="56"/>
      <c r="L418" s="79"/>
      <c r="O418" s="56"/>
    </row>
    <row r="419" spans="1:15" ht="13" x14ac:dyDescent="0.15">
      <c r="A419" s="56"/>
      <c r="B419" s="56"/>
      <c r="K419" s="56"/>
      <c r="L419" s="79"/>
      <c r="O419" s="56"/>
    </row>
    <row r="420" spans="1:15" ht="13" x14ac:dyDescent="0.15">
      <c r="A420" s="56"/>
      <c r="B420" s="56"/>
      <c r="K420" s="56"/>
      <c r="L420" s="79"/>
      <c r="O420" s="56"/>
    </row>
    <row r="421" spans="1:15" ht="13" x14ac:dyDescent="0.15">
      <c r="A421" s="56"/>
      <c r="B421" s="56"/>
      <c r="K421" s="56"/>
      <c r="L421" s="79"/>
      <c r="O421" s="56"/>
    </row>
    <row r="422" spans="1:15" ht="13" x14ac:dyDescent="0.15">
      <c r="A422" s="56"/>
      <c r="B422" s="56"/>
      <c r="K422" s="56"/>
      <c r="L422" s="79"/>
      <c r="O422" s="56"/>
    </row>
    <row r="423" spans="1:15" ht="13" x14ac:dyDescent="0.15">
      <c r="A423" s="56"/>
      <c r="B423" s="56"/>
      <c r="K423" s="56"/>
      <c r="L423" s="79"/>
      <c r="O423" s="56"/>
    </row>
    <row r="424" spans="1:15" ht="13" x14ac:dyDescent="0.15">
      <c r="A424" s="56"/>
      <c r="B424" s="56"/>
      <c r="K424" s="56"/>
      <c r="L424" s="79"/>
      <c r="O424" s="56"/>
    </row>
    <row r="425" spans="1:15" ht="13" x14ac:dyDescent="0.15">
      <c r="A425" s="56"/>
      <c r="B425" s="56"/>
      <c r="K425" s="56"/>
      <c r="L425" s="79"/>
      <c r="O425" s="56"/>
    </row>
    <row r="426" spans="1:15" ht="13" x14ac:dyDescent="0.15">
      <c r="A426" s="56"/>
      <c r="B426" s="56"/>
      <c r="K426" s="56"/>
      <c r="L426" s="79"/>
      <c r="O426" s="56"/>
    </row>
    <row r="427" spans="1:15" ht="13" x14ac:dyDescent="0.15">
      <c r="A427" s="56"/>
      <c r="B427" s="56"/>
      <c r="K427" s="56"/>
      <c r="L427" s="79"/>
      <c r="O427" s="56"/>
    </row>
    <row r="428" spans="1:15" ht="13" x14ac:dyDescent="0.15">
      <c r="A428" s="56"/>
      <c r="B428" s="56"/>
      <c r="K428" s="56"/>
      <c r="L428" s="79"/>
      <c r="O428" s="56"/>
    </row>
    <row r="429" spans="1:15" ht="13" x14ac:dyDescent="0.15">
      <c r="A429" s="56"/>
      <c r="B429" s="56"/>
      <c r="K429" s="56"/>
      <c r="L429" s="79"/>
      <c r="O429" s="56"/>
    </row>
    <row r="430" spans="1:15" ht="13" x14ac:dyDescent="0.15">
      <c r="A430" s="56"/>
      <c r="B430" s="56"/>
      <c r="K430" s="56"/>
      <c r="L430" s="79"/>
      <c r="O430" s="56"/>
    </row>
    <row r="431" spans="1:15" ht="13" x14ac:dyDescent="0.15">
      <c r="A431" s="56"/>
      <c r="B431" s="56"/>
      <c r="K431" s="56"/>
      <c r="L431" s="79"/>
      <c r="O431" s="56"/>
    </row>
    <row r="432" spans="1:15" ht="13" x14ac:dyDescent="0.15">
      <c r="A432" s="56"/>
      <c r="B432" s="56"/>
      <c r="K432" s="56"/>
      <c r="L432" s="79"/>
      <c r="O432" s="56"/>
    </row>
    <row r="433" spans="1:15" ht="13" x14ac:dyDescent="0.15">
      <c r="A433" s="56"/>
      <c r="B433" s="56"/>
      <c r="K433" s="56"/>
      <c r="L433" s="79"/>
      <c r="O433" s="56"/>
    </row>
    <row r="434" spans="1:15" ht="13" x14ac:dyDescent="0.15">
      <c r="A434" s="56"/>
      <c r="B434" s="56"/>
      <c r="K434" s="56"/>
      <c r="L434" s="79"/>
      <c r="O434" s="56"/>
    </row>
    <row r="435" spans="1:15" ht="13" x14ac:dyDescent="0.15">
      <c r="A435" s="56"/>
      <c r="B435" s="56"/>
      <c r="K435" s="56"/>
      <c r="L435" s="79"/>
      <c r="O435" s="56"/>
    </row>
    <row r="436" spans="1:15" ht="13" x14ac:dyDescent="0.15">
      <c r="A436" s="56"/>
      <c r="B436" s="56"/>
      <c r="K436" s="56"/>
      <c r="L436" s="79"/>
      <c r="O436" s="56"/>
    </row>
    <row r="437" spans="1:15" ht="13" x14ac:dyDescent="0.15">
      <c r="A437" s="56"/>
      <c r="B437" s="56"/>
      <c r="K437" s="56"/>
      <c r="L437" s="79"/>
      <c r="O437" s="56"/>
    </row>
    <row r="438" spans="1:15" ht="13" x14ac:dyDescent="0.15">
      <c r="A438" s="56"/>
      <c r="B438" s="56"/>
      <c r="K438" s="56"/>
      <c r="L438" s="79"/>
      <c r="O438" s="56"/>
    </row>
    <row r="439" spans="1:15" ht="13" x14ac:dyDescent="0.15">
      <c r="A439" s="56"/>
      <c r="B439" s="56"/>
      <c r="K439" s="56"/>
      <c r="L439" s="79"/>
      <c r="O439" s="56"/>
    </row>
    <row r="440" spans="1:15" ht="13" x14ac:dyDescent="0.15">
      <c r="A440" s="56"/>
      <c r="B440" s="56"/>
      <c r="K440" s="56"/>
      <c r="L440" s="79"/>
      <c r="O440" s="56"/>
    </row>
    <row r="441" spans="1:15" ht="13" x14ac:dyDescent="0.15">
      <c r="A441" s="56"/>
      <c r="B441" s="56"/>
      <c r="K441" s="56"/>
      <c r="L441" s="79"/>
      <c r="O441" s="56"/>
    </row>
    <row r="442" spans="1:15" ht="13" x14ac:dyDescent="0.15">
      <c r="A442" s="56"/>
      <c r="B442" s="56"/>
      <c r="K442" s="56"/>
      <c r="L442" s="79"/>
      <c r="O442" s="56"/>
    </row>
    <row r="443" spans="1:15" ht="13" x14ac:dyDescent="0.15">
      <c r="A443" s="56"/>
      <c r="B443" s="56"/>
      <c r="K443" s="56"/>
      <c r="L443" s="79"/>
      <c r="O443" s="56"/>
    </row>
    <row r="444" spans="1:15" ht="13" x14ac:dyDescent="0.15">
      <c r="A444" s="56"/>
      <c r="B444" s="56"/>
      <c r="K444" s="56"/>
      <c r="L444" s="79"/>
      <c r="O444" s="56"/>
    </row>
    <row r="445" spans="1:15" ht="13" x14ac:dyDescent="0.15">
      <c r="A445" s="56"/>
      <c r="B445" s="56"/>
      <c r="K445" s="56"/>
      <c r="L445" s="79"/>
      <c r="O445" s="56"/>
    </row>
    <row r="446" spans="1:15" ht="13" x14ac:dyDescent="0.15">
      <c r="A446" s="56"/>
      <c r="B446" s="56"/>
      <c r="K446" s="56"/>
      <c r="L446" s="79"/>
      <c r="O446" s="56"/>
    </row>
    <row r="447" spans="1:15" ht="13" x14ac:dyDescent="0.15">
      <c r="A447" s="56"/>
      <c r="B447" s="56"/>
      <c r="K447" s="56"/>
      <c r="L447" s="79"/>
      <c r="O447" s="56"/>
    </row>
    <row r="448" spans="1:15" ht="13" x14ac:dyDescent="0.15">
      <c r="A448" s="56"/>
      <c r="B448" s="56"/>
      <c r="K448" s="56"/>
      <c r="L448" s="79"/>
      <c r="O448" s="56"/>
    </row>
    <row r="449" spans="1:15" ht="13" x14ac:dyDescent="0.15">
      <c r="A449" s="56"/>
      <c r="B449" s="56"/>
      <c r="K449" s="56"/>
      <c r="L449" s="79"/>
      <c r="O449" s="56"/>
    </row>
    <row r="450" spans="1:15" ht="13" x14ac:dyDescent="0.15">
      <c r="A450" s="56"/>
      <c r="B450" s="56"/>
      <c r="K450" s="56"/>
      <c r="L450" s="79"/>
      <c r="O450" s="56"/>
    </row>
    <row r="451" spans="1:15" ht="13" x14ac:dyDescent="0.15">
      <c r="A451" s="56"/>
      <c r="B451" s="56"/>
      <c r="K451" s="56"/>
      <c r="L451" s="79"/>
      <c r="O451" s="56"/>
    </row>
    <row r="452" spans="1:15" ht="13" x14ac:dyDescent="0.15">
      <c r="A452" s="56"/>
      <c r="B452" s="56"/>
      <c r="K452" s="56"/>
      <c r="L452" s="79"/>
      <c r="O452" s="56"/>
    </row>
    <row r="453" spans="1:15" ht="13" x14ac:dyDescent="0.15">
      <c r="A453" s="56"/>
      <c r="B453" s="56"/>
      <c r="K453" s="56"/>
      <c r="L453" s="79"/>
      <c r="O453" s="56"/>
    </row>
    <row r="454" spans="1:15" ht="13" x14ac:dyDescent="0.15">
      <c r="A454" s="56"/>
      <c r="B454" s="56"/>
      <c r="K454" s="56"/>
      <c r="L454" s="79"/>
      <c r="O454" s="56"/>
    </row>
    <row r="455" spans="1:15" ht="13" x14ac:dyDescent="0.15">
      <c r="A455" s="56"/>
      <c r="B455" s="56"/>
      <c r="K455" s="56"/>
      <c r="L455" s="79"/>
      <c r="O455" s="56"/>
    </row>
    <row r="456" spans="1:15" ht="13" x14ac:dyDescent="0.15">
      <c r="A456" s="56"/>
      <c r="B456" s="56"/>
      <c r="K456" s="56"/>
      <c r="L456" s="79"/>
      <c r="O456" s="56"/>
    </row>
    <row r="457" spans="1:15" ht="13" x14ac:dyDescent="0.15">
      <c r="A457" s="56"/>
      <c r="B457" s="56"/>
      <c r="K457" s="56"/>
      <c r="L457" s="79"/>
      <c r="O457" s="56"/>
    </row>
    <row r="458" spans="1:15" ht="13" x14ac:dyDescent="0.15">
      <c r="A458" s="56"/>
      <c r="B458" s="56"/>
      <c r="K458" s="56"/>
      <c r="L458" s="79"/>
      <c r="O458" s="56"/>
    </row>
    <row r="459" spans="1:15" ht="13" x14ac:dyDescent="0.15">
      <c r="A459" s="56"/>
      <c r="B459" s="56"/>
      <c r="K459" s="56"/>
      <c r="L459" s="79"/>
      <c r="O459" s="56"/>
    </row>
    <row r="460" spans="1:15" ht="13" x14ac:dyDescent="0.15">
      <c r="A460" s="56"/>
      <c r="B460" s="56"/>
      <c r="K460" s="56"/>
      <c r="L460" s="79"/>
      <c r="O460" s="56"/>
    </row>
    <row r="461" spans="1:15" ht="13" x14ac:dyDescent="0.15">
      <c r="A461" s="56"/>
      <c r="B461" s="56"/>
      <c r="K461" s="56"/>
      <c r="L461" s="79"/>
      <c r="O461" s="56"/>
    </row>
    <row r="462" spans="1:15" ht="13" x14ac:dyDescent="0.15">
      <c r="A462" s="56"/>
      <c r="B462" s="56"/>
      <c r="K462" s="56"/>
      <c r="L462" s="79"/>
      <c r="O462" s="56"/>
    </row>
    <row r="463" spans="1:15" ht="13" x14ac:dyDescent="0.15">
      <c r="A463" s="56"/>
      <c r="B463" s="56"/>
      <c r="K463" s="56"/>
      <c r="L463" s="79"/>
      <c r="O463" s="56"/>
    </row>
    <row r="464" spans="1:15" ht="13" x14ac:dyDescent="0.15">
      <c r="A464" s="56"/>
      <c r="B464" s="56"/>
      <c r="K464" s="56"/>
      <c r="L464" s="79"/>
      <c r="O464" s="56"/>
    </row>
    <row r="465" spans="1:15" ht="13" x14ac:dyDescent="0.15">
      <c r="A465" s="56"/>
      <c r="B465" s="56"/>
      <c r="K465" s="56"/>
      <c r="L465" s="79"/>
      <c r="O465" s="56"/>
    </row>
    <row r="466" spans="1:15" ht="13" x14ac:dyDescent="0.15">
      <c r="A466" s="56"/>
      <c r="B466" s="56"/>
      <c r="K466" s="56"/>
      <c r="L466" s="79"/>
      <c r="O466" s="56"/>
    </row>
    <row r="467" spans="1:15" ht="13" x14ac:dyDescent="0.15">
      <c r="A467" s="56"/>
      <c r="B467" s="56"/>
      <c r="K467" s="56"/>
      <c r="L467" s="79"/>
      <c r="O467" s="56"/>
    </row>
    <row r="468" spans="1:15" ht="13" x14ac:dyDescent="0.15">
      <c r="A468" s="56"/>
      <c r="B468" s="56"/>
      <c r="K468" s="56"/>
      <c r="L468" s="79"/>
      <c r="O468" s="56"/>
    </row>
    <row r="469" spans="1:15" ht="13" x14ac:dyDescent="0.15">
      <c r="A469" s="56"/>
      <c r="B469" s="56"/>
      <c r="K469" s="56"/>
      <c r="L469" s="79"/>
      <c r="O469" s="56"/>
    </row>
    <row r="470" spans="1:15" ht="13" x14ac:dyDescent="0.15">
      <c r="A470" s="56"/>
      <c r="B470" s="56"/>
      <c r="K470" s="56"/>
      <c r="L470" s="79"/>
      <c r="O470" s="56"/>
    </row>
    <row r="471" spans="1:15" ht="13" x14ac:dyDescent="0.15">
      <c r="A471" s="56"/>
      <c r="B471" s="56"/>
      <c r="K471" s="56"/>
      <c r="L471" s="79"/>
      <c r="O471" s="56"/>
    </row>
    <row r="472" spans="1:15" ht="13" x14ac:dyDescent="0.15">
      <c r="A472" s="56"/>
      <c r="B472" s="56"/>
      <c r="K472" s="56"/>
      <c r="L472" s="79"/>
      <c r="O472" s="56"/>
    </row>
    <row r="473" spans="1:15" ht="13" x14ac:dyDescent="0.15">
      <c r="A473" s="56"/>
      <c r="B473" s="56"/>
      <c r="K473" s="56"/>
      <c r="L473" s="79"/>
      <c r="O473" s="56"/>
    </row>
    <row r="474" spans="1:15" ht="13" x14ac:dyDescent="0.15">
      <c r="A474" s="56"/>
      <c r="B474" s="56"/>
      <c r="K474" s="56"/>
      <c r="L474" s="79"/>
      <c r="O474" s="56"/>
    </row>
    <row r="475" spans="1:15" ht="13" x14ac:dyDescent="0.15">
      <c r="A475" s="56"/>
      <c r="B475" s="56"/>
      <c r="K475" s="56"/>
      <c r="L475" s="79"/>
      <c r="O475" s="56"/>
    </row>
    <row r="476" spans="1:15" ht="13" x14ac:dyDescent="0.15">
      <c r="A476" s="56"/>
      <c r="B476" s="56"/>
      <c r="K476" s="56"/>
      <c r="L476" s="79"/>
      <c r="O476" s="56"/>
    </row>
    <row r="477" spans="1:15" ht="13" x14ac:dyDescent="0.15">
      <c r="A477" s="56"/>
      <c r="B477" s="56"/>
      <c r="K477" s="56"/>
      <c r="L477" s="79"/>
      <c r="O477" s="56"/>
    </row>
    <row r="478" spans="1:15" ht="13" x14ac:dyDescent="0.15">
      <c r="A478" s="56"/>
      <c r="B478" s="56"/>
      <c r="K478" s="56"/>
      <c r="L478" s="79"/>
      <c r="O478" s="56"/>
    </row>
    <row r="479" spans="1:15" ht="13" x14ac:dyDescent="0.15">
      <c r="A479" s="56"/>
      <c r="B479" s="56"/>
      <c r="K479" s="56"/>
      <c r="L479" s="79"/>
      <c r="O479" s="56"/>
    </row>
    <row r="480" spans="1:15" ht="13" x14ac:dyDescent="0.15">
      <c r="A480" s="56"/>
      <c r="B480" s="56"/>
      <c r="K480" s="56"/>
      <c r="L480" s="79"/>
      <c r="O480" s="56"/>
    </row>
    <row r="481" spans="1:15" ht="13" x14ac:dyDescent="0.15">
      <c r="A481" s="56"/>
      <c r="B481" s="56"/>
      <c r="K481" s="56"/>
      <c r="L481" s="79"/>
      <c r="O481" s="56"/>
    </row>
    <row r="482" spans="1:15" ht="13" x14ac:dyDescent="0.15">
      <c r="A482" s="56"/>
      <c r="B482" s="56"/>
      <c r="K482" s="56"/>
      <c r="L482" s="79"/>
      <c r="O482" s="56"/>
    </row>
    <row r="483" spans="1:15" ht="13" x14ac:dyDescent="0.15">
      <c r="A483" s="56"/>
      <c r="B483" s="56"/>
      <c r="K483" s="56"/>
      <c r="L483" s="79"/>
      <c r="O483" s="56"/>
    </row>
    <row r="484" spans="1:15" ht="13" x14ac:dyDescent="0.15">
      <c r="A484" s="56"/>
      <c r="B484" s="56"/>
      <c r="K484" s="56"/>
      <c r="L484" s="79"/>
      <c r="O484" s="56"/>
    </row>
    <row r="485" spans="1:15" ht="13" x14ac:dyDescent="0.15">
      <c r="A485" s="56"/>
      <c r="B485" s="56"/>
      <c r="K485" s="56"/>
      <c r="L485" s="79"/>
      <c r="O485" s="56"/>
    </row>
    <row r="486" spans="1:15" ht="13" x14ac:dyDescent="0.15">
      <c r="A486" s="56"/>
      <c r="B486" s="56"/>
      <c r="K486" s="56"/>
      <c r="L486" s="79"/>
      <c r="O486" s="56"/>
    </row>
    <row r="487" spans="1:15" ht="13" x14ac:dyDescent="0.15">
      <c r="A487" s="56"/>
      <c r="B487" s="56"/>
      <c r="K487" s="56"/>
      <c r="L487" s="79"/>
      <c r="O487" s="56"/>
    </row>
    <row r="488" spans="1:15" ht="13" x14ac:dyDescent="0.15">
      <c r="A488" s="56"/>
      <c r="B488" s="56"/>
      <c r="K488" s="56"/>
      <c r="L488" s="79"/>
      <c r="O488" s="56"/>
    </row>
    <row r="489" spans="1:15" ht="13" x14ac:dyDescent="0.15">
      <c r="A489" s="56"/>
      <c r="B489" s="56"/>
      <c r="K489" s="56"/>
      <c r="L489" s="79"/>
      <c r="O489" s="56"/>
    </row>
    <row r="490" spans="1:15" ht="13" x14ac:dyDescent="0.15">
      <c r="A490" s="56"/>
      <c r="B490" s="56"/>
      <c r="K490" s="56"/>
      <c r="L490" s="79"/>
      <c r="O490" s="56"/>
    </row>
    <row r="491" spans="1:15" ht="13" x14ac:dyDescent="0.15">
      <c r="A491" s="56"/>
      <c r="B491" s="56"/>
      <c r="K491" s="56"/>
      <c r="L491" s="79"/>
      <c r="O491" s="56"/>
    </row>
    <row r="492" spans="1:15" ht="13" x14ac:dyDescent="0.15">
      <c r="A492" s="56"/>
      <c r="B492" s="56"/>
      <c r="K492" s="56"/>
      <c r="L492" s="79"/>
      <c r="O492" s="56"/>
    </row>
    <row r="493" spans="1:15" ht="13" x14ac:dyDescent="0.15">
      <c r="A493" s="56"/>
      <c r="B493" s="56"/>
      <c r="K493" s="56"/>
      <c r="L493" s="79"/>
      <c r="O493" s="56"/>
    </row>
    <row r="494" spans="1:15" ht="13" x14ac:dyDescent="0.15">
      <c r="A494" s="56"/>
      <c r="B494" s="56"/>
      <c r="K494" s="56"/>
      <c r="L494" s="79"/>
      <c r="O494" s="56"/>
    </row>
    <row r="495" spans="1:15" ht="13" x14ac:dyDescent="0.15">
      <c r="A495" s="56"/>
      <c r="B495" s="56"/>
      <c r="K495" s="56"/>
      <c r="L495" s="79"/>
      <c r="O495" s="56"/>
    </row>
    <row r="496" spans="1:15" ht="13" x14ac:dyDescent="0.15">
      <c r="A496" s="56"/>
      <c r="B496" s="56"/>
      <c r="K496" s="56"/>
      <c r="L496" s="79"/>
      <c r="O496" s="56"/>
    </row>
    <row r="497" spans="1:15" ht="13" x14ac:dyDescent="0.15">
      <c r="A497" s="56"/>
      <c r="B497" s="56"/>
      <c r="K497" s="56"/>
      <c r="L497" s="79"/>
      <c r="O497" s="56"/>
    </row>
    <row r="498" spans="1:15" ht="13" x14ac:dyDescent="0.15">
      <c r="A498" s="56"/>
      <c r="B498" s="56"/>
      <c r="K498" s="56"/>
      <c r="L498" s="79"/>
      <c r="O498" s="56"/>
    </row>
    <row r="499" spans="1:15" ht="13" x14ac:dyDescent="0.15">
      <c r="A499" s="56"/>
      <c r="B499" s="56"/>
      <c r="K499" s="56"/>
      <c r="L499" s="79"/>
      <c r="O499" s="56"/>
    </row>
    <row r="500" spans="1:15" ht="13" x14ac:dyDescent="0.15">
      <c r="A500" s="56"/>
      <c r="B500" s="56"/>
      <c r="K500" s="56"/>
      <c r="L500" s="79"/>
      <c r="O500" s="56"/>
    </row>
    <row r="501" spans="1:15" ht="13" x14ac:dyDescent="0.15">
      <c r="A501" s="56"/>
      <c r="B501" s="56"/>
      <c r="K501" s="56"/>
      <c r="L501" s="79"/>
      <c r="O501" s="56"/>
    </row>
    <row r="502" spans="1:15" ht="13" x14ac:dyDescent="0.15">
      <c r="A502" s="56"/>
      <c r="B502" s="56"/>
      <c r="K502" s="56"/>
      <c r="L502" s="79"/>
      <c r="O502" s="56"/>
    </row>
    <row r="503" spans="1:15" ht="13" x14ac:dyDescent="0.15">
      <c r="A503" s="56"/>
      <c r="B503" s="56"/>
      <c r="K503" s="56"/>
      <c r="L503" s="79"/>
      <c r="O503" s="56"/>
    </row>
    <row r="504" spans="1:15" ht="13" x14ac:dyDescent="0.15">
      <c r="A504" s="56"/>
      <c r="B504" s="56"/>
      <c r="K504" s="56"/>
      <c r="L504" s="79"/>
      <c r="O504" s="56"/>
    </row>
    <row r="505" spans="1:15" ht="13" x14ac:dyDescent="0.15">
      <c r="A505" s="56"/>
      <c r="B505" s="56"/>
      <c r="K505" s="56"/>
      <c r="L505" s="79"/>
      <c r="O505" s="56"/>
    </row>
    <row r="506" spans="1:15" ht="13" x14ac:dyDescent="0.15">
      <c r="A506" s="56"/>
      <c r="B506" s="56"/>
      <c r="K506" s="56"/>
      <c r="L506" s="79"/>
      <c r="O506" s="56"/>
    </row>
    <row r="507" spans="1:15" ht="13" x14ac:dyDescent="0.15">
      <c r="A507" s="56"/>
      <c r="B507" s="56"/>
      <c r="K507" s="56"/>
      <c r="L507" s="79"/>
      <c r="O507" s="56"/>
    </row>
    <row r="508" spans="1:15" ht="13" x14ac:dyDescent="0.15">
      <c r="A508" s="56"/>
      <c r="B508" s="56"/>
      <c r="K508" s="56"/>
      <c r="L508" s="79"/>
      <c r="O508" s="56"/>
    </row>
    <row r="509" spans="1:15" ht="13" x14ac:dyDescent="0.15">
      <c r="A509" s="56"/>
      <c r="B509" s="56"/>
      <c r="K509" s="56"/>
      <c r="L509" s="79"/>
      <c r="O509" s="56"/>
    </row>
    <row r="510" spans="1:15" ht="13" x14ac:dyDescent="0.15">
      <c r="A510" s="56"/>
      <c r="B510" s="56"/>
      <c r="K510" s="56"/>
      <c r="L510" s="79"/>
      <c r="O510" s="56"/>
    </row>
    <row r="511" spans="1:15" ht="13" x14ac:dyDescent="0.15">
      <c r="A511" s="56"/>
      <c r="B511" s="56"/>
      <c r="K511" s="56"/>
      <c r="L511" s="79"/>
      <c r="O511" s="56"/>
    </row>
    <row r="512" spans="1:15" ht="13" x14ac:dyDescent="0.15">
      <c r="A512" s="56"/>
      <c r="B512" s="56"/>
      <c r="K512" s="56"/>
      <c r="L512" s="79"/>
      <c r="O512" s="56"/>
    </row>
    <row r="513" spans="1:15" ht="13" x14ac:dyDescent="0.15">
      <c r="A513" s="56"/>
      <c r="B513" s="56"/>
      <c r="K513" s="56"/>
      <c r="L513" s="79"/>
      <c r="O513" s="56"/>
    </row>
    <row r="514" spans="1:15" ht="13" x14ac:dyDescent="0.15">
      <c r="A514" s="56"/>
      <c r="B514" s="56"/>
      <c r="K514" s="56"/>
      <c r="L514" s="79"/>
      <c r="O514" s="56"/>
    </row>
    <row r="515" spans="1:15" ht="13" x14ac:dyDescent="0.15">
      <c r="A515" s="56"/>
      <c r="B515" s="56"/>
      <c r="K515" s="56"/>
      <c r="L515" s="79"/>
      <c r="O515" s="56"/>
    </row>
    <row r="516" spans="1:15" ht="13" x14ac:dyDescent="0.15">
      <c r="A516" s="56"/>
      <c r="B516" s="56"/>
      <c r="K516" s="56"/>
      <c r="L516" s="79"/>
      <c r="O516" s="56"/>
    </row>
    <row r="517" spans="1:15" ht="13" x14ac:dyDescent="0.15">
      <c r="A517" s="56"/>
      <c r="B517" s="56"/>
      <c r="K517" s="56"/>
      <c r="L517" s="79"/>
      <c r="O517" s="56"/>
    </row>
    <row r="518" spans="1:15" ht="13" x14ac:dyDescent="0.15">
      <c r="A518" s="56"/>
      <c r="B518" s="56"/>
      <c r="K518" s="56"/>
      <c r="L518" s="79"/>
      <c r="O518" s="56"/>
    </row>
    <row r="519" spans="1:15" ht="13" x14ac:dyDescent="0.15">
      <c r="A519" s="56"/>
      <c r="B519" s="56"/>
      <c r="K519" s="56"/>
      <c r="L519" s="79"/>
      <c r="O519" s="56"/>
    </row>
    <row r="520" spans="1:15" ht="13" x14ac:dyDescent="0.15">
      <c r="A520" s="56"/>
      <c r="B520" s="56"/>
      <c r="K520" s="56"/>
      <c r="L520" s="79"/>
      <c r="O520" s="56"/>
    </row>
    <row r="521" spans="1:15" ht="13" x14ac:dyDescent="0.15">
      <c r="A521" s="56"/>
      <c r="B521" s="56"/>
      <c r="K521" s="56"/>
      <c r="L521" s="79"/>
      <c r="O521" s="56"/>
    </row>
    <row r="522" spans="1:15" ht="13" x14ac:dyDescent="0.15">
      <c r="A522" s="56"/>
      <c r="B522" s="56"/>
      <c r="K522" s="56"/>
      <c r="L522" s="79"/>
      <c r="O522" s="56"/>
    </row>
    <row r="523" spans="1:15" ht="13" x14ac:dyDescent="0.15">
      <c r="A523" s="56"/>
      <c r="B523" s="56"/>
      <c r="K523" s="56"/>
      <c r="L523" s="79"/>
      <c r="O523" s="56"/>
    </row>
    <row r="524" spans="1:15" ht="13" x14ac:dyDescent="0.15">
      <c r="A524" s="56"/>
      <c r="B524" s="56"/>
      <c r="K524" s="56"/>
      <c r="L524" s="79"/>
      <c r="O524" s="56"/>
    </row>
    <row r="525" spans="1:15" ht="13" x14ac:dyDescent="0.15">
      <c r="A525" s="56"/>
      <c r="B525" s="56"/>
      <c r="K525" s="56"/>
      <c r="L525" s="79"/>
      <c r="O525" s="56"/>
    </row>
    <row r="526" spans="1:15" ht="13" x14ac:dyDescent="0.15">
      <c r="A526" s="56"/>
      <c r="B526" s="56"/>
      <c r="K526" s="56"/>
      <c r="L526" s="79"/>
      <c r="O526" s="56"/>
    </row>
    <row r="527" spans="1:15" ht="13" x14ac:dyDescent="0.15">
      <c r="A527" s="56"/>
      <c r="B527" s="56"/>
      <c r="K527" s="56"/>
      <c r="L527" s="79"/>
      <c r="O527" s="56"/>
    </row>
    <row r="528" spans="1:15" ht="13" x14ac:dyDescent="0.15">
      <c r="A528" s="56"/>
      <c r="B528" s="56"/>
      <c r="K528" s="56"/>
      <c r="L528" s="79"/>
      <c r="O528" s="56"/>
    </row>
    <row r="529" spans="1:15" ht="13" x14ac:dyDescent="0.15">
      <c r="A529" s="56"/>
      <c r="B529" s="56"/>
      <c r="K529" s="56"/>
      <c r="L529" s="79"/>
      <c r="O529" s="56"/>
    </row>
    <row r="530" spans="1:15" ht="13" x14ac:dyDescent="0.15">
      <c r="A530" s="56"/>
      <c r="B530" s="56"/>
      <c r="K530" s="56"/>
      <c r="L530" s="79"/>
      <c r="O530" s="56"/>
    </row>
    <row r="531" spans="1:15" ht="13" x14ac:dyDescent="0.15">
      <c r="A531" s="56"/>
      <c r="B531" s="56"/>
      <c r="K531" s="56"/>
      <c r="L531" s="79"/>
      <c r="O531" s="56"/>
    </row>
    <row r="532" spans="1:15" ht="13" x14ac:dyDescent="0.15">
      <c r="A532" s="56"/>
      <c r="B532" s="56"/>
      <c r="K532" s="56"/>
      <c r="L532" s="79"/>
      <c r="O532" s="56"/>
    </row>
    <row r="533" spans="1:15" ht="13" x14ac:dyDescent="0.15">
      <c r="A533" s="56"/>
      <c r="B533" s="56"/>
      <c r="K533" s="56"/>
      <c r="L533" s="79"/>
      <c r="O533" s="56"/>
    </row>
    <row r="534" spans="1:15" ht="13" x14ac:dyDescent="0.15">
      <c r="A534" s="56"/>
      <c r="B534" s="56"/>
      <c r="K534" s="56"/>
      <c r="L534" s="79"/>
      <c r="O534" s="56"/>
    </row>
    <row r="535" spans="1:15" ht="13" x14ac:dyDescent="0.15">
      <c r="A535" s="56"/>
      <c r="B535" s="56"/>
      <c r="K535" s="56"/>
      <c r="L535" s="79"/>
      <c r="O535" s="56"/>
    </row>
    <row r="536" spans="1:15" ht="13" x14ac:dyDescent="0.15">
      <c r="A536" s="56"/>
      <c r="B536" s="56"/>
      <c r="K536" s="56"/>
      <c r="L536" s="79"/>
      <c r="O536" s="56"/>
    </row>
    <row r="537" spans="1:15" ht="13" x14ac:dyDescent="0.15">
      <c r="A537" s="56"/>
      <c r="B537" s="56"/>
      <c r="K537" s="56"/>
      <c r="L537" s="79"/>
      <c r="O537" s="56"/>
    </row>
    <row r="538" spans="1:15" ht="13" x14ac:dyDescent="0.15">
      <c r="A538" s="56"/>
      <c r="B538" s="56"/>
      <c r="K538" s="56"/>
      <c r="L538" s="79"/>
      <c r="O538" s="56"/>
    </row>
    <row r="539" spans="1:15" ht="13" x14ac:dyDescent="0.15">
      <c r="A539" s="56"/>
      <c r="B539" s="56"/>
      <c r="K539" s="56"/>
      <c r="L539" s="79"/>
      <c r="O539" s="56"/>
    </row>
    <row r="540" spans="1:15" ht="13" x14ac:dyDescent="0.15">
      <c r="A540" s="56"/>
      <c r="B540" s="56"/>
      <c r="K540" s="56"/>
      <c r="L540" s="79"/>
      <c r="O540" s="56"/>
    </row>
    <row r="541" spans="1:15" ht="13" x14ac:dyDescent="0.15">
      <c r="A541" s="56"/>
      <c r="B541" s="56"/>
      <c r="K541" s="56"/>
      <c r="L541" s="79"/>
      <c r="O541" s="56"/>
    </row>
    <row r="542" spans="1:15" ht="13" x14ac:dyDescent="0.15">
      <c r="A542" s="56"/>
      <c r="B542" s="56"/>
      <c r="K542" s="56"/>
      <c r="L542" s="79"/>
      <c r="O542" s="56"/>
    </row>
    <row r="543" spans="1:15" ht="13" x14ac:dyDescent="0.15">
      <c r="A543" s="56"/>
      <c r="B543" s="56"/>
      <c r="K543" s="56"/>
      <c r="L543" s="79"/>
      <c r="O543" s="56"/>
    </row>
    <row r="544" spans="1:15" ht="13" x14ac:dyDescent="0.15">
      <c r="A544" s="56"/>
      <c r="B544" s="56"/>
      <c r="K544" s="56"/>
      <c r="L544" s="79"/>
      <c r="O544" s="56"/>
    </row>
    <row r="545" spans="1:15" ht="13" x14ac:dyDescent="0.15">
      <c r="A545" s="56"/>
      <c r="B545" s="56"/>
      <c r="K545" s="56"/>
      <c r="L545" s="79"/>
      <c r="O545" s="56"/>
    </row>
    <row r="546" spans="1:15" ht="13" x14ac:dyDescent="0.15">
      <c r="A546" s="56"/>
      <c r="B546" s="56"/>
      <c r="K546" s="56"/>
      <c r="L546" s="79"/>
      <c r="O546" s="56"/>
    </row>
    <row r="547" spans="1:15" ht="13" x14ac:dyDescent="0.15">
      <c r="A547" s="56"/>
      <c r="B547" s="56"/>
      <c r="K547" s="56"/>
      <c r="L547" s="79"/>
      <c r="O547" s="56"/>
    </row>
    <row r="548" spans="1:15" ht="13" x14ac:dyDescent="0.15">
      <c r="A548" s="56"/>
      <c r="B548" s="56"/>
      <c r="K548" s="56"/>
      <c r="L548" s="79"/>
      <c r="O548" s="56"/>
    </row>
    <row r="549" spans="1:15" ht="13" x14ac:dyDescent="0.15">
      <c r="A549" s="56"/>
      <c r="B549" s="56"/>
      <c r="K549" s="56"/>
      <c r="L549" s="79"/>
      <c r="O549" s="56"/>
    </row>
    <row r="550" spans="1:15" ht="13" x14ac:dyDescent="0.15">
      <c r="A550" s="56"/>
      <c r="B550" s="56"/>
      <c r="K550" s="56"/>
      <c r="L550" s="79"/>
      <c r="O550" s="56"/>
    </row>
    <row r="551" spans="1:15" ht="13" x14ac:dyDescent="0.15">
      <c r="A551" s="56"/>
      <c r="B551" s="56"/>
      <c r="K551" s="56"/>
      <c r="L551" s="79"/>
      <c r="O551" s="56"/>
    </row>
    <row r="552" spans="1:15" ht="13" x14ac:dyDescent="0.15">
      <c r="A552" s="56"/>
      <c r="B552" s="56"/>
      <c r="K552" s="56"/>
      <c r="L552" s="79"/>
      <c r="O552" s="56"/>
    </row>
    <row r="553" spans="1:15" ht="13" x14ac:dyDescent="0.15">
      <c r="A553" s="56"/>
      <c r="B553" s="56"/>
      <c r="K553" s="56"/>
      <c r="L553" s="79"/>
      <c r="O553" s="56"/>
    </row>
    <row r="554" spans="1:15" ht="13" x14ac:dyDescent="0.15">
      <c r="A554" s="56"/>
      <c r="B554" s="56"/>
      <c r="K554" s="56"/>
      <c r="L554" s="79"/>
      <c r="O554" s="56"/>
    </row>
    <row r="555" spans="1:15" ht="13" x14ac:dyDescent="0.15">
      <c r="A555" s="56"/>
      <c r="B555" s="56"/>
      <c r="K555" s="56"/>
      <c r="L555" s="79"/>
      <c r="O555" s="56"/>
    </row>
    <row r="556" spans="1:15" ht="13" x14ac:dyDescent="0.15">
      <c r="A556" s="56"/>
      <c r="B556" s="56"/>
      <c r="K556" s="56"/>
      <c r="L556" s="79"/>
      <c r="O556" s="56"/>
    </row>
    <row r="557" spans="1:15" ht="13" x14ac:dyDescent="0.15">
      <c r="A557" s="56"/>
      <c r="B557" s="56"/>
      <c r="K557" s="56"/>
      <c r="L557" s="79"/>
      <c r="O557" s="56"/>
    </row>
    <row r="558" spans="1:15" ht="13" x14ac:dyDescent="0.15">
      <c r="A558" s="56"/>
      <c r="B558" s="56"/>
      <c r="K558" s="56"/>
      <c r="L558" s="79"/>
      <c r="O558" s="56"/>
    </row>
    <row r="559" spans="1:15" ht="13" x14ac:dyDescent="0.15">
      <c r="A559" s="56"/>
      <c r="B559" s="56"/>
      <c r="K559" s="56"/>
      <c r="L559" s="79"/>
      <c r="O559" s="56"/>
    </row>
    <row r="560" spans="1:15" ht="13" x14ac:dyDescent="0.15">
      <c r="A560" s="56"/>
      <c r="B560" s="56"/>
      <c r="K560" s="56"/>
      <c r="L560" s="79"/>
      <c r="O560" s="56"/>
    </row>
    <row r="561" spans="1:15" ht="13" x14ac:dyDescent="0.15">
      <c r="A561" s="56"/>
      <c r="B561" s="56"/>
      <c r="K561" s="56"/>
      <c r="L561" s="79"/>
      <c r="O561" s="56"/>
    </row>
    <row r="562" spans="1:15" ht="13" x14ac:dyDescent="0.15">
      <c r="A562" s="56"/>
      <c r="B562" s="56"/>
      <c r="K562" s="56"/>
      <c r="L562" s="79"/>
      <c r="O562" s="56"/>
    </row>
    <row r="563" spans="1:15" ht="13" x14ac:dyDescent="0.15">
      <c r="A563" s="56"/>
      <c r="B563" s="56"/>
      <c r="K563" s="56"/>
      <c r="L563" s="79"/>
      <c r="O563" s="56"/>
    </row>
    <row r="564" spans="1:15" ht="13" x14ac:dyDescent="0.15">
      <c r="A564" s="56"/>
      <c r="B564" s="56"/>
      <c r="K564" s="56"/>
      <c r="L564" s="79"/>
      <c r="O564" s="56"/>
    </row>
    <row r="565" spans="1:15" ht="13" x14ac:dyDescent="0.15">
      <c r="A565" s="56"/>
      <c r="B565" s="56"/>
      <c r="K565" s="56"/>
      <c r="L565" s="79"/>
      <c r="O565" s="56"/>
    </row>
    <row r="566" spans="1:15" ht="13" x14ac:dyDescent="0.15">
      <c r="A566" s="56"/>
      <c r="B566" s="56"/>
      <c r="K566" s="56"/>
      <c r="L566" s="79"/>
      <c r="O566" s="56"/>
    </row>
    <row r="567" spans="1:15" ht="13" x14ac:dyDescent="0.15">
      <c r="A567" s="56"/>
      <c r="B567" s="56"/>
      <c r="K567" s="56"/>
      <c r="L567" s="79"/>
      <c r="O567" s="56"/>
    </row>
    <row r="568" spans="1:15" ht="13" x14ac:dyDescent="0.15">
      <c r="A568" s="56"/>
      <c r="B568" s="56"/>
      <c r="K568" s="56"/>
      <c r="L568" s="79"/>
      <c r="O568" s="56"/>
    </row>
    <row r="569" spans="1:15" ht="13" x14ac:dyDescent="0.15">
      <c r="A569" s="56"/>
      <c r="B569" s="56"/>
      <c r="K569" s="56"/>
      <c r="L569" s="79"/>
      <c r="O569" s="56"/>
    </row>
    <row r="570" spans="1:15" ht="13" x14ac:dyDescent="0.15">
      <c r="A570" s="56"/>
      <c r="B570" s="56"/>
      <c r="K570" s="56"/>
      <c r="L570" s="79"/>
      <c r="O570" s="56"/>
    </row>
    <row r="571" spans="1:15" ht="13" x14ac:dyDescent="0.15">
      <c r="A571" s="56"/>
      <c r="B571" s="56"/>
      <c r="K571" s="56"/>
      <c r="L571" s="79"/>
      <c r="O571" s="56"/>
    </row>
    <row r="572" spans="1:15" ht="13" x14ac:dyDescent="0.15">
      <c r="A572" s="56"/>
      <c r="B572" s="56"/>
      <c r="K572" s="56"/>
      <c r="L572" s="79"/>
      <c r="O572" s="56"/>
    </row>
    <row r="573" spans="1:15" ht="13" x14ac:dyDescent="0.15">
      <c r="A573" s="56"/>
      <c r="B573" s="56"/>
      <c r="K573" s="56"/>
      <c r="L573" s="79"/>
      <c r="O573" s="56"/>
    </row>
    <row r="574" spans="1:15" ht="13" x14ac:dyDescent="0.15">
      <c r="A574" s="56"/>
      <c r="B574" s="56"/>
      <c r="K574" s="56"/>
      <c r="L574" s="79"/>
      <c r="O574" s="56"/>
    </row>
    <row r="575" spans="1:15" ht="13" x14ac:dyDescent="0.15">
      <c r="A575" s="56"/>
      <c r="B575" s="56"/>
      <c r="K575" s="56"/>
      <c r="L575" s="79"/>
      <c r="O575" s="56"/>
    </row>
    <row r="576" spans="1:15" ht="13" x14ac:dyDescent="0.15">
      <c r="A576" s="56"/>
      <c r="B576" s="56"/>
      <c r="K576" s="56"/>
      <c r="L576" s="79"/>
      <c r="O576" s="56"/>
    </row>
    <row r="577" spans="1:15" ht="13" x14ac:dyDescent="0.15">
      <c r="A577" s="56"/>
      <c r="B577" s="56"/>
      <c r="K577" s="56"/>
      <c r="L577" s="79"/>
      <c r="O577" s="56"/>
    </row>
    <row r="578" spans="1:15" ht="13" x14ac:dyDescent="0.15">
      <c r="A578" s="56"/>
      <c r="B578" s="56"/>
      <c r="K578" s="56"/>
      <c r="L578" s="79"/>
      <c r="O578" s="56"/>
    </row>
    <row r="579" spans="1:15" ht="13" x14ac:dyDescent="0.15">
      <c r="A579" s="56"/>
      <c r="B579" s="56"/>
      <c r="K579" s="56"/>
      <c r="L579" s="79"/>
      <c r="O579" s="56"/>
    </row>
    <row r="580" spans="1:15" ht="13" x14ac:dyDescent="0.15">
      <c r="A580" s="56"/>
      <c r="B580" s="56"/>
      <c r="K580" s="56"/>
      <c r="L580" s="79"/>
      <c r="O580" s="56"/>
    </row>
    <row r="581" spans="1:15" ht="13" x14ac:dyDescent="0.15">
      <c r="A581" s="56"/>
      <c r="B581" s="56"/>
      <c r="K581" s="56"/>
      <c r="L581" s="79"/>
      <c r="O581" s="56"/>
    </row>
    <row r="582" spans="1:15" ht="13" x14ac:dyDescent="0.15">
      <c r="A582" s="56"/>
      <c r="B582" s="56"/>
      <c r="K582" s="56"/>
      <c r="L582" s="79"/>
      <c r="O582" s="56"/>
    </row>
    <row r="583" spans="1:15" ht="13" x14ac:dyDescent="0.15">
      <c r="A583" s="56"/>
      <c r="B583" s="56"/>
      <c r="K583" s="56"/>
      <c r="L583" s="79"/>
      <c r="O583" s="56"/>
    </row>
    <row r="584" spans="1:15" ht="13" x14ac:dyDescent="0.15">
      <c r="A584" s="56"/>
      <c r="B584" s="56"/>
      <c r="K584" s="56"/>
      <c r="L584" s="79"/>
      <c r="O584" s="56"/>
    </row>
    <row r="585" spans="1:15" ht="13" x14ac:dyDescent="0.15">
      <c r="A585" s="56"/>
      <c r="B585" s="56"/>
      <c r="K585" s="56"/>
      <c r="L585" s="79"/>
      <c r="O585" s="56"/>
    </row>
    <row r="586" spans="1:15" ht="13" x14ac:dyDescent="0.15">
      <c r="A586" s="56"/>
      <c r="B586" s="56"/>
      <c r="K586" s="56"/>
      <c r="L586" s="79"/>
      <c r="O586" s="56"/>
    </row>
    <row r="587" spans="1:15" ht="13" x14ac:dyDescent="0.15">
      <c r="A587" s="56"/>
      <c r="B587" s="56"/>
      <c r="K587" s="56"/>
      <c r="L587" s="79"/>
      <c r="O587" s="56"/>
    </row>
    <row r="588" spans="1:15" ht="13" x14ac:dyDescent="0.15">
      <c r="A588" s="56"/>
      <c r="B588" s="56"/>
      <c r="K588" s="56"/>
      <c r="L588" s="79"/>
      <c r="O588" s="56"/>
    </row>
    <row r="589" spans="1:15" ht="13" x14ac:dyDescent="0.15">
      <c r="A589" s="56"/>
      <c r="B589" s="56"/>
      <c r="K589" s="56"/>
      <c r="L589" s="79"/>
      <c r="O589" s="56"/>
    </row>
    <row r="590" spans="1:15" ht="13" x14ac:dyDescent="0.15">
      <c r="A590" s="56"/>
      <c r="B590" s="56"/>
      <c r="K590" s="56"/>
      <c r="L590" s="79"/>
      <c r="O590" s="56"/>
    </row>
    <row r="591" spans="1:15" ht="13" x14ac:dyDescent="0.15">
      <c r="A591" s="56"/>
      <c r="B591" s="56"/>
      <c r="K591" s="56"/>
      <c r="L591" s="79"/>
      <c r="O591" s="56"/>
    </row>
    <row r="592" spans="1:15" ht="13" x14ac:dyDescent="0.15">
      <c r="A592" s="56"/>
      <c r="B592" s="56"/>
      <c r="K592" s="56"/>
      <c r="L592" s="79"/>
      <c r="O592" s="56"/>
    </row>
    <row r="593" spans="1:15" ht="13" x14ac:dyDescent="0.15">
      <c r="A593" s="56"/>
      <c r="B593" s="56"/>
      <c r="K593" s="56"/>
      <c r="L593" s="79"/>
      <c r="O593" s="56"/>
    </row>
    <row r="594" spans="1:15" ht="13" x14ac:dyDescent="0.15">
      <c r="A594" s="56"/>
      <c r="B594" s="56"/>
      <c r="K594" s="56"/>
      <c r="L594" s="79"/>
      <c r="O594" s="56"/>
    </row>
    <row r="595" spans="1:15" ht="13" x14ac:dyDescent="0.15">
      <c r="A595" s="56"/>
      <c r="B595" s="56"/>
      <c r="K595" s="56"/>
      <c r="L595" s="79"/>
      <c r="O595" s="56"/>
    </row>
    <row r="596" spans="1:15" ht="13" x14ac:dyDescent="0.15">
      <c r="A596" s="56"/>
      <c r="B596" s="56"/>
      <c r="K596" s="56"/>
      <c r="L596" s="79"/>
      <c r="O596" s="56"/>
    </row>
    <row r="597" spans="1:15" ht="13" x14ac:dyDescent="0.15">
      <c r="A597" s="56"/>
      <c r="B597" s="56"/>
      <c r="K597" s="56"/>
      <c r="L597" s="79"/>
      <c r="O597" s="56"/>
    </row>
    <row r="598" spans="1:15" ht="13" x14ac:dyDescent="0.15">
      <c r="A598" s="56"/>
      <c r="B598" s="56"/>
      <c r="K598" s="56"/>
      <c r="L598" s="79"/>
      <c r="O598" s="56"/>
    </row>
    <row r="599" spans="1:15" ht="13" x14ac:dyDescent="0.15">
      <c r="A599" s="56"/>
      <c r="B599" s="56"/>
      <c r="K599" s="56"/>
      <c r="L599" s="79"/>
      <c r="O599" s="56"/>
    </row>
    <row r="600" spans="1:15" ht="13" x14ac:dyDescent="0.15">
      <c r="A600" s="56"/>
      <c r="B600" s="56"/>
      <c r="K600" s="56"/>
      <c r="L600" s="79"/>
      <c r="O600" s="56"/>
    </row>
    <row r="601" spans="1:15" ht="13" x14ac:dyDescent="0.15">
      <c r="A601" s="56"/>
      <c r="B601" s="56"/>
      <c r="K601" s="56"/>
      <c r="L601" s="79"/>
      <c r="O601" s="56"/>
    </row>
    <row r="602" spans="1:15" ht="13" x14ac:dyDescent="0.15">
      <c r="A602" s="56"/>
      <c r="B602" s="56"/>
      <c r="K602" s="56"/>
      <c r="L602" s="79"/>
      <c r="O602" s="56"/>
    </row>
    <row r="603" spans="1:15" ht="13" x14ac:dyDescent="0.15">
      <c r="A603" s="56"/>
      <c r="B603" s="56"/>
      <c r="K603" s="56"/>
      <c r="L603" s="79"/>
      <c r="O603" s="56"/>
    </row>
    <row r="604" spans="1:15" ht="13" x14ac:dyDescent="0.15">
      <c r="A604" s="56"/>
      <c r="B604" s="56"/>
      <c r="K604" s="56"/>
      <c r="L604" s="79"/>
      <c r="O604" s="56"/>
    </row>
    <row r="605" spans="1:15" ht="13" x14ac:dyDescent="0.15">
      <c r="A605" s="56"/>
      <c r="B605" s="56"/>
      <c r="K605" s="56"/>
      <c r="L605" s="79"/>
      <c r="O605" s="56"/>
    </row>
    <row r="606" spans="1:15" ht="13" x14ac:dyDescent="0.15">
      <c r="A606" s="56"/>
      <c r="B606" s="56"/>
      <c r="K606" s="56"/>
      <c r="L606" s="79"/>
      <c r="O606" s="56"/>
    </row>
    <row r="607" spans="1:15" ht="13" x14ac:dyDescent="0.15">
      <c r="A607" s="56"/>
      <c r="B607" s="56"/>
      <c r="K607" s="56"/>
      <c r="L607" s="79"/>
      <c r="O607" s="56"/>
    </row>
    <row r="608" spans="1:15" ht="13" x14ac:dyDescent="0.15">
      <c r="A608" s="56"/>
      <c r="B608" s="56"/>
      <c r="K608" s="56"/>
      <c r="L608" s="79"/>
      <c r="O608" s="56"/>
    </row>
    <row r="609" spans="1:15" ht="13" x14ac:dyDescent="0.15">
      <c r="A609" s="56"/>
      <c r="B609" s="56"/>
      <c r="K609" s="56"/>
      <c r="L609" s="79"/>
      <c r="O609" s="56"/>
    </row>
    <row r="610" spans="1:15" ht="13" x14ac:dyDescent="0.15">
      <c r="A610" s="56"/>
      <c r="B610" s="56"/>
      <c r="K610" s="56"/>
      <c r="L610" s="79"/>
      <c r="O610" s="56"/>
    </row>
    <row r="611" spans="1:15" ht="13" x14ac:dyDescent="0.15">
      <c r="A611" s="56"/>
      <c r="B611" s="56"/>
      <c r="K611" s="56"/>
      <c r="L611" s="79"/>
      <c r="O611" s="56"/>
    </row>
    <row r="612" spans="1:15" ht="13" x14ac:dyDescent="0.15">
      <c r="A612" s="56"/>
      <c r="B612" s="56"/>
      <c r="K612" s="56"/>
      <c r="L612" s="79"/>
      <c r="O612" s="56"/>
    </row>
    <row r="613" spans="1:15" ht="13" x14ac:dyDescent="0.15">
      <c r="A613" s="56"/>
      <c r="B613" s="56"/>
      <c r="K613" s="56"/>
      <c r="L613" s="79"/>
      <c r="O613" s="56"/>
    </row>
    <row r="614" spans="1:15" ht="13" x14ac:dyDescent="0.15">
      <c r="A614" s="56"/>
      <c r="B614" s="56"/>
      <c r="K614" s="56"/>
      <c r="L614" s="79"/>
      <c r="O614" s="56"/>
    </row>
    <row r="615" spans="1:15" ht="13" x14ac:dyDescent="0.15">
      <c r="A615" s="56"/>
      <c r="B615" s="56"/>
      <c r="K615" s="56"/>
      <c r="L615" s="79"/>
      <c r="O615" s="56"/>
    </row>
    <row r="616" spans="1:15" ht="13" x14ac:dyDescent="0.15">
      <c r="A616" s="56"/>
      <c r="B616" s="56"/>
      <c r="K616" s="56"/>
      <c r="L616" s="79"/>
      <c r="O616" s="56"/>
    </row>
    <row r="617" spans="1:15" ht="13" x14ac:dyDescent="0.15">
      <c r="A617" s="56"/>
      <c r="B617" s="56"/>
      <c r="K617" s="56"/>
      <c r="L617" s="79"/>
      <c r="O617" s="56"/>
    </row>
    <row r="618" spans="1:15" ht="13" x14ac:dyDescent="0.15">
      <c r="A618" s="56"/>
      <c r="B618" s="56"/>
      <c r="K618" s="56"/>
      <c r="L618" s="79"/>
      <c r="O618" s="56"/>
    </row>
    <row r="619" spans="1:15" ht="13" x14ac:dyDescent="0.15">
      <c r="A619" s="56"/>
      <c r="B619" s="56"/>
      <c r="K619" s="56"/>
      <c r="L619" s="79"/>
      <c r="O619" s="56"/>
    </row>
    <row r="620" spans="1:15" ht="13" x14ac:dyDescent="0.15">
      <c r="A620" s="56"/>
      <c r="B620" s="56"/>
      <c r="K620" s="56"/>
      <c r="L620" s="79"/>
      <c r="O620" s="56"/>
    </row>
    <row r="621" spans="1:15" ht="13" x14ac:dyDescent="0.15">
      <c r="A621" s="56"/>
      <c r="B621" s="56"/>
      <c r="K621" s="56"/>
      <c r="L621" s="79"/>
      <c r="O621" s="56"/>
    </row>
    <row r="622" spans="1:15" ht="13" x14ac:dyDescent="0.15">
      <c r="A622" s="56"/>
      <c r="B622" s="56"/>
      <c r="K622" s="56"/>
      <c r="L622" s="79"/>
      <c r="O622" s="56"/>
    </row>
    <row r="623" spans="1:15" ht="13" x14ac:dyDescent="0.15">
      <c r="A623" s="56"/>
      <c r="B623" s="56"/>
      <c r="K623" s="56"/>
      <c r="L623" s="79"/>
      <c r="O623" s="56"/>
    </row>
    <row r="624" spans="1:15" ht="13" x14ac:dyDescent="0.15">
      <c r="A624" s="56"/>
      <c r="B624" s="56"/>
      <c r="K624" s="56"/>
      <c r="L624" s="79"/>
      <c r="O624" s="56"/>
    </row>
    <row r="625" spans="1:15" ht="13" x14ac:dyDescent="0.15">
      <c r="A625" s="56"/>
      <c r="B625" s="56"/>
      <c r="K625" s="56"/>
      <c r="L625" s="79"/>
      <c r="O625" s="56"/>
    </row>
    <row r="626" spans="1:15" ht="13" x14ac:dyDescent="0.15">
      <c r="A626" s="56"/>
      <c r="B626" s="56"/>
      <c r="K626" s="56"/>
      <c r="L626" s="79"/>
      <c r="O626" s="56"/>
    </row>
    <row r="627" spans="1:15" ht="13" x14ac:dyDescent="0.15">
      <c r="A627" s="56"/>
      <c r="B627" s="56"/>
      <c r="K627" s="56"/>
      <c r="L627" s="79"/>
      <c r="O627" s="56"/>
    </row>
    <row r="628" spans="1:15" ht="13" x14ac:dyDescent="0.15">
      <c r="A628" s="56"/>
      <c r="B628" s="56"/>
      <c r="K628" s="56"/>
      <c r="L628" s="79"/>
      <c r="O628" s="56"/>
    </row>
    <row r="629" spans="1:15" ht="13" x14ac:dyDescent="0.15">
      <c r="A629" s="56"/>
      <c r="B629" s="56"/>
      <c r="K629" s="56"/>
      <c r="L629" s="79"/>
      <c r="O629" s="56"/>
    </row>
    <row r="630" spans="1:15" ht="13" x14ac:dyDescent="0.15">
      <c r="A630" s="56"/>
      <c r="B630" s="56"/>
      <c r="K630" s="56"/>
      <c r="L630" s="79"/>
      <c r="O630" s="56"/>
    </row>
    <row r="631" spans="1:15" ht="13" x14ac:dyDescent="0.15">
      <c r="A631" s="56"/>
      <c r="B631" s="56"/>
      <c r="K631" s="56"/>
      <c r="L631" s="79"/>
      <c r="O631" s="56"/>
    </row>
    <row r="632" spans="1:15" ht="13" x14ac:dyDescent="0.15">
      <c r="A632" s="56"/>
      <c r="B632" s="56"/>
      <c r="K632" s="56"/>
      <c r="L632" s="79"/>
      <c r="O632" s="56"/>
    </row>
    <row r="633" spans="1:15" ht="13" x14ac:dyDescent="0.15">
      <c r="A633" s="56"/>
      <c r="B633" s="56"/>
      <c r="K633" s="56"/>
      <c r="L633" s="79"/>
      <c r="O633" s="56"/>
    </row>
    <row r="634" spans="1:15" ht="13" x14ac:dyDescent="0.15">
      <c r="A634" s="56"/>
      <c r="B634" s="56"/>
      <c r="K634" s="56"/>
      <c r="L634" s="79"/>
      <c r="O634" s="56"/>
    </row>
    <row r="635" spans="1:15" ht="13" x14ac:dyDescent="0.15">
      <c r="A635" s="56"/>
      <c r="B635" s="56"/>
      <c r="K635" s="56"/>
      <c r="L635" s="79"/>
      <c r="O635" s="56"/>
    </row>
    <row r="636" spans="1:15" ht="13" x14ac:dyDescent="0.15">
      <c r="A636" s="56"/>
      <c r="B636" s="56"/>
      <c r="K636" s="56"/>
      <c r="L636" s="79"/>
      <c r="O636" s="56"/>
    </row>
    <row r="637" spans="1:15" ht="13" x14ac:dyDescent="0.15">
      <c r="A637" s="56"/>
      <c r="B637" s="56"/>
      <c r="K637" s="56"/>
      <c r="L637" s="79"/>
      <c r="O637" s="56"/>
    </row>
    <row r="638" spans="1:15" ht="13" x14ac:dyDescent="0.15">
      <c r="A638" s="56"/>
      <c r="B638" s="56"/>
      <c r="K638" s="56"/>
      <c r="L638" s="79"/>
      <c r="O638" s="56"/>
    </row>
    <row r="639" spans="1:15" ht="13" x14ac:dyDescent="0.15">
      <c r="A639" s="56"/>
      <c r="B639" s="56"/>
      <c r="K639" s="56"/>
      <c r="L639" s="79"/>
      <c r="O639" s="56"/>
    </row>
    <row r="640" spans="1:15" ht="13" x14ac:dyDescent="0.15">
      <c r="A640" s="56"/>
      <c r="B640" s="56"/>
      <c r="K640" s="56"/>
      <c r="L640" s="79"/>
      <c r="O640" s="56"/>
    </row>
    <row r="641" spans="1:15" ht="13" x14ac:dyDescent="0.15">
      <c r="A641" s="56"/>
      <c r="B641" s="56"/>
      <c r="K641" s="56"/>
      <c r="L641" s="79"/>
      <c r="O641" s="56"/>
    </row>
    <row r="642" spans="1:15" ht="13" x14ac:dyDescent="0.15">
      <c r="A642" s="56"/>
      <c r="B642" s="56"/>
      <c r="K642" s="56"/>
      <c r="L642" s="79"/>
      <c r="O642" s="56"/>
    </row>
    <row r="643" spans="1:15" ht="13" x14ac:dyDescent="0.15">
      <c r="A643" s="56"/>
      <c r="B643" s="56"/>
      <c r="K643" s="56"/>
      <c r="L643" s="79"/>
      <c r="O643" s="56"/>
    </row>
    <row r="644" spans="1:15" ht="13" x14ac:dyDescent="0.15">
      <c r="A644" s="56"/>
      <c r="B644" s="56"/>
      <c r="K644" s="56"/>
      <c r="L644" s="79"/>
      <c r="O644" s="56"/>
    </row>
    <row r="645" spans="1:15" ht="13" x14ac:dyDescent="0.15">
      <c r="A645" s="56"/>
      <c r="B645" s="56"/>
      <c r="K645" s="56"/>
      <c r="L645" s="79"/>
      <c r="O645" s="56"/>
    </row>
    <row r="646" spans="1:15" ht="13" x14ac:dyDescent="0.15">
      <c r="A646" s="56"/>
      <c r="B646" s="56"/>
      <c r="K646" s="56"/>
      <c r="L646" s="79"/>
      <c r="O646" s="56"/>
    </row>
    <row r="647" spans="1:15" ht="13" x14ac:dyDescent="0.15">
      <c r="A647" s="56"/>
      <c r="B647" s="56"/>
      <c r="K647" s="56"/>
      <c r="L647" s="79"/>
      <c r="O647" s="56"/>
    </row>
    <row r="648" spans="1:15" ht="13" x14ac:dyDescent="0.15">
      <c r="A648" s="56"/>
      <c r="B648" s="56"/>
      <c r="K648" s="56"/>
      <c r="L648" s="79"/>
      <c r="O648" s="56"/>
    </row>
    <row r="649" spans="1:15" ht="13" x14ac:dyDescent="0.15">
      <c r="A649" s="56"/>
      <c r="B649" s="56"/>
      <c r="K649" s="56"/>
      <c r="L649" s="79"/>
      <c r="O649" s="56"/>
    </row>
    <row r="650" spans="1:15" ht="13" x14ac:dyDescent="0.15">
      <c r="A650" s="56"/>
      <c r="B650" s="56"/>
      <c r="K650" s="56"/>
      <c r="L650" s="79"/>
      <c r="O650" s="56"/>
    </row>
    <row r="651" spans="1:15" ht="13" x14ac:dyDescent="0.15">
      <c r="A651" s="56"/>
      <c r="B651" s="56"/>
      <c r="K651" s="56"/>
      <c r="L651" s="79"/>
      <c r="O651" s="56"/>
    </row>
    <row r="652" spans="1:15" ht="13" x14ac:dyDescent="0.15">
      <c r="A652" s="56"/>
      <c r="B652" s="56"/>
      <c r="K652" s="56"/>
      <c r="L652" s="79"/>
      <c r="O652" s="56"/>
    </row>
    <row r="653" spans="1:15" ht="13" x14ac:dyDescent="0.15">
      <c r="A653" s="56"/>
      <c r="B653" s="56"/>
      <c r="K653" s="56"/>
      <c r="L653" s="79"/>
      <c r="O653" s="56"/>
    </row>
    <row r="654" spans="1:15" ht="13" x14ac:dyDescent="0.15">
      <c r="A654" s="56"/>
      <c r="B654" s="56"/>
      <c r="K654" s="56"/>
      <c r="L654" s="79"/>
      <c r="O654" s="56"/>
    </row>
    <row r="655" spans="1:15" ht="13" x14ac:dyDescent="0.15">
      <c r="A655" s="56"/>
      <c r="B655" s="56"/>
      <c r="K655" s="56"/>
      <c r="L655" s="79"/>
      <c r="O655" s="56"/>
    </row>
    <row r="656" spans="1:15" ht="13" x14ac:dyDescent="0.15">
      <c r="A656" s="56"/>
      <c r="B656" s="56"/>
      <c r="K656" s="56"/>
      <c r="L656" s="79"/>
      <c r="O656" s="56"/>
    </row>
    <row r="657" spans="1:15" ht="13" x14ac:dyDescent="0.15">
      <c r="A657" s="56"/>
      <c r="B657" s="56"/>
      <c r="K657" s="56"/>
      <c r="L657" s="79"/>
      <c r="O657" s="56"/>
    </row>
    <row r="658" spans="1:15" ht="13" x14ac:dyDescent="0.15">
      <c r="A658" s="56"/>
      <c r="B658" s="56"/>
      <c r="K658" s="56"/>
      <c r="L658" s="79"/>
      <c r="O658" s="56"/>
    </row>
    <row r="659" spans="1:15" ht="13" x14ac:dyDescent="0.15">
      <c r="A659" s="56"/>
      <c r="B659" s="56"/>
      <c r="K659" s="56"/>
      <c r="L659" s="79"/>
      <c r="O659" s="56"/>
    </row>
    <row r="660" spans="1:15" ht="13" x14ac:dyDescent="0.15">
      <c r="A660" s="56"/>
      <c r="B660" s="56"/>
      <c r="K660" s="56"/>
      <c r="L660" s="79"/>
      <c r="O660" s="56"/>
    </row>
    <row r="661" spans="1:15" ht="13" x14ac:dyDescent="0.15">
      <c r="A661" s="56"/>
      <c r="B661" s="56"/>
      <c r="K661" s="56"/>
      <c r="L661" s="79"/>
      <c r="O661" s="56"/>
    </row>
    <row r="662" spans="1:15" ht="13" x14ac:dyDescent="0.15">
      <c r="A662" s="56"/>
      <c r="B662" s="56"/>
      <c r="K662" s="56"/>
      <c r="L662" s="79"/>
      <c r="O662" s="56"/>
    </row>
    <row r="663" spans="1:15" ht="13" x14ac:dyDescent="0.15">
      <c r="A663" s="56"/>
      <c r="B663" s="56"/>
      <c r="K663" s="56"/>
      <c r="L663" s="79"/>
      <c r="O663" s="56"/>
    </row>
    <row r="664" spans="1:15" ht="13" x14ac:dyDescent="0.15">
      <c r="A664" s="56"/>
      <c r="B664" s="56"/>
      <c r="K664" s="56"/>
      <c r="L664" s="79"/>
      <c r="O664" s="56"/>
    </row>
    <row r="665" spans="1:15" ht="13" x14ac:dyDescent="0.15">
      <c r="A665" s="56"/>
      <c r="B665" s="56"/>
      <c r="K665" s="56"/>
      <c r="L665" s="79"/>
      <c r="O665" s="56"/>
    </row>
    <row r="666" spans="1:15" ht="13" x14ac:dyDescent="0.15">
      <c r="A666" s="56"/>
      <c r="B666" s="56"/>
      <c r="K666" s="56"/>
      <c r="L666" s="79"/>
      <c r="O666" s="56"/>
    </row>
    <row r="667" spans="1:15" ht="13" x14ac:dyDescent="0.15">
      <c r="A667" s="56"/>
      <c r="B667" s="56"/>
      <c r="K667" s="56"/>
      <c r="L667" s="79"/>
      <c r="O667" s="56"/>
    </row>
    <row r="668" spans="1:15" ht="13" x14ac:dyDescent="0.15">
      <c r="A668" s="56"/>
      <c r="B668" s="56"/>
      <c r="K668" s="56"/>
      <c r="L668" s="79"/>
      <c r="O668" s="56"/>
    </row>
    <row r="669" spans="1:15" ht="13" x14ac:dyDescent="0.15">
      <c r="A669" s="56"/>
      <c r="B669" s="56"/>
      <c r="K669" s="56"/>
      <c r="L669" s="79"/>
      <c r="O669" s="56"/>
    </row>
    <row r="670" spans="1:15" ht="13" x14ac:dyDescent="0.15">
      <c r="A670" s="56"/>
      <c r="B670" s="56"/>
      <c r="K670" s="56"/>
      <c r="L670" s="79"/>
      <c r="O670" s="56"/>
    </row>
    <row r="671" spans="1:15" ht="13" x14ac:dyDescent="0.15">
      <c r="A671" s="56"/>
      <c r="B671" s="56"/>
      <c r="K671" s="56"/>
      <c r="L671" s="79"/>
      <c r="O671" s="56"/>
    </row>
    <row r="672" spans="1:15" ht="13" x14ac:dyDescent="0.15">
      <c r="A672" s="56"/>
      <c r="B672" s="56"/>
      <c r="K672" s="56"/>
      <c r="L672" s="79"/>
      <c r="O672" s="56"/>
    </row>
    <row r="673" spans="1:15" ht="13" x14ac:dyDescent="0.15">
      <c r="A673" s="56"/>
      <c r="B673" s="56"/>
      <c r="K673" s="56"/>
      <c r="L673" s="79"/>
      <c r="O673" s="56"/>
    </row>
    <row r="674" spans="1:15" ht="13" x14ac:dyDescent="0.15">
      <c r="A674" s="56"/>
      <c r="B674" s="56"/>
      <c r="K674" s="56"/>
      <c r="L674" s="79"/>
      <c r="O674" s="56"/>
    </row>
    <row r="675" spans="1:15" ht="13" x14ac:dyDescent="0.15">
      <c r="A675" s="56"/>
      <c r="B675" s="56"/>
      <c r="K675" s="56"/>
      <c r="L675" s="79"/>
      <c r="O675" s="56"/>
    </row>
    <row r="676" spans="1:15" ht="13" x14ac:dyDescent="0.15">
      <c r="A676" s="56"/>
      <c r="B676" s="56"/>
      <c r="K676" s="56"/>
      <c r="L676" s="79"/>
      <c r="O676" s="56"/>
    </row>
    <row r="677" spans="1:15" ht="13" x14ac:dyDescent="0.15">
      <c r="A677" s="56"/>
      <c r="B677" s="56"/>
      <c r="K677" s="56"/>
      <c r="L677" s="79"/>
      <c r="O677" s="56"/>
    </row>
    <row r="678" spans="1:15" ht="13" x14ac:dyDescent="0.15">
      <c r="A678" s="56"/>
      <c r="B678" s="56"/>
      <c r="K678" s="56"/>
      <c r="L678" s="79"/>
      <c r="O678" s="56"/>
    </row>
    <row r="679" spans="1:15" ht="13" x14ac:dyDescent="0.15">
      <c r="A679" s="56"/>
      <c r="B679" s="56"/>
      <c r="K679" s="56"/>
      <c r="L679" s="79"/>
      <c r="O679" s="56"/>
    </row>
    <row r="680" spans="1:15" ht="13" x14ac:dyDescent="0.15">
      <c r="A680" s="56"/>
      <c r="B680" s="56"/>
      <c r="K680" s="56"/>
      <c r="L680" s="79"/>
      <c r="O680" s="56"/>
    </row>
    <row r="681" spans="1:15" ht="13" x14ac:dyDescent="0.15">
      <c r="A681" s="56"/>
      <c r="B681" s="56"/>
      <c r="K681" s="56"/>
      <c r="L681" s="79"/>
      <c r="O681" s="56"/>
    </row>
    <row r="682" spans="1:15" ht="13" x14ac:dyDescent="0.15">
      <c r="A682" s="56"/>
      <c r="B682" s="56"/>
      <c r="K682" s="56"/>
      <c r="L682" s="79"/>
      <c r="O682" s="56"/>
    </row>
    <row r="683" spans="1:15" ht="13" x14ac:dyDescent="0.15">
      <c r="A683" s="56"/>
      <c r="B683" s="56"/>
      <c r="K683" s="56"/>
      <c r="L683" s="79"/>
      <c r="O683" s="56"/>
    </row>
    <row r="684" spans="1:15" ht="13" x14ac:dyDescent="0.15">
      <c r="A684" s="56"/>
      <c r="B684" s="56"/>
      <c r="K684" s="56"/>
      <c r="L684" s="79"/>
      <c r="O684" s="56"/>
    </row>
    <row r="685" spans="1:15" ht="13" x14ac:dyDescent="0.15">
      <c r="A685" s="56"/>
      <c r="B685" s="56"/>
      <c r="K685" s="56"/>
      <c r="L685" s="79"/>
      <c r="O685" s="56"/>
    </row>
    <row r="686" spans="1:15" ht="13" x14ac:dyDescent="0.15">
      <c r="A686" s="56"/>
      <c r="B686" s="56"/>
      <c r="K686" s="56"/>
      <c r="L686" s="79"/>
      <c r="O686" s="56"/>
    </row>
    <row r="687" spans="1:15" ht="13" x14ac:dyDescent="0.15">
      <c r="A687" s="56"/>
      <c r="B687" s="56"/>
      <c r="K687" s="56"/>
      <c r="L687" s="79"/>
      <c r="O687" s="56"/>
    </row>
    <row r="688" spans="1:15" ht="13" x14ac:dyDescent="0.15">
      <c r="A688" s="56"/>
      <c r="B688" s="56"/>
      <c r="K688" s="56"/>
      <c r="L688" s="79"/>
      <c r="O688" s="56"/>
    </row>
    <row r="689" spans="1:15" ht="13" x14ac:dyDescent="0.15">
      <c r="A689" s="56"/>
      <c r="B689" s="56"/>
      <c r="K689" s="56"/>
      <c r="L689" s="79"/>
      <c r="O689" s="56"/>
    </row>
    <row r="690" spans="1:15" ht="13" x14ac:dyDescent="0.15">
      <c r="A690" s="56"/>
      <c r="B690" s="56"/>
      <c r="K690" s="56"/>
      <c r="L690" s="79"/>
      <c r="O690" s="56"/>
    </row>
    <row r="691" spans="1:15" ht="13" x14ac:dyDescent="0.15">
      <c r="A691" s="56"/>
      <c r="B691" s="56"/>
      <c r="K691" s="56"/>
      <c r="L691" s="79"/>
      <c r="O691" s="56"/>
    </row>
    <row r="692" spans="1:15" ht="13" x14ac:dyDescent="0.15">
      <c r="A692" s="56"/>
      <c r="B692" s="56"/>
      <c r="K692" s="56"/>
      <c r="L692" s="79"/>
      <c r="O692" s="56"/>
    </row>
    <row r="693" spans="1:15" ht="13" x14ac:dyDescent="0.15">
      <c r="A693" s="56"/>
      <c r="B693" s="56"/>
      <c r="K693" s="56"/>
      <c r="L693" s="79"/>
      <c r="O693" s="56"/>
    </row>
    <row r="694" spans="1:15" ht="13" x14ac:dyDescent="0.15">
      <c r="A694" s="56"/>
      <c r="B694" s="56"/>
      <c r="K694" s="56"/>
      <c r="L694" s="79"/>
      <c r="O694" s="56"/>
    </row>
    <row r="695" spans="1:15" ht="13" x14ac:dyDescent="0.15">
      <c r="A695" s="56"/>
      <c r="B695" s="56"/>
      <c r="K695" s="56"/>
      <c r="L695" s="79"/>
      <c r="O695" s="56"/>
    </row>
    <row r="696" spans="1:15" ht="13" x14ac:dyDescent="0.15">
      <c r="A696" s="56"/>
      <c r="B696" s="56"/>
      <c r="K696" s="56"/>
      <c r="L696" s="79"/>
      <c r="O696" s="56"/>
    </row>
    <row r="697" spans="1:15" ht="13" x14ac:dyDescent="0.15">
      <c r="A697" s="56"/>
      <c r="B697" s="56"/>
      <c r="K697" s="56"/>
      <c r="L697" s="79"/>
      <c r="O697" s="56"/>
    </row>
    <row r="698" spans="1:15" ht="13" x14ac:dyDescent="0.15">
      <c r="A698" s="56"/>
      <c r="B698" s="56"/>
      <c r="K698" s="56"/>
      <c r="L698" s="79"/>
      <c r="O698" s="56"/>
    </row>
    <row r="699" spans="1:15" ht="13" x14ac:dyDescent="0.15">
      <c r="A699" s="56"/>
      <c r="B699" s="56"/>
      <c r="K699" s="56"/>
      <c r="L699" s="79"/>
      <c r="O699" s="56"/>
    </row>
    <row r="700" spans="1:15" ht="13" x14ac:dyDescent="0.15">
      <c r="A700" s="56"/>
      <c r="B700" s="56"/>
      <c r="K700" s="56"/>
      <c r="L700" s="79"/>
      <c r="O700" s="56"/>
    </row>
    <row r="701" spans="1:15" ht="13" x14ac:dyDescent="0.15">
      <c r="A701" s="56"/>
      <c r="B701" s="56"/>
      <c r="K701" s="56"/>
      <c r="L701" s="79"/>
      <c r="O701" s="56"/>
    </row>
    <row r="702" spans="1:15" ht="13" x14ac:dyDescent="0.15">
      <c r="A702" s="56"/>
      <c r="B702" s="56"/>
      <c r="K702" s="56"/>
      <c r="L702" s="79"/>
      <c r="O702" s="56"/>
    </row>
    <row r="703" spans="1:15" ht="13" x14ac:dyDescent="0.15">
      <c r="A703" s="56"/>
      <c r="B703" s="56"/>
      <c r="K703" s="56"/>
      <c r="L703" s="79"/>
      <c r="O703" s="56"/>
    </row>
    <row r="704" spans="1:15" ht="13" x14ac:dyDescent="0.15">
      <c r="A704" s="56"/>
      <c r="B704" s="56"/>
      <c r="K704" s="56"/>
      <c r="L704" s="79"/>
      <c r="O704" s="56"/>
    </row>
    <row r="705" spans="1:15" ht="13" x14ac:dyDescent="0.15">
      <c r="A705" s="56"/>
      <c r="B705" s="56"/>
      <c r="K705" s="56"/>
      <c r="L705" s="79"/>
      <c r="O705" s="56"/>
    </row>
    <row r="706" spans="1:15" ht="13" x14ac:dyDescent="0.15">
      <c r="A706" s="56"/>
      <c r="B706" s="56"/>
      <c r="K706" s="56"/>
      <c r="L706" s="79"/>
      <c r="O706" s="56"/>
    </row>
    <row r="707" spans="1:15" ht="13" x14ac:dyDescent="0.15">
      <c r="A707" s="56"/>
      <c r="B707" s="56"/>
      <c r="K707" s="56"/>
      <c r="L707" s="79"/>
      <c r="O707" s="56"/>
    </row>
    <row r="708" spans="1:15" ht="13" x14ac:dyDescent="0.15">
      <c r="A708" s="56"/>
      <c r="B708" s="56"/>
      <c r="K708" s="56"/>
      <c r="L708" s="79"/>
      <c r="O708" s="56"/>
    </row>
    <row r="709" spans="1:15" ht="13" x14ac:dyDescent="0.15">
      <c r="A709" s="56"/>
      <c r="B709" s="56"/>
      <c r="K709" s="56"/>
      <c r="L709" s="79"/>
      <c r="O709" s="56"/>
    </row>
    <row r="710" spans="1:15" ht="13" x14ac:dyDescent="0.15">
      <c r="A710" s="56"/>
      <c r="B710" s="56"/>
      <c r="K710" s="56"/>
      <c r="L710" s="79"/>
      <c r="O710" s="56"/>
    </row>
    <row r="711" spans="1:15" ht="13" x14ac:dyDescent="0.15">
      <c r="A711" s="56"/>
      <c r="B711" s="56"/>
      <c r="K711" s="56"/>
      <c r="L711" s="79"/>
      <c r="O711" s="56"/>
    </row>
    <row r="712" spans="1:15" ht="13" x14ac:dyDescent="0.15">
      <c r="A712" s="56"/>
      <c r="B712" s="56"/>
      <c r="K712" s="56"/>
      <c r="L712" s="79"/>
      <c r="O712" s="56"/>
    </row>
    <row r="713" spans="1:15" ht="13" x14ac:dyDescent="0.15">
      <c r="A713" s="56"/>
      <c r="B713" s="56"/>
      <c r="K713" s="56"/>
      <c r="L713" s="79"/>
      <c r="O713" s="56"/>
    </row>
    <row r="714" spans="1:15" ht="13" x14ac:dyDescent="0.15">
      <c r="A714" s="56"/>
      <c r="B714" s="56"/>
      <c r="K714" s="56"/>
      <c r="L714" s="79"/>
      <c r="O714" s="56"/>
    </row>
    <row r="715" spans="1:15" ht="13" x14ac:dyDescent="0.15">
      <c r="A715" s="56"/>
      <c r="B715" s="56"/>
      <c r="K715" s="56"/>
      <c r="L715" s="79"/>
      <c r="O715" s="56"/>
    </row>
    <row r="716" spans="1:15" ht="13" x14ac:dyDescent="0.15">
      <c r="A716" s="56"/>
      <c r="B716" s="56"/>
      <c r="K716" s="56"/>
      <c r="L716" s="79"/>
      <c r="O716" s="56"/>
    </row>
    <row r="717" spans="1:15" ht="13" x14ac:dyDescent="0.15">
      <c r="A717" s="56"/>
      <c r="B717" s="56"/>
      <c r="K717" s="56"/>
      <c r="L717" s="79"/>
      <c r="O717" s="56"/>
    </row>
    <row r="718" spans="1:15" ht="13" x14ac:dyDescent="0.15">
      <c r="A718" s="56"/>
      <c r="B718" s="56"/>
      <c r="K718" s="56"/>
      <c r="L718" s="79"/>
      <c r="O718" s="56"/>
    </row>
    <row r="719" spans="1:15" ht="13" x14ac:dyDescent="0.15">
      <c r="A719" s="56"/>
      <c r="B719" s="56"/>
      <c r="K719" s="56"/>
      <c r="L719" s="79"/>
      <c r="O719" s="56"/>
    </row>
    <row r="720" spans="1:15" ht="13" x14ac:dyDescent="0.15">
      <c r="A720" s="56"/>
      <c r="B720" s="56"/>
      <c r="K720" s="56"/>
      <c r="L720" s="79"/>
      <c r="O720" s="56"/>
    </row>
    <row r="721" spans="1:15" ht="13" x14ac:dyDescent="0.15">
      <c r="A721" s="56"/>
      <c r="B721" s="56"/>
      <c r="K721" s="56"/>
      <c r="L721" s="79"/>
      <c r="O721" s="56"/>
    </row>
    <row r="722" spans="1:15" ht="13" x14ac:dyDescent="0.15">
      <c r="A722" s="56"/>
      <c r="B722" s="56"/>
      <c r="K722" s="56"/>
      <c r="L722" s="79"/>
      <c r="O722" s="56"/>
    </row>
    <row r="723" spans="1:15" ht="13" x14ac:dyDescent="0.15">
      <c r="A723" s="56"/>
      <c r="B723" s="56"/>
      <c r="K723" s="56"/>
      <c r="L723" s="79"/>
      <c r="O723" s="56"/>
    </row>
    <row r="724" spans="1:15" ht="13" x14ac:dyDescent="0.15">
      <c r="A724" s="56"/>
      <c r="B724" s="56"/>
      <c r="K724" s="56"/>
      <c r="L724" s="79"/>
      <c r="O724" s="56"/>
    </row>
    <row r="725" spans="1:15" ht="13" x14ac:dyDescent="0.15">
      <c r="A725" s="56"/>
      <c r="B725" s="56"/>
      <c r="K725" s="56"/>
      <c r="L725" s="79"/>
      <c r="O725" s="56"/>
    </row>
    <row r="726" spans="1:15" ht="13" x14ac:dyDescent="0.15">
      <c r="A726" s="56"/>
      <c r="B726" s="56"/>
      <c r="K726" s="56"/>
      <c r="L726" s="79"/>
      <c r="O726" s="56"/>
    </row>
    <row r="727" spans="1:15" ht="13" x14ac:dyDescent="0.15">
      <c r="A727" s="56"/>
      <c r="B727" s="56"/>
      <c r="K727" s="56"/>
      <c r="L727" s="79"/>
      <c r="O727" s="56"/>
    </row>
    <row r="728" spans="1:15" ht="13" x14ac:dyDescent="0.15">
      <c r="A728" s="56"/>
      <c r="B728" s="56"/>
      <c r="K728" s="56"/>
      <c r="L728" s="79"/>
      <c r="O728" s="56"/>
    </row>
    <row r="729" spans="1:15" ht="13" x14ac:dyDescent="0.15">
      <c r="A729" s="56"/>
      <c r="B729" s="56"/>
      <c r="K729" s="56"/>
      <c r="L729" s="79"/>
      <c r="O729" s="56"/>
    </row>
    <row r="730" spans="1:15" ht="13" x14ac:dyDescent="0.15">
      <c r="A730" s="56"/>
      <c r="B730" s="56"/>
      <c r="K730" s="56"/>
      <c r="L730" s="79"/>
      <c r="O730" s="56"/>
    </row>
    <row r="731" spans="1:15" ht="13" x14ac:dyDescent="0.15">
      <c r="A731" s="56"/>
      <c r="B731" s="56"/>
      <c r="K731" s="56"/>
      <c r="L731" s="79"/>
      <c r="O731" s="56"/>
    </row>
    <row r="732" spans="1:15" ht="13" x14ac:dyDescent="0.15">
      <c r="A732" s="56"/>
      <c r="B732" s="56"/>
      <c r="K732" s="56"/>
      <c r="L732" s="79"/>
      <c r="O732" s="56"/>
    </row>
    <row r="733" spans="1:15" ht="13" x14ac:dyDescent="0.15">
      <c r="A733" s="56"/>
      <c r="B733" s="56"/>
      <c r="K733" s="56"/>
      <c r="L733" s="79"/>
      <c r="O733" s="56"/>
    </row>
    <row r="734" spans="1:15" ht="13" x14ac:dyDescent="0.15">
      <c r="A734" s="56"/>
      <c r="B734" s="56"/>
      <c r="K734" s="56"/>
      <c r="L734" s="79"/>
      <c r="O734" s="56"/>
    </row>
    <row r="735" spans="1:15" ht="13" x14ac:dyDescent="0.15">
      <c r="A735" s="56"/>
      <c r="B735" s="56"/>
      <c r="K735" s="56"/>
      <c r="L735" s="79"/>
      <c r="O735" s="56"/>
    </row>
    <row r="736" spans="1:15" ht="13" x14ac:dyDescent="0.15">
      <c r="A736" s="56"/>
      <c r="B736" s="56"/>
      <c r="K736" s="56"/>
      <c r="L736" s="79"/>
      <c r="O736" s="56"/>
    </row>
    <row r="737" spans="1:15" ht="13" x14ac:dyDescent="0.15">
      <c r="A737" s="56"/>
      <c r="B737" s="56"/>
      <c r="K737" s="56"/>
      <c r="L737" s="79"/>
      <c r="O737" s="56"/>
    </row>
    <row r="738" spans="1:15" ht="13" x14ac:dyDescent="0.15">
      <c r="A738" s="56"/>
      <c r="B738" s="56"/>
      <c r="K738" s="56"/>
      <c r="L738" s="79"/>
      <c r="O738" s="56"/>
    </row>
    <row r="739" spans="1:15" ht="13" x14ac:dyDescent="0.15">
      <c r="A739" s="56"/>
      <c r="B739" s="56"/>
      <c r="K739" s="56"/>
      <c r="L739" s="79"/>
      <c r="O739" s="56"/>
    </row>
    <row r="740" spans="1:15" ht="13" x14ac:dyDescent="0.15">
      <c r="A740" s="56"/>
      <c r="B740" s="56"/>
      <c r="K740" s="56"/>
      <c r="L740" s="79"/>
      <c r="O740" s="56"/>
    </row>
    <row r="741" spans="1:15" ht="13" x14ac:dyDescent="0.15">
      <c r="A741" s="56"/>
      <c r="B741" s="56"/>
      <c r="K741" s="56"/>
      <c r="L741" s="79"/>
      <c r="O741" s="56"/>
    </row>
    <row r="742" spans="1:15" ht="13" x14ac:dyDescent="0.15">
      <c r="A742" s="56"/>
      <c r="B742" s="56"/>
      <c r="K742" s="56"/>
      <c r="L742" s="79"/>
      <c r="O742" s="56"/>
    </row>
    <row r="743" spans="1:15" ht="13" x14ac:dyDescent="0.15">
      <c r="A743" s="56"/>
      <c r="B743" s="56"/>
      <c r="K743" s="56"/>
      <c r="L743" s="79"/>
      <c r="O743" s="56"/>
    </row>
    <row r="744" spans="1:15" ht="13" x14ac:dyDescent="0.15">
      <c r="A744" s="56"/>
      <c r="B744" s="56"/>
      <c r="K744" s="56"/>
      <c r="L744" s="79"/>
      <c r="O744" s="56"/>
    </row>
    <row r="745" spans="1:15" ht="13" x14ac:dyDescent="0.15">
      <c r="A745" s="56"/>
      <c r="B745" s="56"/>
      <c r="K745" s="56"/>
      <c r="L745" s="79"/>
      <c r="O745" s="56"/>
    </row>
    <row r="746" spans="1:15" ht="13" x14ac:dyDescent="0.15">
      <c r="A746" s="56"/>
      <c r="B746" s="56"/>
      <c r="K746" s="56"/>
      <c r="L746" s="79"/>
      <c r="O746" s="56"/>
    </row>
    <row r="747" spans="1:15" ht="13" x14ac:dyDescent="0.15">
      <c r="A747" s="56"/>
      <c r="B747" s="56"/>
      <c r="K747" s="56"/>
      <c r="L747" s="79"/>
      <c r="O747" s="56"/>
    </row>
    <row r="748" spans="1:15" ht="13" x14ac:dyDescent="0.15">
      <c r="A748" s="56"/>
      <c r="B748" s="56"/>
      <c r="K748" s="56"/>
      <c r="L748" s="79"/>
      <c r="O748" s="56"/>
    </row>
    <row r="749" spans="1:15" ht="13" x14ac:dyDescent="0.15">
      <c r="A749" s="56"/>
      <c r="B749" s="56"/>
      <c r="K749" s="56"/>
      <c r="L749" s="79"/>
      <c r="O749" s="56"/>
    </row>
    <row r="750" spans="1:15" ht="13" x14ac:dyDescent="0.15">
      <c r="A750" s="56"/>
      <c r="B750" s="56"/>
      <c r="K750" s="56"/>
      <c r="L750" s="79"/>
      <c r="O750" s="56"/>
    </row>
    <row r="751" spans="1:15" ht="13" x14ac:dyDescent="0.15">
      <c r="A751" s="56"/>
      <c r="B751" s="56"/>
      <c r="K751" s="56"/>
      <c r="L751" s="79"/>
      <c r="O751" s="56"/>
    </row>
    <row r="752" spans="1:15" ht="13" x14ac:dyDescent="0.15">
      <c r="A752" s="56"/>
      <c r="B752" s="56"/>
      <c r="K752" s="56"/>
      <c r="L752" s="79"/>
      <c r="O752" s="56"/>
    </row>
    <row r="753" spans="1:15" ht="13" x14ac:dyDescent="0.15">
      <c r="A753" s="56"/>
      <c r="B753" s="56"/>
      <c r="K753" s="56"/>
      <c r="L753" s="79"/>
      <c r="O753" s="56"/>
    </row>
    <row r="754" spans="1:15" ht="13" x14ac:dyDescent="0.15">
      <c r="A754" s="56"/>
      <c r="B754" s="56"/>
      <c r="K754" s="56"/>
      <c r="L754" s="79"/>
      <c r="O754" s="56"/>
    </row>
    <row r="755" spans="1:15" ht="13" x14ac:dyDescent="0.15">
      <c r="A755" s="56"/>
      <c r="B755" s="56"/>
      <c r="K755" s="56"/>
      <c r="L755" s="79"/>
      <c r="O755" s="56"/>
    </row>
    <row r="756" spans="1:15" ht="13" x14ac:dyDescent="0.15">
      <c r="A756" s="56"/>
      <c r="B756" s="56"/>
      <c r="K756" s="56"/>
      <c r="L756" s="79"/>
      <c r="O756" s="56"/>
    </row>
    <row r="757" spans="1:15" ht="13" x14ac:dyDescent="0.15">
      <c r="A757" s="56"/>
      <c r="B757" s="56"/>
      <c r="K757" s="56"/>
      <c r="L757" s="79"/>
      <c r="O757" s="56"/>
    </row>
    <row r="758" spans="1:15" ht="13" x14ac:dyDescent="0.15">
      <c r="A758" s="56"/>
      <c r="B758" s="56"/>
      <c r="K758" s="56"/>
      <c r="L758" s="79"/>
      <c r="O758" s="56"/>
    </row>
    <row r="759" spans="1:15" ht="13" x14ac:dyDescent="0.15">
      <c r="A759" s="56"/>
      <c r="B759" s="56"/>
      <c r="K759" s="56"/>
      <c r="L759" s="79"/>
      <c r="O759" s="56"/>
    </row>
    <row r="760" spans="1:15" ht="13" x14ac:dyDescent="0.15">
      <c r="A760" s="56"/>
      <c r="B760" s="56"/>
      <c r="K760" s="56"/>
      <c r="L760" s="79"/>
      <c r="O760" s="56"/>
    </row>
    <row r="761" spans="1:15" ht="13" x14ac:dyDescent="0.15">
      <c r="A761" s="56"/>
      <c r="B761" s="56"/>
      <c r="K761" s="56"/>
      <c r="L761" s="79"/>
      <c r="O761" s="56"/>
    </row>
    <row r="762" spans="1:15" ht="13" x14ac:dyDescent="0.15">
      <c r="A762" s="56"/>
      <c r="B762" s="56"/>
      <c r="K762" s="56"/>
      <c r="L762" s="79"/>
      <c r="O762" s="56"/>
    </row>
    <row r="763" spans="1:15" ht="13" x14ac:dyDescent="0.15">
      <c r="A763" s="56"/>
      <c r="B763" s="56"/>
      <c r="K763" s="56"/>
      <c r="L763" s="79"/>
      <c r="O763" s="56"/>
    </row>
    <row r="764" spans="1:15" ht="13" x14ac:dyDescent="0.15">
      <c r="A764" s="56"/>
      <c r="B764" s="56"/>
      <c r="K764" s="56"/>
      <c r="L764" s="79"/>
      <c r="O764" s="56"/>
    </row>
    <row r="765" spans="1:15" ht="13" x14ac:dyDescent="0.15">
      <c r="A765" s="56"/>
      <c r="B765" s="56"/>
      <c r="K765" s="56"/>
      <c r="L765" s="79"/>
      <c r="O765" s="56"/>
    </row>
    <row r="766" spans="1:15" ht="13" x14ac:dyDescent="0.15">
      <c r="A766" s="56"/>
      <c r="B766" s="56"/>
      <c r="K766" s="56"/>
      <c r="L766" s="79"/>
      <c r="O766" s="56"/>
    </row>
    <row r="767" spans="1:15" ht="13" x14ac:dyDescent="0.15">
      <c r="A767" s="56"/>
      <c r="B767" s="56"/>
      <c r="K767" s="56"/>
      <c r="L767" s="79"/>
      <c r="O767" s="56"/>
    </row>
    <row r="768" spans="1:15" ht="13" x14ac:dyDescent="0.15">
      <c r="A768" s="56"/>
      <c r="B768" s="56"/>
      <c r="K768" s="56"/>
      <c r="L768" s="79"/>
      <c r="O768" s="56"/>
    </row>
    <row r="769" spans="1:15" ht="13" x14ac:dyDescent="0.15">
      <c r="A769" s="56"/>
      <c r="B769" s="56"/>
      <c r="K769" s="56"/>
      <c r="L769" s="79"/>
      <c r="O769" s="56"/>
    </row>
    <row r="770" spans="1:15" ht="13" x14ac:dyDescent="0.15">
      <c r="A770" s="56"/>
      <c r="B770" s="56"/>
      <c r="K770" s="56"/>
      <c r="L770" s="79"/>
      <c r="O770" s="56"/>
    </row>
    <row r="771" spans="1:15" ht="13" x14ac:dyDescent="0.15">
      <c r="A771" s="56"/>
      <c r="B771" s="56"/>
      <c r="K771" s="56"/>
      <c r="L771" s="79"/>
      <c r="O771" s="56"/>
    </row>
    <row r="772" spans="1:15" ht="13" x14ac:dyDescent="0.15">
      <c r="A772" s="56"/>
      <c r="B772" s="56"/>
      <c r="K772" s="56"/>
      <c r="L772" s="79"/>
      <c r="O772" s="56"/>
    </row>
    <row r="773" spans="1:15" ht="13" x14ac:dyDescent="0.15">
      <c r="A773" s="56"/>
      <c r="B773" s="56"/>
      <c r="K773" s="56"/>
      <c r="L773" s="79"/>
      <c r="O773" s="56"/>
    </row>
    <row r="774" spans="1:15" ht="13" x14ac:dyDescent="0.15">
      <c r="A774" s="56"/>
      <c r="B774" s="56"/>
      <c r="K774" s="56"/>
      <c r="L774" s="79"/>
      <c r="O774" s="56"/>
    </row>
    <row r="775" spans="1:15" ht="13" x14ac:dyDescent="0.15">
      <c r="A775" s="56"/>
      <c r="B775" s="56"/>
      <c r="K775" s="56"/>
      <c r="L775" s="79"/>
      <c r="O775" s="56"/>
    </row>
    <row r="776" spans="1:15" ht="13" x14ac:dyDescent="0.15">
      <c r="A776" s="56"/>
      <c r="B776" s="56"/>
      <c r="K776" s="56"/>
      <c r="L776" s="79"/>
      <c r="O776" s="56"/>
    </row>
    <row r="777" spans="1:15" ht="13" x14ac:dyDescent="0.15">
      <c r="A777" s="56"/>
      <c r="B777" s="56"/>
      <c r="K777" s="56"/>
      <c r="L777" s="79"/>
      <c r="O777" s="56"/>
    </row>
    <row r="778" spans="1:15" ht="13" x14ac:dyDescent="0.15">
      <c r="A778" s="56"/>
      <c r="B778" s="56"/>
      <c r="K778" s="56"/>
      <c r="L778" s="79"/>
      <c r="O778" s="56"/>
    </row>
    <row r="779" spans="1:15" ht="13" x14ac:dyDescent="0.15">
      <c r="A779" s="56"/>
      <c r="B779" s="56"/>
      <c r="K779" s="56"/>
      <c r="L779" s="79"/>
      <c r="O779" s="56"/>
    </row>
    <row r="780" spans="1:15" ht="13" x14ac:dyDescent="0.15">
      <c r="A780" s="56"/>
      <c r="B780" s="56"/>
      <c r="K780" s="56"/>
      <c r="L780" s="79"/>
      <c r="O780" s="56"/>
    </row>
    <row r="781" spans="1:15" ht="13" x14ac:dyDescent="0.15">
      <c r="A781" s="56"/>
      <c r="B781" s="56"/>
      <c r="K781" s="56"/>
      <c r="L781" s="79"/>
      <c r="O781" s="56"/>
    </row>
    <row r="782" spans="1:15" ht="13" x14ac:dyDescent="0.15">
      <c r="A782" s="56"/>
      <c r="B782" s="56"/>
      <c r="K782" s="56"/>
      <c r="L782" s="79"/>
      <c r="O782" s="56"/>
    </row>
    <row r="783" spans="1:15" ht="13" x14ac:dyDescent="0.15">
      <c r="A783" s="56"/>
      <c r="B783" s="56"/>
      <c r="K783" s="56"/>
      <c r="L783" s="79"/>
      <c r="O783" s="56"/>
    </row>
    <row r="784" spans="1:15" ht="13" x14ac:dyDescent="0.15">
      <c r="A784" s="56"/>
      <c r="B784" s="56"/>
      <c r="K784" s="56"/>
      <c r="L784" s="79"/>
      <c r="O784" s="56"/>
    </row>
    <row r="785" spans="1:15" ht="13" x14ac:dyDescent="0.15">
      <c r="A785" s="56"/>
      <c r="B785" s="56"/>
      <c r="K785" s="56"/>
      <c r="L785" s="79"/>
      <c r="O785" s="56"/>
    </row>
    <row r="786" spans="1:15" ht="13" x14ac:dyDescent="0.15">
      <c r="A786" s="56"/>
      <c r="B786" s="56"/>
      <c r="K786" s="56"/>
      <c r="L786" s="79"/>
      <c r="O786" s="56"/>
    </row>
    <row r="787" spans="1:15" ht="13" x14ac:dyDescent="0.15">
      <c r="A787" s="56"/>
      <c r="B787" s="56"/>
      <c r="K787" s="56"/>
      <c r="L787" s="79"/>
      <c r="O787" s="56"/>
    </row>
    <row r="788" spans="1:15" ht="13" x14ac:dyDescent="0.15">
      <c r="A788" s="56"/>
      <c r="B788" s="56"/>
      <c r="K788" s="56"/>
      <c r="L788" s="79"/>
      <c r="O788" s="56"/>
    </row>
    <row r="789" spans="1:15" ht="13" x14ac:dyDescent="0.15">
      <c r="A789" s="56"/>
      <c r="B789" s="56"/>
      <c r="K789" s="56"/>
      <c r="L789" s="79"/>
      <c r="O789" s="56"/>
    </row>
    <row r="790" spans="1:15" ht="13" x14ac:dyDescent="0.15">
      <c r="A790" s="56"/>
      <c r="B790" s="56"/>
      <c r="K790" s="56"/>
      <c r="L790" s="79"/>
      <c r="O790" s="56"/>
    </row>
    <row r="791" spans="1:15" ht="13" x14ac:dyDescent="0.15">
      <c r="A791" s="56"/>
      <c r="B791" s="56"/>
      <c r="K791" s="56"/>
      <c r="L791" s="79"/>
      <c r="O791" s="56"/>
    </row>
    <row r="792" spans="1:15" ht="13" x14ac:dyDescent="0.15">
      <c r="A792" s="56"/>
      <c r="B792" s="56"/>
      <c r="K792" s="56"/>
      <c r="L792" s="79"/>
      <c r="O792" s="56"/>
    </row>
    <row r="793" spans="1:15" ht="13" x14ac:dyDescent="0.15">
      <c r="A793" s="56"/>
      <c r="B793" s="56"/>
      <c r="K793" s="56"/>
      <c r="L793" s="79"/>
      <c r="O793" s="56"/>
    </row>
    <row r="794" spans="1:15" ht="13" x14ac:dyDescent="0.15">
      <c r="A794" s="56"/>
      <c r="B794" s="56"/>
      <c r="K794" s="56"/>
      <c r="L794" s="79"/>
      <c r="O794" s="56"/>
    </row>
    <row r="795" spans="1:15" ht="13" x14ac:dyDescent="0.15">
      <c r="A795" s="56"/>
      <c r="B795" s="56"/>
      <c r="K795" s="56"/>
      <c r="L795" s="79"/>
      <c r="O795" s="56"/>
    </row>
    <row r="796" spans="1:15" ht="13" x14ac:dyDescent="0.15">
      <c r="A796" s="56"/>
      <c r="B796" s="56"/>
      <c r="K796" s="56"/>
      <c r="L796" s="79"/>
      <c r="O796" s="56"/>
    </row>
    <row r="797" spans="1:15" ht="13" x14ac:dyDescent="0.15">
      <c r="A797" s="56"/>
      <c r="B797" s="56"/>
      <c r="K797" s="56"/>
      <c r="L797" s="79"/>
      <c r="O797" s="56"/>
    </row>
    <row r="798" spans="1:15" ht="13" x14ac:dyDescent="0.15">
      <c r="A798" s="56"/>
      <c r="B798" s="56"/>
      <c r="K798" s="56"/>
      <c r="L798" s="79"/>
      <c r="O798" s="56"/>
    </row>
    <row r="799" spans="1:15" ht="13" x14ac:dyDescent="0.15">
      <c r="A799" s="56"/>
      <c r="B799" s="56"/>
      <c r="K799" s="56"/>
      <c r="L799" s="79"/>
      <c r="O799" s="56"/>
    </row>
    <row r="800" spans="1:15" ht="13" x14ac:dyDescent="0.15">
      <c r="A800" s="56"/>
      <c r="B800" s="56"/>
      <c r="K800" s="56"/>
      <c r="L800" s="79"/>
      <c r="O800" s="56"/>
    </row>
    <row r="801" spans="1:15" ht="13" x14ac:dyDescent="0.15">
      <c r="A801" s="56"/>
      <c r="B801" s="56"/>
      <c r="K801" s="56"/>
      <c r="L801" s="79"/>
      <c r="O801" s="56"/>
    </row>
    <row r="802" spans="1:15" ht="13" x14ac:dyDescent="0.15">
      <c r="A802" s="56"/>
      <c r="B802" s="56"/>
      <c r="K802" s="56"/>
      <c r="L802" s="79"/>
      <c r="O802" s="56"/>
    </row>
    <row r="803" spans="1:15" ht="13" x14ac:dyDescent="0.15">
      <c r="A803" s="56"/>
      <c r="B803" s="56"/>
      <c r="K803" s="56"/>
      <c r="L803" s="79"/>
      <c r="O803" s="56"/>
    </row>
    <row r="804" spans="1:15" ht="13" x14ac:dyDescent="0.15">
      <c r="A804" s="56"/>
      <c r="B804" s="56"/>
      <c r="K804" s="56"/>
      <c r="L804" s="79"/>
      <c r="O804" s="56"/>
    </row>
    <row r="805" spans="1:15" ht="13" x14ac:dyDescent="0.15">
      <c r="A805" s="56"/>
      <c r="B805" s="56"/>
      <c r="K805" s="56"/>
      <c r="L805" s="79"/>
      <c r="O805" s="56"/>
    </row>
    <row r="806" spans="1:15" ht="13" x14ac:dyDescent="0.15">
      <c r="A806" s="56"/>
      <c r="B806" s="56"/>
      <c r="K806" s="56"/>
      <c r="L806" s="79"/>
      <c r="O806" s="56"/>
    </row>
    <row r="807" spans="1:15" ht="13" x14ac:dyDescent="0.15">
      <c r="A807" s="56"/>
      <c r="B807" s="56"/>
      <c r="K807" s="56"/>
      <c r="L807" s="79"/>
      <c r="O807" s="56"/>
    </row>
    <row r="808" spans="1:15" ht="13" x14ac:dyDescent="0.15">
      <c r="A808" s="56"/>
      <c r="B808" s="56"/>
      <c r="K808" s="56"/>
      <c r="L808" s="79"/>
      <c r="O808" s="56"/>
    </row>
    <row r="809" spans="1:15" ht="13" x14ac:dyDescent="0.15">
      <c r="A809" s="56"/>
      <c r="B809" s="56"/>
      <c r="K809" s="56"/>
      <c r="L809" s="79"/>
      <c r="O809" s="56"/>
    </row>
    <row r="810" spans="1:15" ht="13" x14ac:dyDescent="0.15">
      <c r="A810" s="56"/>
      <c r="B810" s="56"/>
      <c r="K810" s="56"/>
      <c r="L810" s="79"/>
      <c r="O810" s="56"/>
    </row>
    <row r="811" spans="1:15" ht="13" x14ac:dyDescent="0.15">
      <c r="A811" s="56"/>
      <c r="B811" s="56"/>
      <c r="K811" s="56"/>
      <c r="L811" s="79"/>
      <c r="O811" s="56"/>
    </row>
    <row r="812" spans="1:15" ht="13" x14ac:dyDescent="0.15">
      <c r="A812" s="56"/>
      <c r="B812" s="56"/>
      <c r="K812" s="56"/>
      <c r="L812" s="79"/>
      <c r="O812" s="56"/>
    </row>
    <row r="813" spans="1:15" ht="13" x14ac:dyDescent="0.15">
      <c r="A813" s="56"/>
      <c r="B813" s="56"/>
      <c r="K813" s="56"/>
      <c r="L813" s="79"/>
      <c r="O813" s="56"/>
    </row>
    <row r="814" spans="1:15" ht="13" x14ac:dyDescent="0.15">
      <c r="A814" s="56"/>
      <c r="B814" s="56"/>
      <c r="K814" s="56"/>
      <c r="L814" s="79"/>
      <c r="O814" s="56"/>
    </row>
    <row r="815" spans="1:15" ht="13" x14ac:dyDescent="0.15">
      <c r="A815" s="56"/>
      <c r="B815" s="56"/>
      <c r="K815" s="56"/>
      <c r="L815" s="79"/>
      <c r="O815" s="56"/>
    </row>
    <row r="816" spans="1:15" ht="13" x14ac:dyDescent="0.15">
      <c r="A816" s="56"/>
      <c r="B816" s="56"/>
      <c r="K816" s="56"/>
      <c r="L816" s="79"/>
      <c r="O816" s="56"/>
    </row>
    <row r="817" spans="1:15" ht="13" x14ac:dyDescent="0.15">
      <c r="A817" s="56"/>
      <c r="B817" s="56"/>
      <c r="K817" s="56"/>
      <c r="L817" s="79"/>
      <c r="O817" s="56"/>
    </row>
    <row r="818" spans="1:15" ht="13" x14ac:dyDescent="0.15">
      <c r="A818" s="56"/>
      <c r="B818" s="56"/>
      <c r="K818" s="56"/>
      <c r="L818" s="79"/>
      <c r="O818" s="56"/>
    </row>
    <row r="819" spans="1:15" ht="13" x14ac:dyDescent="0.15">
      <c r="A819" s="56"/>
      <c r="B819" s="56"/>
      <c r="K819" s="56"/>
      <c r="L819" s="79"/>
      <c r="O819" s="56"/>
    </row>
    <row r="820" spans="1:15" ht="13" x14ac:dyDescent="0.15">
      <c r="A820" s="56"/>
      <c r="B820" s="56"/>
      <c r="K820" s="56"/>
      <c r="L820" s="79"/>
      <c r="O820" s="56"/>
    </row>
    <row r="821" spans="1:15" ht="13" x14ac:dyDescent="0.15">
      <c r="A821" s="56"/>
      <c r="B821" s="56"/>
      <c r="K821" s="56"/>
      <c r="L821" s="79"/>
      <c r="O821" s="56"/>
    </row>
    <row r="822" spans="1:15" ht="13" x14ac:dyDescent="0.15">
      <c r="A822" s="56"/>
      <c r="B822" s="56"/>
      <c r="K822" s="56"/>
      <c r="L822" s="79"/>
      <c r="O822" s="56"/>
    </row>
    <row r="823" spans="1:15" ht="13" x14ac:dyDescent="0.15">
      <c r="A823" s="56"/>
      <c r="B823" s="56"/>
      <c r="K823" s="56"/>
      <c r="L823" s="79"/>
      <c r="O823" s="56"/>
    </row>
    <row r="824" spans="1:15" ht="13" x14ac:dyDescent="0.15">
      <c r="A824" s="56"/>
      <c r="B824" s="56"/>
      <c r="K824" s="56"/>
      <c r="L824" s="79"/>
      <c r="O824" s="56"/>
    </row>
    <row r="825" spans="1:15" ht="13" x14ac:dyDescent="0.15">
      <c r="A825" s="56"/>
      <c r="B825" s="56"/>
      <c r="K825" s="56"/>
      <c r="L825" s="79"/>
      <c r="O825" s="56"/>
    </row>
    <row r="826" spans="1:15" ht="13" x14ac:dyDescent="0.15">
      <c r="A826" s="56"/>
      <c r="B826" s="56"/>
      <c r="K826" s="56"/>
      <c r="L826" s="79"/>
      <c r="O826" s="56"/>
    </row>
    <row r="827" spans="1:15" ht="13" x14ac:dyDescent="0.15">
      <c r="A827" s="56"/>
      <c r="B827" s="56"/>
      <c r="K827" s="56"/>
      <c r="L827" s="79"/>
      <c r="O827" s="56"/>
    </row>
    <row r="828" spans="1:15" ht="13" x14ac:dyDescent="0.15">
      <c r="A828" s="56"/>
      <c r="B828" s="56"/>
      <c r="K828" s="56"/>
      <c r="L828" s="79"/>
      <c r="O828" s="56"/>
    </row>
    <row r="829" spans="1:15" ht="13" x14ac:dyDescent="0.15">
      <c r="A829" s="56"/>
      <c r="B829" s="56"/>
      <c r="K829" s="56"/>
      <c r="L829" s="79"/>
      <c r="O829" s="56"/>
    </row>
    <row r="830" spans="1:15" ht="13" x14ac:dyDescent="0.15">
      <c r="A830" s="56"/>
      <c r="B830" s="56"/>
      <c r="K830" s="56"/>
      <c r="L830" s="79"/>
      <c r="O830" s="56"/>
    </row>
    <row r="831" spans="1:15" ht="13" x14ac:dyDescent="0.15">
      <c r="A831" s="56"/>
      <c r="B831" s="56"/>
      <c r="K831" s="56"/>
      <c r="L831" s="79"/>
      <c r="O831" s="56"/>
    </row>
    <row r="832" spans="1:15" ht="13" x14ac:dyDescent="0.15">
      <c r="A832" s="56"/>
      <c r="B832" s="56"/>
      <c r="K832" s="56"/>
      <c r="L832" s="79"/>
      <c r="O832" s="56"/>
    </row>
    <row r="833" spans="1:15" ht="13" x14ac:dyDescent="0.15">
      <c r="A833" s="56"/>
      <c r="B833" s="56"/>
      <c r="K833" s="56"/>
      <c r="L833" s="79"/>
      <c r="O833" s="56"/>
    </row>
    <row r="834" spans="1:15" ht="13" x14ac:dyDescent="0.15">
      <c r="A834" s="56"/>
      <c r="B834" s="56"/>
      <c r="K834" s="56"/>
      <c r="L834" s="79"/>
      <c r="O834" s="56"/>
    </row>
    <row r="835" spans="1:15" ht="13" x14ac:dyDescent="0.15">
      <c r="A835" s="56"/>
      <c r="B835" s="56"/>
      <c r="K835" s="56"/>
      <c r="L835" s="79"/>
      <c r="O835" s="56"/>
    </row>
    <row r="836" spans="1:15" ht="13" x14ac:dyDescent="0.15">
      <c r="A836" s="56"/>
      <c r="B836" s="56"/>
      <c r="K836" s="56"/>
      <c r="L836" s="79"/>
      <c r="O836" s="56"/>
    </row>
    <row r="837" spans="1:15" ht="13" x14ac:dyDescent="0.15">
      <c r="A837" s="56"/>
      <c r="B837" s="56"/>
      <c r="K837" s="56"/>
      <c r="L837" s="79"/>
      <c r="O837" s="56"/>
    </row>
    <row r="838" spans="1:15" ht="13" x14ac:dyDescent="0.15">
      <c r="A838" s="56"/>
      <c r="B838" s="56"/>
      <c r="K838" s="56"/>
      <c r="L838" s="79"/>
      <c r="O838" s="56"/>
    </row>
    <row r="839" spans="1:15" ht="13" x14ac:dyDescent="0.15">
      <c r="A839" s="56"/>
      <c r="B839" s="56"/>
      <c r="K839" s="56"/>
      <c r="L839" s="79"/>
      <c r="O839" s="56"/>
    </row>
    <row r="840" spans="1:15" ht="13" x14ac:dyDescent="0.15">
      <c r="A840" s="56"/>
      <c r="B840" s="56"/>
      <c r="K840" s="56"/>
      <c r="L840" s="79"/>
      <c r="O840" s="56"/>
    </row>
    <row r="841" spans="1:15" ht="13" x14ac:dyDescent="0.15">
      <c r="A841" s="56"/>
      <c r="B841" s="56"/>
      <c r="K841" s="56"/>
      <c r="L841" s="79"/>
      <c r="O841" s="56"/>
    </row>
    <row r="842" spans="1:15" ht="13" x14ac:dyDescent="0.15">
      <c r="A842" s="56"/>
      <c r="B842" s="56"/>
      <c r="K842" s="56"/>
      <c r="L842" s="79"/>
      <c r="O842" s="56"/>
    </row>
    <row r="843" spans="1:15" ht="13" x14ac:dyDescent="0.15">
      <c r="A843" s="56"/>
      <c r="B843" s="56"/>
      <c r="K843" s="56"/>
      <c r="L843" s="79"/>
      <c r="O843" s="56"/>
    </row>
    <row r="844" spans="1:15" ht="13" x14ac:dyDescent="0.15">
      <c r="A844" s="56"/>
      <c r="B844" s="56"/>
      <c r="K844" s="56"/>
      <c r="L844" s="79"/>
      <c r="O844" s="56"/>
    </row>
    <row r="845" spans="1:15" ht="13" x14ac:dyDescent="0.15">
      <c r="A845" s="56"/>
      <c r="B845" s="56"/>
      <c r="K845" s="56"/>
      <c r="L845" s="79"/>
      <c r="O845" s="56"/>
    </row>
    <row r="846" spans="1:15" ht="13" x14ac:dyDescent="0.15">
      <c r="A846" s="56"/>
      <c r="B846" s="56"/>
      <c r="K846" s="56"/>
      <c r="L846" s="79"/>
      <c r="O846" s="56"/>
    </row>
    <row r="847" spans="1:15" ht="13" x14ac:dyDescent="0.15">
      <c r="A847" s="56"/>
      <c r="B847" s="56"/>
      <c r="K847" s="56"/>
      <c r="L847" s="79"/>
      <c r="O847" s="56"/>
    </row>
    <row r="848" spans="1:15" ht="13" x14ac:dyDescent="0.15">
      <c r="A848" s="56"/>
      <c r="B848" s="56"/>
      <c r="K848" s="56"/>
      <c r="L848" s="79"/>
      <c r="O848" s="56"/>
    </row>
    <row r="849" spans="1:15" ht="13" x14ac:dyDescent="0.15">
      <c r="A849" s="56"/>
      <c r="B849" s="56"/>
      <c r="K849" s="56"/>
      <c r="L849" s="79"/>
      <c r="O849" s="56"/>
    </row>
    <row r="850" spans="1:15" ht="13" x14ac:dyDescent="0.15">
      <c r="A850" s="56"/>
      <c r="B850" s="56"/>
      <c r="K850" s="56"/>
      <c r="L850" s="79"/>
      <c r="O850" s="56"/>
    </row>
    <row r="851" spans="1:15" ht="13" x14ac:dyDescent="0.15">
      <c r="A851" s="56"/>
      <c r="B851" s="56"/>
      <c r="K851" s="56"/>
      <c r="L851" s="79"/>
      <c r="O851" s="56"/>
    </row>
    <row r="852" spans="1:15" ht="13" x14ac:dyDescent="0.15">
      <c r="A852" s="56"/>
      <c r="B852" s="56"/>
      <c r="K852" s="56"/>
      <c r="L852" s="79"/>
      <c r="O852" s="56"/>
    </row>
    <row r="853" spans="1:15" ht="13" x14ac:dyDescent="0.15">
      <c r="A853" s="56"/>
      <c r="B853" s="56"/>
      <c r="K853" s="56"/>
      <c r="L853" s="79"/>
      <c r="O853" s="56"/>
    </row>
    <row r="854" spans="1:15" ht="13" x14ac:dyDescent="0.15">
      <c r="A854" s="56"/>
      <c r="B854" s="56"/>
      <c r="K854" s="56"/>
      <c r="L854" s="79"/>
      <c r="O854" s="56"/>
    </row>
    <row r="855" spans="1:15" ht="13" x14ac:dyDescent="0.15">
      <c r="A855" s="56"/>
      <c r="B855" s="56"/>
      <c r="K855" s="56"/>
      <c r="L855" s="79"/>
      <c r="O855" s="56"/>
    </row>
    <row r="856" spans="1:15" ht="13" x14ac:dyDescent="0.15">
      <c r="A856" s="56"/>
      <c r="B856" s="56"/>
      <c r="K856" s="56"/>
      <c r="L856" s="79"/>
      <c r="O856" s="56"/>
    </row>
    <row r="857" spans="1:15" ht="13" x14ac:dyDescent="0.15">
      <c r="A857" s="56"/>
      <c r="B857" s="56"/>
      <c r="K857" s="56"/>
      <c r="L857" s="79"/>
      <c r="O857" s="56"/>
    </row>
    <row r="858" spans="1:15" ht="13" x14ac:dyDescent="0.15">
      <c r="A858" s="56"/>
      <c r="B858" s="56"/>
      <c r="K858" s="56"/>
      <c r="L858" s="79"/>
      <c r="O858" s="56"/>
    </row>
    <row r="859" spans="1:15" ht="13" x14ac:dyDescent="0.15">
      <c r="A859" s="56"/>
      <c r="B859" s="56"/>
      <c r="K859" s="56"/>
      <c r="L859" s="79"/>
      <c r="O859" s="56"/>
    </row>
    <row r="860" spans="1:15" ht="13" x14ac:dyDescent="0.15">
      <c r="A860" s="56"/>
      <c r="B860" s="56"/>
      <c r="K860" s="56"/>
      <c r="L860" s="79"/>
      <c r="O860" s="56"/>
    </row>
    <row r="861" spans="1:15" ht="13" x14ac:dyDescent="0.15">
      <c r="A861" s="56"/>
      <c r="B861" s="56"/>
      <c r="K861" s="56"/>
      <c r="L861" s="79"/>
      <c r="O861" s="56"/>
    </row>
    <row r="862" spans="1:15" ht="13" x14ac:dyDescent="0.15">
      <c r="A862" s="56"/>
      <c r="B862" s="56"/>
      <c r="K862" s="56"/>
      <c r="L862" s="79"/>
      <c r="O862" s="56"/>
    </row>
    <row r="863" spans="1:15" ht="13" x14ac:dyDescent="0.15">
      <c r="A863" s="56"/>
      <c r="B863" s="56"/>
      <c r="K863" s="56"/>
      <c r="L863" s="79"/>
      <c r="O863" s="56"/>
    </row>
    <row r="864" spans="1:15" ht="13" x14ac:dyDescent="0.15">
      <c r="A864" s="56"/>
      <c r="B864" s="56"/>
      <c r="K864" s="56"/>
      <c r="L864" s="79"/>
      <c r="O864" s="56"/>
    </row>
    <row r="865" spans="1:15" ht="13" x14ac:dyDescent="0.15">
      <c r="A865" s="56"/>
      <c r="B865" s="56"/>
      <c r="K865" s="56"/>
      <c r="L865" s="79"/>
      <c r="O865" s="56"/>
    </row>
    <row r="866" spans="1:15" ht="13" x14ac:dyDescent="0.15">
      <c r="A866" s="56"/>
      <c r="B866" s="56"/>
      <c r="K866" s="56"/>
      <c r="L866" s="79"/>
      <c r="O866" s="56"/>
    </row>
    <row r="867" spans="1:15" ht="13" x14ac:dyDescent="0.15">
      <c r="A867" s="56"/>
      <c r="B867" s="56"/>
      <c r="K867" s="56"/>
      <c r="L867" s="79"/>
      <c r="O867" s="56"/>
    </row>
    <row r="868" spans="1:15" ht="13" x14ac:dyDescent="0.15">
      <c r="A868" s="56"/>
      <c r="B868" s="56"/>
      <c r="K868" s="56"/>
      <c r="L868" s="79"/>
      <c r="O868" s="56"/>
    </row>
    <row r="869" spans="1:15" ht="13" x14ac:dyDescent="0.15">
      <c r="A869" s="56"/>
      <c r="B869" s="56"/>
      <c r="K869" s="56"/>
      <c r="L869" s="79"/>
      <c r="O869" s="56"/>
    </row>
    <row r="870" spans="1:15" ht="13" x14ac:dyDescent="0.15">
      <c r="A870" s="56"/>
      <c r="B870" s="56"/>
      <c r="K870" s="56"/>
      <c r="L870" s="79"/>
      <c r="O870" s="56"/>
    </row>
    <row r="871" spans="1:15" ht="13" x14ac:dyDescent="0.15">
      <c r="A871" s="56"/>
      <c r="B871" s="56"/>
      <c r="K871" s="56"/>
      <c r="L871" s="79"/>
      <c r="O871" s="56"/>
    </row>
    <row r="872" spans="1:15" ht="13" x14ac:dyDescent="0.15">
      <c r="A872" s="56"/>
      <c r="B872" s="56"/>
      <c r="K872" s="56"/>
      <c r="L872" s="79"/>
      <c r="O872" s="56"/>
    </row>
    <row r="873" spans="1:15" ht="13" x14ac:dyDescent="0.15">
      <c r="A873" s="56"/>
      <c r="B873" s="56"/>
      <c r="K873" s="56"/>
      <c r="L873" s="79"/>
      <c r="O873" s="56"/>
    </row>
    <row r="874" spans="1:15" ht="13" x14ac:dyDescent="0.15">
      <c r="A874" s="56"/>
      <c r="B874" s="56"/>
      <c r="K874" s="56"/>
      <c r="L874" s="79"/>
      <c r="O874" s="56"/>
    </row>
    <row r="875" spans="1:15" ht="13" x14ac:dyDescent="0.15">
      <c r="A875" s="56"/>
      <c r="B875" s="56"/>
      <c r="K875" s="56"/>
      <c r="L875" s="79"/>
      <c r="O875" s="56"/>
    </row>
    <row r="876" spans="1:15" ht="13" x14ac:dyDescent="0.15">
      <c r="A876" s="56"/>
      <c r="B876" s="56"/>
      <c r="K876" s="56"/>
      <c r="L876" s="79"/>
      <c r="O876" s="56"/>
    </row>
    <row r="877" spans="1:15" ht="13" x14ac:dyDescent="0.15">
      <c r="A877" s="56"/>
      <c r="B877" s="56"/>
      <c r="K877" s="56"/>
      <c r="L877" s="79"/>
      <c r="O877" s="56"/>
    </row>
    <row r="878" spans="1:15" ht="13" x14ac:dyDescent="0.15">
      <c r="A878" s="56"/>
      <c r="B878" s="56"/>
      <c r="K878" s="56"/>
      <c r="L878" s="79"/>
      <c r="O878" s="56"/>
    </row>
    <row r="879" spans="1:15" ht="13" x14ac:dyDescent="0.15">
      <c r="A879" s="56"/>
      <c r="B879" s="56"/>
      <c r="K879" s="56"/>
      <c r="L879" s="79"/>
      <c r="O879" s="56"/>
    </row>
    <row r="880" spans="1:15" ht="13" x14ac:dyDescent="0.15">
      <c r="A880" s="56"/>
      <c r="B880" s="56"/>
      <c r="K880" s="56"/>
      <c r="L880" s="79"/>
      <c r="O880" s="56"/>
    </row>
    <row r="881" spans="1:15" ht="13" x14ac:dyDescent="0.15">
      <c r="A881" s="56"/>
      <c r="B881" s="56"/>
      <c r="K881" s="56"/>
      <c r="L881" s="79"/>
      <c r="O881" s="56"/>
    </row>
    <row r="882" spans="1:15" ht="13" x14ac:dyDescent="0.15">
      <c r="A882" s="56"/>
      <c r="B882" s="56"/>
      <c r="K882" s="56"/>
      <c r="L882" s="79"/>
      <c r="O882" s="56"/>
    </row>
    <row r="883" spans="1:15" ht="13" x14ac:dyDescent="0.15">
      <c r="A883" s="56"/>
      <c r="B883" s="56"/>
      <c r="K883" s="56"/>
      <c r="L883" s="79"/>
      <c r="O883" s="56"/>
    </row>
    <row r="884" spans="1:15" ht="13" x14ac:dyDescent="0.15">
      <c r="A884" s="56"/>
      <c r="B884" s="56"/>
      <c r="K884" s="56"/>
      <c r="L884" s="79"/>
      <c r="O884" s="56"/>
    </row>
    <row r="885" spans="1:15" ht="13" x14ac:dyDescent="0.15">
      <c r="A885" s="56"/>
      <c r="B885" s="56"/>
      <c r="K885" s="56"/>
      <c r="L885" s="79"/>
      <c r="O885" s="56"/>
    </row>
    <row r="886" spans="1:15" ht="13" x14ac:dyDescent="0.15">
      <c r="A886" s="56"/>
      <c r="B886" s="56"/>
      <c r="K886" s="56"/>
      <c r="L886" s="79"/>
      <c r="O886" s="56"/>
    </row>
    <row r="887" spans="1:15" ht="13" x14ac:dyDescent="0.15">
      <c r="A887" s="56"/>
      <c r="B887" s="56"/>
      <c r="K887" s="56"/>
      <c r="L887" s="79"/>
      <c r="O887" s="56"/>
    </row>
    <row r="888" spans="1:15" ht="13" x14ac:dyDescent="0.15">
      <c r="A888" s="56"/>
      <c r="B888" s="56"/>
      <c r="K888" s="56"/>
      <c r="L888" s="79"/>
      <c r="O888" s="56"/>
    </row>
    <row r="889" spans="1:15" ht="13" x14ac:dyDescent="0.15">
      <c r="A889" s="56"/>
      <c r="B889" s="56"/>
      <c r="K889" s="56"/>
      <c r="L889" s="79"/>
      <c r="O889" s="56"/>
    </row>
    <row r="890" spans="1:15" ht="13" x14ac:dyDescent="0.15">
      <c r="A890" s="56"/>
      <c r="B890" s="56"/>
      <c r="K890" s="56"/>
      <c r="L890" s="79"/>
      <c r="O890" s="56"/>
    </row>
    <row r="891" spans="1:15" ht="13" x14ac:dyDescent="0.15">
      <c r="A891" s="56"/>
      <c r="B891" s="56"/>
      <c r="K891" s="56"/>
      <c r="L891" s="79"/>
      <c r="O891" s="56"/>
    </row>
    <row r="892" spans="1:15" ht="13" x14ac:dyDescent="0.15">
      <c r="A892" s="56"/>
      <c r="B892" s="56"/>
      <c r="K892" s="56"/>
      <c r="L892" s="79"/>
      <c r="O892" s="56"/>
    </row>
    <row r="893" spans="1:15" ht="13" x14ac:dyDescent="0.15">
      <c r="A893" s="56"/>
      <c r="B893" s="56"/>
      <c r="K893" s="56"/>
      <c r="L893" s="79"/>
      <c r="O893" s="56"/>
    </row>
    <row r="894" spans="1:15" ht="13" x14ac:dyDescent="0.15">
      <c r="A894" s="56"/>
      <c r="B894" s="56"/>
      <c r="K894" s="56"/>
      <c r="L894" s="79"/>
      <c r="O894" s="56"/>
    </row>
    <row r="895" spans="1:15" ht="13" x14ac:dyDescent="0.15">
      <c r="A895" s="56"/>
      <c r="B895" s="56"/>
      <c r="K895" s="56"/>
      <c r="L895" s="79"/>
      <c r="O895" s="56"/>
    </row>
    <row r="896" spans="1:15" ht="13" x14ac:dyDescent="0.15">
      <c r="A896" s="56"/>
      <c r="B896" s="56"/>
      <c r="K896" s="56"/>
      <c r="L896" s="79"/>
      <c r="O896" s="56"/>
    </row>
    <row r="897" spans="1:15" ht="13" x14ac:dyDescent="0.15">
      <c r="A897" s="56"/>
      <c r="B897" s="56"/>
      <c r="K897" s="56"/>
      <c r="L897" s="79"/>
      <c r="O897" s="56"/>
    </row>
    <row r="898" spans="1:15" ht="13" x14ac:dyDescent="0.15">
      <c r="A898" s="56"/>
      <c r="B898" s="56"/>
      <c r="K898" s="56"/>
      <c r="L898" s="79"/>
      <c r="O898" s="56"/>
    </row>
    <row r="899" spans="1:15" ht="13" x14ac:dyDescent="0.15">
      <c r="A899" s="56"/>
      <c r="B899" s="56"/>
      <c r="K899" s="56"/>
      <c r="L899" s="79"/>
      <c r="O899" s="56"/>
    </row>
    <row r="900" spans="1:15" ht="13" x14ac:dyDescent="0.15">
      <c r="A900" s="56"/>
      <c r="B900" s="56"/>
      <c r="K900" s="56"/>
      <c r="L900" s="79"/>
      <c r="O900" s="56"/>
    </row>
    <row r="901" spans="1:15" ht="13" x14ac:dyDescent="0.15">
      <c r="A901" s="56"/>
      <c r="B901" s="56"/>
      <c r="K901" s="56"/>
      <c r="L901" s="79"/>
      <c r="O901" s="56"/>
    </row>
    <row r="902" spans="1:15" ht="13" x14ac:dyDescent="0.15">
      <c r="A902" s="56"/>
      <c r="B902" s="56"/>
      <c r="K902" s="56"/>
      <c r="L902" s="79"/>
      <c r="O902" s="56"/>
    </row>
    <row r="903" spans="1:15" ht="13" x14ac:dyDescent="0.15">
      <c r="A903" s="56"/>
      <c r="B903" s="56"/>
      <c r="K903" s="56"/>
      <c r="L903" s="79"/>
      <c r="O903" s="56"/>
    </row>
    <row r="904" spans="1:15" ht="13" x14ac:dyDescent="0.15">
      <c r="A904" s="56"/>
      <c r="B904" s="56"/>
      <c r="K904" s="56"/>
      <c r="L904" s="79"/>
      <c r="O904" s="56"/>
    </row>
    <row r="905" spans="1:15" ht="13" x14ac:dyDescent="0.15">
      <c r="A905" s="56"/>
      <c r="B905" s="56"/>
      <c r="K905" s="56"/>
      <c r="L905" s="79"/>
      <c r="O905" s="56"/>
    </row>
    <row r="906" spans="1:15" ht="13" x14ac:dyDescent="0.15">
      <c r="A906" s="56"/>
      <c r="B906" s="56"/>
      <c r="K906" s="56"/>
      <c r="L906" s="79"/>
      <c r="O906" s="56"/>
    </row>
    <row r="907" spans="1:15" ht="13" x14ac:dyDescent="0.15">
      <c r="A907" s="56"/>
      <c r="B907" s="56"/>
      <c r="K907" s="56"/>
      <c r="L907" s="79"/>
      <c r="O907" s="56"/>
    </row>
    <row r="908" spans="1:15" ht="13" x14ac:dyDescent="0.15">
      <c r="A908" s="56"/>
      <c r="B908" s="56"/>
      <c r="K908" s="56"/>
      <c r="L908" s="79"/>
      <c r="O908" s="56"/>
    </row>
    <row r="909" spans="1:15" ht="13" x14ac:dyDescent="0.15">
      <c r="A909" s="56"/>
      <c r="B909" s="56"/>
      <c r="K909" s="56"/>
      <c r="L909" s="79"/>
      <c r="O909" s="56"/>
    </row>
    <row r="910" spans="1:15" ht="13" x14ac:dyDescent="0.15">
      <c r="A910" s="56"/>
      <c r="B910" s="56"/>
      <c r="K910" s="56"/>
      <c r="L910" s="79"/>
      <c r="O910" s="56"/>
    </row>
    <row r="911" spans="1:15" ht="13" x14ac:dyDescent="0.15">
      <c r="A911" s="56"/>
      <c r="B911" s="56"/>
      <c r="K911" s="56"/>
      <c r="L911" s="79"/>
      <c r="O911" s="56"/>
    </row>
    <row r="912" spans="1:15" ht="13" x14ac:dyDescent="0.15">
      <c r="A912" s="56"/>
      <c r="B912" s="56"/>
      <c r="K912" s="56"/>
      <c r="L912" s="79"/>
      <c r="O912" s="56"/>
    </row>
    <row r="913" spans="1:15" ht="13" x14ac:dyDescent="0.15">
      <c r="A913" s="56"/>
      <c r="B913" s="56"/>
      <c r="K913" s="56"/>
      <c r="L913" s="79"/>
      <c r="O913" s="56"/>
    </row>
    <row r="914" spans="1:15" ht="13" x14ac:dyDescent="0.15">
      <c r="A914" s="56"/>
      <c r="B914" s="56"/>
      <c r="K914" s="56"/>
      <c r="L914" s="79"/>
      <c r="O914" s="56"/>
    </row>
    <row r="915" spans="1:15" ht="13" x14ac:dyDescent="0.15">
      <c r="A915" s="56"/>
      <c r="B915" s="56"/>
      <c r="K915" s="56"/>
      <c r="L915" s="79"/>
      <c r="O915" s="56"/>
    </row>
    <row r="916" spans="1:15" ht="13" x14ac:dyDescent="0.15">
      <c r="A916" s="56"/>
      <c r="B916" s="56"/>
      <c r="K916" s="56"/>
      <c r="L916" s="79"/>
      <c r="O916" s="56"/>
    </row>
    <row r="917" spans="1:15" ht="13" x14ac:dyDescent="0.15">
      <c r="A917" s="56"/>
      <c r="B917" s="56"/>
      <c r="K917" s="56"/>
      <c r="L917" s="79"/>
      <c r="O917" s="56"/>
    </row>
    <row r="918" spans="1:15" ht="13" x14ac:dyDescent="0.15">
      <c r="A918" s="56"/>
      <c r="B918" s="56"/>
      <c r="K918" s="56"/>
      <c r="L918" s="79"/>
      <c r="O918" s="56"/>
    </row>
    <row r="919" spans="1:15" ht="13" x14ac:dyDescent="0.15">
      <c r="A919" s="56"/>
      <c r="B919" s="56"/>
      <c r="K919" s="56"/>
      <c r="L919" s="79"/>
      <c r="O919" s="56"/>
    </row>
    <row r="920" spans="1:15" ht="13" x14ac:dyDescent="0.15">
      <c r="A920" s="56"/>
      <c r="B920" s="56"/>
      <c r="K920" s="56"/>
      <c r="L920" s="79"/>
      <c r="O920" s="56"/>
    </row>
    <row r="921" spans="1:15" ht="13" x14ac:dyDescent="0.15">
      <c r="A921" s="56"/>
      <c r="B921" s="56"/>
      <c r="K921" s="56"/>
      <c r="L921" s="79"/>
      <c r="O921" s="56"/>
    </row>
    <row r="922" spans="1:15" ht="13" x14ac:dyDescent="0.15">
      <c r="A922" s="56"/>
      <c r="B922" s="56"/>
      <c r="K922" s="56"/>
      <c r="L922" s="79"/>
      <c r="O922" s="56"/>
    </row>
    <row r="923" spans="1:15" ht="13" x14ac:dyDescent="0.15">
      <c r="A923" s="56"/>
      <c r="B923" s="56"/>
      <c r="K923" s="56"/>
      <c r="L923" s="79"/>
      <c r="O923" s="56"/>
    </row>
    <row r="924" spans="1:15" ht="13" x14ac:dyDescent="0.15">
      <c r="A924" s="56"/>
      <c r="B924" s="56"/>
      <c r="K924" s="56"/>
      <c r="L924" s="79"/>
      <c r="O924" s="56"/>
    </row>
    <row r="925" spans="1:15" ht="13" x14ac:dyDescent="0.15">
      <c r="A925" s="56"/>
      <c r="B925" s="56"/>
      <c r="K925" s="56"/>
      <c r="L925" s="79"/>
      <c r="O925" s="56"/>
    </row>
    <row r="926" spans="1:15" ht="13" x14ac:dyDescent="0.15">
      <c r="A926" s="56"/>
      <c r="B926" s="56"/>
      <c r="K926" s="56"/>
      <c r="L926" s="79"/>
      <c r="O926" s="56"/>
    </row>
    <row r="927" spans="1:15" ht="13" x14ac:dyDescent="0.15">
      <c r="A927" s="56"/>
      <c r="B927" s="56"/>
      <c r="K927" s="56"/>
      <c r="L927" s="79"/>
      <c r="O927" s="56"/>
    </row>
    <row r="928" spans="1:15" ht="13" x14ac:dyDescent="0.15">
      <c r="A928" s="56"/>
      <c r="B928" s="56"/>
      <c r="K928" s="56"/>
      <c r="L928" s="79"/>
      <c r="O928" s="56"/>
    </row>
    <row r="929" spans="1:15" ht="13" x14ac:dyDescent="0.15">
      <c r="A929" s="56"/>
      <c r="B929" s="56"/>
      <c r="K929" s="56"/>
      <c r="L929" s="79"/>
      <c r="O929" s="56"/>
    </row>
    <row r="930" spans="1:15" ht="13" x14ac:dyDescent="0.15">
      <c r="A930" s="56"/>
      <c r="B930" s="56"/>
      <c r="K930" s="56"/>
      <c r="L930" s="79"/>
      <c r="O930" s="56"/>
    </row>
    <row r="931" spans="1:15" ht="13" x14ac:dyDescent="0.15">
      <c r="A931" s="56"/>
      <c r="B931" s="56"/>
      <c r="K931" s="56"/>
      <c r="L931" s="79"/>
      <c r="O931" s="56"/>
    </row>
    <row r="932" spans="1:15" ht="13" x14ac:dyDescent="0.15">
      <c r="A932" s="56"/>
      <c r="B932" s="56"/>
      <c r="K932" s="56"/>
      <c r="L932" s="79"/>
      <c r="O932" s="56"/>
    </row>
    <row r="933" spans="1:15" ht="13" x14ac:dyDescent="0.15">
      <c r="A933" s="56"/>
      <c r="B933" s="56"/>
      <c r="K933" s="56"/>
      <c r="L933" s="79"/>
      <c r="O933" s="56"/>
    </row>
    <row r="934" spans="1:15" ht="13" x14ac:dyDescent="0.15">
      <c r="A934" s="56"/>
      <c r="B934" s="56"/>
      <c r="K934" s="56"/>
      <c r="L934" s="79"/>
      <c r="O934" s="56"/>
    </row>
    <row r="935" spans="1:15" ht="13" x14ac:dyDescent="0.15">
      <c r="A935" s="56"/>
      <c r="B935" s="56"/>
      <c r="K935" s="56"/>
      <c r="L935" s="79"/>
      <c r="O935" s="56"/>
    </row>
    <row r="936" spans="1:15" ht="13" x14ac:dyDescent="0.15">
      <c r="A936" s="56"/>
      <c r="B936" s="56"/>
      <c r="K936" s="56"/>
      <c r="L936" s="79"/>
      <c r="O936" s="56"/>
    </row>
    <row r="937" spans="1:15" ht="13" x14ac:dyDescent="0.15">
      <c r="A937" s="56"/>
      <c r="B937" s="56"/>
      <c r="K937" s="56"/>
      <c r="L937" s="79"/>
      <c r="O937" s="56"/>
    </row>
    <row r="938" spans="1:15" ht="13" x14ac:dyDescent="0.15">
      <c r="A938" s="56"/>
      <c r="B938" s="56"/>
      <c r="K938" s="56"/>
      <c r="L938" s="79"/>
      <c r="O938" s="56"/>
    </row>
    <row r="939" spans="1:15" ht="13" x14ac:dyDescent="0.15">
      <c r="A939" s="56"/>
      <c r="B939" s="56"/>
      <c r="K939" s="56"/>
      <c r="L939" s="79"/>
      <c r="O939" s="56"/>
    </row>
    <row r="940" spans="1:15" ht="13" x14ac:dyDescent="0.15">
      <c r="A940" s="56"/>
      <c r="B940" s="56"/>
      <c r="K940" s="56"/>
      <c r="L940" s="79"/>
      <c r="O940" s="56"/>
    </row>
    <row r="941" spans="1:15" ht="13" x14ac:dyDescent="0.15">
      <c r="A941" s="56"/>
      <c r="B941" s="56"/>
      <c r="K941" s="56"/>
      <c r="L941" s="79"/>
      <c r="O941" s="56"/>
    </row>
    <row r="942" spans="1:15" ht="13" x14ac:dyDescent="0.15">
      <c r="A942" s="56"/>
      <c r="B942" s="56"/>
      <c r="K942" s="56"/>
      <c r="L942" s="79"/>
      <c r="O942" s="56"/>
    </row>
    <row r="943" spans="1:15" ht="13" x14ac:dyDescent="0.15">
      <c r="A943" s="56"/>
      <c r="B943" s="56"/>
      <c r="K943" s="56"/>
      <c r="L943" s="79"/>
      <c r="O943" s="56"/>
    </row>
    <row r="944" spans="1:15" ht="13" x14ac:dyDescent="0.15">
      <c r="A944" s="56"/>
      <c r="B944" s="56"/>
      <c r="K944" s="56"/>
      <c r="L944" s="79"/>
      <c r="O944" s="56"/>
    </row>
    <row r="945" spans="1:15" ht="13" x14ac:dyDescent="0.15">
      <c r="A945" s="56"/>
      <c r="B945" s="56"/>
      <c r="K945" s="56"/>
      <c r="L945" s="79"/>
      <c r="O945" s="56"/>
    </row>
    <row r="946" spans="1:15" ht="13" x14ac:dyDescent="0.15">
      <c r="A946" s="56"/>
      <c r="B946" s="56"/>
      <c r="K946" s="56"/>
      <c r="L946" s="79"/>
      <c r="O946" s="56"/>
    </row>
    <row r="947" spans="1:15" ht="13" x14ac:dyDescent="0.15">
      <c r="A947" s="56"/>
      <c r="B947" s="56"/>
      <c r="K947" s="56"/>
      <c r="L947" s="79"/>
      <c r="O947" s="56"/>
    </row>
    <row r="948" spans="1:15" ht="13" x14ac:dyDescent="0.15">
      <c r="A948" s="56"/>
      <c r="B948" s="56"/>
      <c r="K948" s="56"/>
      <c r="L948" s="79"/>
      <c r="O948" s="56"/>
    </row>
    <row r="949" spans="1:15" ht="13" x14ac:dyDescent="0.15">
      <c r="A949" s="56"/>
      <c r="B949" s="56"/>
      <c r="K949" s="56"/>
      <c r="L949" s="79"/>
      <c r="O949" s="56"/>
    </row>
    <row r="950" spans="1:15" ht="13" x14ac:dyDescent="0.15">
      <c r="A950" s="56"/>
      <c r="B950" s="56"/>
      <c r="K950" s="56"/>
      <c r="L950" s="79"/>
      <c r="O950" s="56"/>
    </row>
    <row r="951" spans="1:15" ht="13" x14ac:dyDescent="0.15">
      <c r="A951" s="56"/>
      <c r="B951" s="56"/>
      <c r="K951" s="56"/>
      <c r="L951" s="79"/>
      <c r="O951" s="56"/>
    </row>
    <row r="952" spans="1:15" ht="13" x14ac:dyDescent="0.15">
      <c r="A952" s="56"/>
      <c r="B952" s="56"/>
      <c r="K952" s="56"/>
      <c r="L952" s="79"/>
      <c r="O952" s="56"/>
    </row>
    <row r="953" spans="1:15" ht="13" x14ac:dyDescent="0.15">
      <c r="A953" s="56"/>
      <c r="B953" s="56"/>
      <c r="K953" s="56"/>
      <c r="L953" s="79"/>
      <c r="O953" s="56"/>
    </row>
    <row r="954" spans="1:15" ht="13" x14ac:dyDescent="0.15">
      <c r="A954" s="56"/>
      <c r="B954" s="56"/>
      <c r="K954" s="56"/>
      <c r="L954" s="79"/>
      <c r="O954" s="56"/>
    </row>
    <row r="955" spans="1:15" ht="13" x14ac:dyDescent="0.15">
      <c r="A955" s="56"/>
      <c r="B955" s="56"/>
      <c r="K955" s="56"/>
      <c r="L955" s="79"/>
      <c r="O955" s="56"/>
    </row>
    <row r="956" spans="1:15" ht="13" x14ac:dyDescent="0.15">
      <c r="A956" s="56"/>
      <c r="B956" s="56"/>
      <c r="K956" s="56"/>
      <c r="L956" s="79"/>
      <c r="O956" s="56"/>
    </row>
    <row r="957" spans="1:15" ht="13" x14ac:dyDescent="0.15">
      <c r="A957" s="56"/>
      <c r="B957" s="56"/>
      <c r="K957" s="56"/>
      <c r="L957" s="79"/>
      <c r="O957" s="56"/>
    </row>
    <row r="958" spans="1:15" ht="13" x14ac:dyDescent="0.15">
      <c r="A958" s="56"/>
      <c r="B958" s="56"/>
      <c r="K958" s="56"/>
      <c r="L958" s="79"/>
      <c r="O958" s="56"/>
    </row>
    <row r="959" spans="1:15" ht="13" x14ac:dyDescent="0.15">
      <c r="A959" s="56"/>
      <c r="B959" s="56"/>
      <c r="K959" s="56"/>
      <c r="L959" s="79"/>
      <c r="O959" s="56"/>
    </row>
    <row r="960" spans="1:15" ht="13" x14ac:dyDescent="0.15">
      <c r="A960" s="56"/>
      <c r="B960" s="56"/>
      <c r="K960" s="56"/>
      <c r="L960" s="79"/>
      <c r="O960" s="56"/>
    </row>
    <row r="961" spans="1:15" ht="13" x14ac:dyDescent="0.15">
      <c r="A961" s="56"/>
      <c r="B961" s="56"/>
      <c r="K961" s="56"/>
      <c r="L961" s="79"/>
      <c r="O961" s="56"/>
    </row>
    <row r="962" spans="1:15" ht="13" x14ac:dyDescent="0.15">
      <c r="A962" s="56"/>
      <c r="B962" s="56"/>
      <c r="K962" s="56"/>
      <c r="L962" s="79"/>
      <c r="O962" s="56"/>
    </row>
    <row r="963" spans="1:15" ht="13" x14ac:dyDescent="0.15">
      <c r="A963" s="56"/>
      <c r="B963" s="56"/>
      <c r="K963" s="56"/>
      <c r="L963" s="79"/>
      <c r="O963" s="56"/>
    </row>
    <row r="964" spans="1:15" ht="13" x14ac:dyDescent="0.15">
      <c r="A964" s="56"/>
      <c r="B964" s="56"/>
      <c r="K964" s="56"/>
      <c r="L964" s="79"/>
      <c r="O964" s="56"/>
    </row>
    <row r="965" spans="1:15" ht="13" x14ac:dyDescent="0.15">
      <c r="A965" s="56"/>
      <c r="B965" s="56"/>
      <c r="K965" s="56"/>
      <c r="L965" s="79"/>
      <c r="O965" s="56"/>
    </row>
    <row r="966" spans="1:15" ht="13" x14ac:dyDescent="0.15">
      <c r="A966" s="56"/>
      <c r="B966" s="56"/>
      <c r="K966" s="56"/>
      <c r="L966" s="79"/>
      <c r="O966" s="56"/>
    </row>
    <row r="967" spans="1:15" ht="13" x14ac:dyDescent="0.15">
      <c r="A967" s="56"/>
      <c r="B967" s="56"/>
      <c r="K967" s="56"/>
      <c r="L967" s="79"/>
      <c r="O967" s="56"/>
    </row>
    <row r="968" spans="1:15" ht="13" x14ac:dyDescent="0.15">
      <c r="A968" s="56"/>
      <c r="B968" s="56"/>
      <c r="K968" s="56"/>
      <c r="L968" s="79"/>
      <c r="O968" s="56"/>
    </row>
    <row r="969" spans="1:15" ht="13" x14ac:dyDescent="0.15">
      <c r="A969" s="56"/>
      <c r="B969" s="56"/>
      <c r="K969" s="56"/>
      <c r="L969" s="79"/>
      <c r="O969" s="56"/>
    </row>
    <row r="970" spans="1:15" ht="13" x14ac:dyDescent="0.15">
      <c r="A970" s="56"/>
      <c r="B970" s="56"/>
      <c r="K970" s="56"/>
      <c r="L970" s="79"/>
      <c r="O970" s="56"/>
    </row>
    <row r="971" spans="1:15" ht="13" x14ac:dyDescent="0.15">
      <c r="A971" s="56"/>
      <c r="B971" s="56"/>
      <c r="K971" s="56"/>
      <c r="L971" s="79"/>
      <c r="O971" s="56"/>
    </row>
    <row r="972" spans="1:15" ht="13" x14ac:dyDescent="0.15">
      <c r="A972" s="56"/>
      <c r="B972" s="56"/>
      <c r="K972" s="56"/>
      <c r="L972" s="79"/>
      <c r="O972" s="56"/>
    </row>
    <row r="973" spans="1:15" ht="13" x14ac:dyDescent="0.15">
      <c r="A973" s="56"/>
      <c r="B973" s="56"/>
      <c r="K973" s="56"/>
      <c r="L973" s="79"/>
      <c r="O973" s="56"/>
    </row>
    <row r="974" spans="1:15" ht="13" x14ac:dyDescent="0.15">
      <c r="A974" s="56"/>
      <c r="B974" s="56"/>
      <c r="K974" s="56"/>
      <c r="L974" s="79"/>
      <c r="O974" s="56"/>
    </row>
    <row r="975" spans="1:15" ht="13" x14ac:dyDescent="0.15">
      <c r="A975" s="56"/>
      <c r="B975" s="56"/>
      <c r="K975" s="56"/>
      <c r="L975" s="79"/>
      <c r="O975" s="56"/>
    </row>
    <row r="976" spans="1:15" ht="13" x14ac:dyDescent="0.15">
      <c r="A976" s="56"/>
      <c r="B976" s="56"/>
      <c r="K976" s="56"/>
      <c r="L976" s="79"/>
      <c r="O976" s="56"/>
    </row>
    <row r="977" spans="1:15" ht="13" x14ac:dyDescent="0.15">
      <c r="A977" s="56"/>
      <c r="B977" s="56"/>
      <c r="K977" s="56"/>
      <c r="L977" s="79"/>
      <c r="O977" s="56"/>
    </row>
    <row r="978" spans="1:15" ht="13" x14ac:dyDescent="0.15">
      <c r="A978" s="56"/>
      <c r="B978" s="56"/>
      <c r="K978" s="56"/>
      <c r="L978" s="79"/>
      <c r="O978" s="56"/>
    </row>
    <row r="979" spans="1:15" ht="13" x14ac:dyDescent="0.15">
      <c r="A979" s="56"/>
      <c r="B979" s="56"/>
      <c r="K979" s="56"/>
      <c r="L979" s="79"/>
      <c r="O979" s="56"/>
    </row>
    <row r="980" spans="1:15" ht="13" x14ac:dyDescent="0.15">
      <c r="A980" s="56"/>
      <c r="B980" s="56"/>
      <c r="K980" s="56"/>
      <c r="L980" s="79"/>
      <c r="O980" s="56"/>
    </row>
    <row r="981" spans="1:15" ht="13" x14ac:dyDescent="0.15">
      <c r="A981" s="56"/>
      <c r="B981" s="56"/>
      <c r="K981" s="56"/>
      <c r="L981" s="79"/>
      <c r="O981" s="56"/>
    </row>
    <row r="982" spans="1:15" ht="13" x14ac:dyDescent="0.15">
      <c r="A982" s="56"/>
      <c r="B982" s="56"/>
      <c r="K982" s="56"/>
      <c r="L982" s="79"/>
      <c r="O982" s="56"/>
    </row>
    <row r="983" spans="1:15" ht="13" x14ac:dyDescent="0.15">
      <c r="A983" s="56"/>
      <c r="B983" s="56"/>
      <c r="K983" s="56"/>
      <c r="L983" s="79"/>
      <c r="O983" s="56"/>
    </row>
    <row r="984" spans="1:15" ht="13" x14ac:dyDescent="0.15">
      <c r="A984" s="56"/>
      <c r="B984" s="56"/>
      <c r="K984" s="56"/>
      <c r="L984" s="79"/>
      <c r="O984" s="56"/>
    </row>
    <row r="985" spans="1:15" ht="13" x14ac:dyDescent="0.15">
      <c r="A985" s="56"/>
      <c r="B985" s="56"/>
      <c r="K985" s="56"/>
      <c r="L985" s="79"/>
      <c r="O985" s="56"/>
    </row>
    <row r="986" spans="1:15" ht="13" x14ac:dyDescent="0.15">
      <c r="A986" s="56"/>
      <c r="B986" s="56"/>
      <c r="K986" s="56"/>
      <c r="L986" s="79"/>
      <c r="O986" s="56"/>
    </row>
    <row r="987" spans="1:15" ht="13" x14ac:dyDescent="0.15">
      <c r="A987" s="56"/>
      <c r="B987" s="56"/>
      <c r="K987" s="56"/>
      <c r="L987" s="79"/>
      <c r="O987" s="56"/>
    </row>
    <row r="988" spans="1:15" ht="13" x14ac:dyDescent="0.15">
      <c r="A988" s="56"/>
      <c r="B988" s="56"/>
      <c r="K988" s="56"/>
      <c r="L988" s="79"/>
      <c r="O988" s="56"/>
    </row>
    <row r="989" spans="1:15" ht="13" x14ac:dyDescent="0.15">
      <c r="A989" s="56"/>
      <c r="B989" s="56"/>
      <c r="K989" s="56"/>
      <c r="L989" s="79"/>
      <c r="O989" s="56"/>
    </row>
    <row r="990" spans="1:15" ht="13" x14ac:dyDescent="0.15">
      <c r="A990" s="56"/>
      <c r="B990" s="56"/>
      <c r="K990" s="56"/>
      <c r="L990" s="79"/>
      <c r="O990" s="56"/>
    </row>
    <row r="991" spans="1:15" ht="13" x14ac:dyDescent="0.15">
      <c r="A991" s="56"/>
      <c r="B991" s="56"/>
      <c r="K991" s="56"/>
      <c r="L991" s="79"/>
      <c r="O991" s="56"/>
    </row>
    <row r="992" spans="1:15" ht="13" x14ac:dyDescent="0.15">
      <c r="A992" s="56"/>
      <c r="B992" s="56"/>
      <c r="K992" s="56"/>
      <c r="L992" s="79"/>
      <c r="O992" s="56"/>
    </row>
    <row r="993" spans="1:15" ht="13" x14ac:dyDescent="0.15">
      <c r="A993" s="56"/>
      <c r="B993" s="56"/>
      <c r="K993" s="56"/>
      <c r="L993" s="79"/>
      <c r="O993" s="56"/>
    </row>
    <row r="994" spans="1:15" ht="13" x14ac:dyDescent="0.15">
      <c r="A994" s="56"/>
      <c r="B994" s="56"/>
      <c r="K994" s="56"/>
      <c r="L994" s="79"/>
      <c r="O994" s="56"/>
    </row>
    <row r="995" spans="1:15" ht="13" x14ac:dyDescent="0.15">
      <c r="A995" s="56"/>
      <c r="B995" s="56"/>
      <c r="K995" s="56"/>
      <c r="L995" s="79"/>
      <c r="O995" s="56"/>
    </row>
    <row r="996" spans="1:15" ht="13" x14ac:dyDescent="0.15">
      <c r="A996" s="56"/>
      <c r="B996" s="56"/>
      <c r="K996" s="56"/>
      <c r="L996" s="79"/>
      <c r="O996" s="56"/>
    </row>
  </sheetData>
  <mergeCells count="3">
    <mergeCell ref="M7:N7"/>
    <mergeCell ref="M8:N8"/>
    <mergeCell ref="M13:N13"/>
  </mergeCells>
  <hyperlinks>
    <hyperlink ref="M3" r:id="rId1" xr:uid="{00000000-0004-0000-0300-000000000000}"/>
    <hyperlink ref="M4" r:id="rId2" xr:uid="{00000000-0004-0000-0300-000001000000}"/>
    <hyperlink ref="M5" r:id="rId3" xr:uid="{00000000-0004-0000-0300-000002000000}"/>
    <hyperlink ref="M6" r:id="rId4" xr:uid="{00000000-0004-0000-0300-000003000000}"/>
    <hyperlink ref="M7" r:id="rId5" xr:uid="{00000000-0004-0000-0300-000004000000}"/>
    <hyperlink ref="M8" r:id="rId6" xr:uid="{00000000-0004-0000-0300-000005000000}"/>
    <hyperlink ref="M9" r:id="rId7" xr:uid="{00000000-0004-0000-0300-000006000000}"/>
    <hyperlink ref="M10" r:id="rId8" xr:uid="{00000000-0004-0000-0300-000007000000}"/>
    <hyperlink ref="M15" r:id="rId9" xr:uid="{00000000-0004-0000-0300-000008000000}"/>
    <hyperlink ref="M16" r:id="rId10" xr:uid="{00000000-0004-0000-0300-000009000000}"/>
    <hyperlink ref="N31" r:id="rId11" xr:uid="{00000000-0004-0000-0300-00000A000000}"/>
  </hyperlinks>
  <pageMargins left="0.7" right="0.7" top="0.3" bottom="0.3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1640625" customWidth="1"/>
    <col min="2" max="2" width="14.83203125" customWidth="1"/>
    <col min="3" max="4" width="12.1640625" customWidth="1"/>
    <col min="5" max="5" width="57.6640625" customWidth="1"/>
    <col min="6" max="6" width="64.5" customWidth="1"/>
    <col min="7" max="7" width="25.6640625" customWidth="1"/>
    <col min="8" max="8" width="54.1640625" customWidth="1"/>
    <col min="9" max="9" width="26.6640625" customWidth="1"/>
    <col min="10" max="10" width="25.33203125" customWidth="1"/>
    <col min="11" max="11" width="22.83203125" customWidth="1"/>
    <col min="12" max="12" width="23.33203125" customWidth="1"/>
    <col min="13" max="13" width="12.1640625" customWidth="1"/>
    <col min="14" max="14" width="47.33203125" customWidth="1"/>
    <col min="15" max="15" width="28.83203125" customWidth="1"/>
    <col min="16" max="27" width="8.6640625" customWidth="1"/>
  </cols>
  <sheetData>
    <row r="1" spans="1:27" ht="15.75" customHeight="1" x14ac:dyDescent="0.2">
      <c r="A1" s="97" t="s">
        <v>36</v>
      </c>
      <c r="B1" s="97" t="s">
        <v>37</v>
      </c>
      <c r="C1" s="98" t="s">
        <v>38</v>
      </c>
      <c r="D1" s="99"/>
      <c r="E1" s="99" t="s">
        <v>39</v>
      </c>
      <c r="F1" s="99" t="s">
        <v>40</v>
      </c>
      <c r="G1" s="99" t="s">
        <v>41</v>
      </c>
      <c r="H1" s="99" t="s">
        <v>42</v>
      </c>
      <c r="I1" s="99" t="s">
        <v>43</v>
      </c>
      <c r="J1" s="99" t="s">
        <v>44</v>
      </c>
      <c r="K1" s="99" t="s">
        <v>45</v>
      </c>
      <c r="L1" s="99" t="s">
        <v>46</v>
      </c>
      <c r="M1" s="99" t="s">
        <v>47</v>
      </c>
      <c r="N1" s="99" t="s">
        <v>48</v>
      </c>
      <c r="O1" s="10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101">
        <v>20</v>
      </c>
      <c r="B2" s="101" t="s">
        <v>754</v>
      </c>
      <c r="C2" s="102" t="s">
        <v>51</v>
      </c>
      <c r="D2" s="102" t="str">
        <f t="shared" ref="D2:D52" si="0">A2&amp;B2&amp;C2</f>
        <v>2004001</v>
      </c>
      <c r="E2" s="103" t="s">
        <v>1295</v>
      </c>
      <c r="F2" s="104" t="s">
        <v>1296</v>
      </c>
      <c r="G2" s="103" t="s">
        <v>1297</v>
      </c>
      <c r="H2" s="103" t="s">
        <v>1298</v>
      </c>
      <c r="I2" s="103" t="s">
        <v>1299</v>
      </c>
      <c r="J2" s="103" t="s">
        <v>1300</v>
      </c>
      <c r="K2" s="102">
        <v>85755427085</v>
      </c>
      <c r="L2" s="102">
        <v>85330933846</v>
      </c>
      <c r="M2" s="105" t="s">
        <v>1301</v>
      </c>
      <c r="N2" s="103" t="s">
        <v>1302</v>
      </c>
      <c r="O2" s="10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101">
        <v>20</v>
      </c>
      <c r="B3" s="101" t="s">
        <v>754</v>
      </c>
      <c r="C3" s="102" t="s">
        <v>60</v>
      </c>
      <c r="D3" s="102" t="str">
        <f t="shared" si="0"/>
        <v>2004002</v>
      </c>
      <c r="E3" s="103" t="s">
        <v>1303</v>
      </c>
      <c r="F3" s="104" t="s">
        <v>1304</v>
      </c>
      <c r="G3" s="103" t="s">
        <v>1305</v>
      </c>
      <c r="H3" s="103" t="s">
        <v>1306</v>
      </c>
      <c r="I3" s="103" t="s">
        <v>1307</v>
      </c>
      <c r="J3" s="103" t="s">
        <v>1308</v>
      </c>
      <c r="K3" s="102">
        <v>87827819586</v>
      </c>
      <c r="L3" s="102">
        <v>82117137847</v>
      </c>
      <c r="M3" s="105" t="s">
        <v>1309</v>
      </c>
      <c r="N3" s="103" t="s">
        <v>1310</v>
      </c>
      <c r="O3" s="10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101">
        <v>20</v>
      </c>
      <c r="B4" s="101" t="s">
        <v>754</v>
      </c>
      <c r="C4" s="102" t="s">
        <v>68</v>
      </c>
      <c r="D4" s="102" t="str">
        <f t="shared" si="0"/>
        <v>2004003</v>
      </c>
      <c r="E4" s="103" t="s">
        <v>1311</v>
      </c>
      <c r="F4" s="104" t="s">
        <v>1312</v>
      </c>
      <c r="G4" s="103" t="s">
        <v>1313</v>
      </c>
      <c r="H4" s="103" t="s">
        <v>1314</v>
      </c>
      <c r="I4" s="103" t="s">
        <v>1315</v>
      </c>
      <c r="J4" s="103"/>
      <c r="K4" s="102">
        <v>82234386846</v>
      </c>
      <c r="L4" s="102"/>
      <c r="M4" s="105" t="s">
        <v>1316</v>
      </c>
      <c r="N4" s="103" t="s">
        <v>1317</v>
      </c>
      <c r="O4" s="101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101">
        <v>20</v>
      </c>
      <c r="B5" s="101" t="s">
        <v>754</v>
      </c>
      <c r="C5" s="102" t="s">
        <v>76</v>
      </c>
      <c r="D5" s="102" t="str">
        <f t="shared" si="0"/>
        <v>2004004</v>
      </c>
      <c r="E5" s="103" t="s">
        <v>1318</v>
      </c>
      <c r="F5" s="104" t="s">
        <v>1319</v>
      </c>
      <c r="G5" s="103" t="s">
        <v>1313</v>
      </c>
      <c r="H5" s="103" t="s">
        <v>1320</v>
      </c>
      <c r="I5" s="103" t="s">
        <v>1321</v>
      </c>
      <c r="J5" s="103" t="s">
        <v>1322</v>
      </c>
      <c r="K5" s="102">
        <v>81252434021</v>
      </c>
      <c r="L5" s="102">
        <v>85735931312</v>
      </c>
      <c r="M5" s="105" t="s">
        <v>1323</v>
      </c>
      <c r="N5" s="103" t="s">
        <v>1324</v>
      </c>
      <c r="O5" s="10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101">
        <v>21</v>
      </c>
      <c r="B6" s="101" t="s">
        <v>754</v>
      </c>
      <c r="C6" s="102" t="s">
        <v>84</v>
      </c>
      <c r="D6" s="102" t="str">
        <f t="shared" si="0"/>
        <v>2104005</v>
      </c>
      <c r="E6" s="103" t="s">
        <v>1325</v>
      </c>
      <c r="F6" s="104" t="s">
        <v>1326</v>
      </c>
      <c r="G6" s="103" t="s">
        <v>1327</v>
      </c>
      <c r="H6" s="103" t="s">
        <v>1328</v>
      </c>
      <c r="I6" s="103" t="s">
        <v>1329</v>
      </c>
      <c r="J6" s="103" t="s">
        <v>1330</v>
      </c>
      <c r="K6" s="106" t="s">
        <v>1331</v>
      </c>
      <c r="L6" s="106" t="s">
        <v>1332</v>
      </c>
      <c r="M6" s="107" t="s">
        <v>1333</v>
      </c>
      <c r="N6" s="103" t="s">
        <v>1334</v>
      </c>
      <c r="O6" s="10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101">
        <v>21</v>
      </c>
      <c r="B7" s="101" t="s">
        <v>754</v>
      </c>
      <c r="C7" s="102" t="s">
        <v>92</v>
      </c>
      <c r="D7" s="102" t="str">
        <f t="shared" si="0"/>
        <v>2104006</v>
      </c>
      <c r="E7" s="103" t="s">
        <v>1335</v>
      </c>
      <c r="F7" s="104" t="s">
        <v>1336</v>
      </c>
      <c r="G7" s="103" t="s">
        <v>1327</v>
      </c>
      <c r="H7" s="103" t="s">
        <v>1337</v>
      </c>
      <c r="I7" s="103" t="s">
        <v>1338</v>
      </c>
      <c r="J7" s="103" t="s">
        <v>1339</v>
      </c>
      <c r="K7" s="102">
        <v>85708013164</v>
      </c>
      <c r="L7" s="102" t="s">
        <v>1340</v>
      </c>
      <c r="M7" s="105" t="s">
        <v>1341</v>
      </c>
      <c r="N7" s="103" t="s">
        <v>1342</v>
      </c>
      <c r="O7" s="10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101">
        <v>21</v>
      </c>
      <c r="B8" s="101" t="s">
        <v>754</v>
      </c>
      <c r="C8" s="102" t="s">
        <v>100</v>
      </c>
      <c r="D8" s="102" t="str">
        <f t="shared" si="0"/>
        <v>2104007</v>
      </c>
      <c r="E8" s="103" t="s">
        <v>1343</v>
      </c>
      <c r="F8" s="104" t="s">
        <v>1344</v>
      </c>
      <c r="G8" s="103" t="s">
        <v>1327</v>
      </c>
      <c r="H8" s="103" t="s">
        <v>1345</v>
      </c>
      <c r="I8" s="103" t="s">
        <v>1346</v>
      </c>
      <c r="J8" s="103" t="s">
        <v>1347</v>
      </c>
      <c r="K8" s="102">
        <v>85331966411</v>
      </c>
      <c r="L8" s="102">
        <v>81225858922</v>
      </c>
      <c r="M8" s="105" t="s">
        <v>1348</v>
      </c>
      <c r="N8" s="103" t="s">
        <v>1349</v>
      </c>
      <c r="O8" s="101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101">
        <v>21</v>
      </c>
      <c r="B9" s="101" t="s">
        <v>754</v>
      </c>
      <c r="C9" s="102" t="s">
        <v>108</v>
      </c>
      <c r="D9" s="102" t="str">
        <f t="shared" si="0"/>
        <v>2104008</v>
      </c>
      <c r="E9" s="103" t="s">
        <v>1350</v>
      </c>
      <c r="F9" s="104" t="s">
        <v>1351</v>
      </c>
      <c r="G9" s="103" t="s">
        <v>1327</v>
      </c>
      <c r="H9" s="103" t="s">
        <v>1352</v>
      </c>
      <c r="I9" s="103" t="s">
        <v>1353</v>
      </c>
      <c r="J9" s="103" t="s">
        <v>1354</v>
      </c>
      <c r="K9" s="102">
        <v>85730473273</v>
      </c>
      <c r="L9" s="102">
        <v>85334626269</v>
      </c>
      <c r="M9" s="105" t="s">
        <v>1355</v>
      </c>
      <c r="N9" s="103" t="s">
        <v>1356</v>
      </c>
      <c r="O9" s="10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101">
        <v>21</v>
      </c>
      <c r="B10" s="101" t="s">
        <v>754</v>
      </c>
      <c r="C10" s="102" t="s">
        <v>116</v>
      </c>
      <c r="D10" s="102" t="str">
        <f t="shared" si="0"/>
        <v>2104009</v>
      </c>
      <c r="E10" s="103" t="s">
        <v>1357</v>
      </c>
      <c r="F10" s="108" t="s">
        <v>1358</v>
      </c>
      <c r="G10" s="103" t="s">
        <v>1359</v>
      </c>
      <c r="H10" s="103" t="s">
        <v>1360</v>
      </c>
      <c r="I10" s="103" t="s">
        <v>1361</v>
      </c>
      <c r="J10" s="103" t="s">
        <v>1362</v>
      </c>
      <c r="K10" s="102">
        <f t="shared" ref="K10:L10" si="1">6285646655636</f>
        <v>6285646655636</v>
      </c>
      <c r="L10" s="102">
        <f t="shared" si="1"/>
        <v>6285646655636</v>
      </c>
      <c r="M10" s="105" t="s">
        <v>1363</v>
      </c>
      <c r="N10" s="103" t="s">
        <v>1364</v>
      </c>
      <c r="O10" s="10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101">
        <v>21</v>
      </c>
      <c r="B11" s="101" t="s">
        <v>754</v>
      </c>
      <c r="C11" s="102" t="s">
        <v>124</v>
      </c>
      <c r="D11" s="102" t="str">
        <f t="shared" si="0"/>
        <v>2104010</v>
      </c>
      <c r="E11" s="103" t="s">
        <v>1365</v>
      </c>
      <c r="F11" s="109" t="s">
        <v>1366</v>
      </c>
      <c r="G11" s="103" t="s">
        <v>1359</v>
      </c>
      <c r="H11" s="103" t="s">
        <v>1367</v>
      </c>
      <c r="I11" s="103" t="s">
        <v>1368</v>
      </c>
      <c r="J11" s="103" t="s">
        <v>1369</v>
      </c>
      <c r="K11" s="102">
        <v>81555452220</v>
      </c>
      <c r="L11" s="102" t="s">
        <v>1370</v>
      </c>
      <c r="M11" s="105" t="s">
        <v>1371</v>
      </c>
      <c r="N11" s="103" t="s">
        <v>1372</v>
      </c>
      <c r="O11" s="10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101">
        <v>21</v>
      </c>
      <c r="B12" s="101" t="s">
        <v>754</v>
      </c>
      <c r="C12" s="102" t="s">
        <v>132</v>
      </c>
      <c r="D12" s="102" t="str">
        <f t="shared" si="0"/>
        <v>2104011</v>
      </c>
      <c r="E12" s="103" t="s">
        <v>1373</v>
      </c>
      <c r="F12" s="109" t="s">
        <v>1374</v>
      </c>
      <c r="G12" s="103" t="s">
        <v>1327</v>
      </c>
      <c r="H12" s="103" t="s">
        <v>1375</v>
      </c>
      <c r="I12" s="110" t="s">
        <v>1376</v>
      </c>
      <c r="J12" s="103" t="s">
        <v>1377</v>
      </c>
      <c r="K12" s="111">
        <v>83123660697</v>
      </c>
      <c r="L12" s="102">
        <v>85608622236</v>
      </c>
      <c r="M12" s="105" t="s">
        <v>1378</v>
      </c>
      <c r="N12" s="103" t="s">
        <v>1379</v>
      </c>
      <c r="O12" s="101">
        <v>2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101">
        <v>21</v>
      </c>
      <c r="B13" s="101" t="s">
        <v>754</v>
      </c>
      <c r="C13" s="102" t="s">
        <v>140</v>
      </c>
      <c r="D13" s="102" t="str">
        <f t="shared" si="0"/>
        <v>2104012</v>
      </c>
      <c r="E13" s="103" t="s">
        <v>1380</v>
      </c>
      <c r="F13" s="108" t="s">
        <v>1381</v>
      </c>
      <c r="G13" s="103" t="s">
        <v>1313</v>
      </c>
      <c r="H13" s="103" t="s">
        <v>1382</v>
      </c>
      <c r="I13" s="103" t="s">
        <v>1383</v>
      </c>
      <c r="J13" s="103"/>
      <c r="K13" s="102">
        <v>85649104642</v>
      </c>
      <c r="L13" s="102"/>
      <c r="M13" s="105" t="s">
        <v>1384</v>
      </c>
      <c r="N13" s="103" t="s">
        <v>1385</v>
      </c>
      <c r="O13" s="101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101">
        <v>21</v>
      </c>
      <c r="B14" s="101" t="s">
        <v>754</v>
      </c>
      <c r="C14" s="102" t="s">
        <v>148</v>
      </c>
      <c r="D14" s="102" t="str">
        <f t="shared" si="0"/>
        <v>2104013</v>
      </c>
      <c r="E14" s="103" t="s">
        <v>1386</v>
      </c>
      <c r="F14" s="104" t="s">
        <v>1387</v>
      </c>
      <c r="G14" s="103" t="s">
        <v>1305</v>
      </c>
      <c r="H14" s="103" t="s">
        <v>1388</v>
      </c>
      <c r="I14" s="103" t="s">
        <v>1389</v>
      </c>
      <c r="J14" s="103" t="s">
        <v>1390</v>
      </c>
      <c r="K14" s="102">
        <v>83845442048</v>
      </c>
      <c r="L14" s="106" t="s">
        <v>1391</v>
      </c>
      <c r="M14" s="103" t="s">
        <v>1392</v>
      </c>
      <c r="N14" s="103" t="s">
        <v>1393</v>
      </c>
      <c r="O14" s="10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101">
        <v>21</v>
      </c>
      <c r="B15" s="101" t="s">
        <v>754</v>
      </c>
      <c r="C15" s="102" t="s">
        <v>156</v>
      </c>
      <c r="D15" s="102" t="str">
        <f t="shared" si="0"/>
        <v>2104014</v>
      </c>
      <c r="E15" s="103" t="s">
        <v>1394</v>
      </c>
      <c r="F15" s="104" t="s">
        <v>1395</v>
      </c>
      <c r="G15" s="103" t="s">
        <v>1297</v>
      </c>
      <c r="H15" s="103" t="s">
        <v>1396</v>
      </c>
      <c r="I15" s="103" t="s">
        <v>1397</v>
      </c>
      <c r="J15" s="103" t="s">
        <v>1398</v>
      </c>
      <c r="K15" s="102">
        <v>82283461411</v>
      </c>
      <c r="L15" s="102">
        <v>85320033986</v>
      </c>
      <c r="M15" s="103" t="s">
        <v>1399</v>
      </c>
      <c r="N15" s="103" t="s">
        <v>1400</v>
      </c>
      <c r="O15" s="10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101">
        <v>21</v>
      </c>
      <c r="B16" s="101" t="s">
        <v>754</v>
      </c>
      <c r="C16" s="102" t="s">
        <v>164</v>
      </c>
      <c r="D16" s="102" t="str">
        <f t="shared" si="0"/>
        <v>2104015</v>
      </c>
      <c r="E16" s="103" t="s">
        <v>1401</v>
      </c>
      <c r="F16" s="104" t="s">
        <v>1402</v>
      </c>
      <c r="G16" s="103" t="s">
        <v>1403</v>
      </c>
      <c r="H16" s="103" t="s">
        <v>1404</v>
      </c>
      <c r="I16" s="103" t="s">
        <v>1405</v>
      </c>
      <c r="J16" s="103" t="s">
        <v>1406</v>
      </c>
      <c r="K16" s="102">
        <v>8990480201</v>
      </c>
      <c r="L16" s="102">
        <v>85657401158</v>
      </c>
      <c r="M16" s="105" t="s">
        <v>1407</v>
      </c>
      <c r="N16" s="103" t="s">
        <v>1408</v>
      </c>
      <c r="O16" s="101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101">
        <v>22</v>
      </c>
      <c r="B17" s="101" t="s">
        <v>754</v>
      </c>
      <c r="C17" s="102" t="s">
        <v>173</v>
      </c>
      <c r="D17" s="102" t="str">
        <f t="shared" si="0"/>
        <v>2204016</v>
      </c>
      <c r="E17" s="103" t="s">
        <v>1409</v>
      </c>
      <c r="F17" s="103" t="s">
        <v>1410</v>
      </c>
      <c r="G17" s="103" t="s">
        <v>1327</v>
      </c>
      <c r="H17" s="103" t="s">
        <v>1411</v>
      </c>
      <c r="I17" s="103" t="s">
        <v>1412</v>
      </c>
      <c r="J17" s="103" t="s">
        <v>1413</v>
      </c>
      <c r="K17" s="102">
        <v>85790824124</v>
      </c>
      <c r="L17" s="102">
        <v>85606447018</v>
      </c>
      <c r="M17" s="103" t="s">
        <v>1414</v>
      </c>
      <c r="N17" s="103" t="s">
        <v>1415</v>
      </c>
      <c r="O17" s="101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101">
        <v>22</v>
      </c>
      <c r="B18" s="101" t="s">
        <v>754</v>
      </c>
      <c r="C18" s="102" t="s">
        <v>180</v>
      </c>
      <c r="D18" s="102" t="str">
        <f t="shared" si="0"/>
        <v>2204017</v>
      </c>
      <c r="E18" s="103" t="s">
        <v>1416</v>
      </c>
      <c r="F18" s="104" t="s">
        <v>1417</v>
      </c>
      <c r="G18" s="103" t="s">
        <v>1313</v>
      </c>
      <c r="H18" s="103" t="s">
        <v>1418</v>
      </c>
      <c r="I18" s="103" t="s">
        <v>1419</v>
      </c>
      <c r="J18" s="103" t="s">
        <v>1420</v>
      </c>
      <c r="K18" s="102">
        <v>881026504205</v>
      </c>
      <c r="L18" s="102">
        <v>85749042256</v>
      </c>
      <c r="M18" s="112" t="s">
        <v>1421</v>
      </c>
      <c r="N18" s="103" t="s">
        <v>1422</v>
      </c>
      <c r="O18" s="101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113">
        <v>22</v>
      </c>
      <c r="B19" s="113" t="s">
        <v>754</v>
      </c>
      <c r="C19" s="102" t="s">
        <v>188</v>
      </c>
      <c r="D19" s="102" t="str">
        <f t="shared" si="0"/>
        <v>2204018</v>
      </c>
      <c r="E19" s="103" t="s">
        <v>1423</v>
      </c>
      <c r="F19" s="103" t="s">
        <v>1424</v>
      </c>
      <c r="G19" s="103" t="s">
        <v>1313</v>
      </c>
      <c r="H19" s="103" t="s">
        <v>1425</v>
      </c>
      <c r="I19" s="103" t="s">
        <v>1426</v>
      </c>
      <c r="J19" s="103"/>
      <c r="K19" s="102">
        <v>85748873561</v>
      </c>
      <c r="L19" s="102"/>
      <c r="M19" s="103"/>
      <c r="N19" s="103"/>
      <c r="O19" s="114">
        <v>4</v>
      </c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</row>
    <row r="20" spans="1:27" ht="15.75" customHeight="1" x14ac:dyDescent="0.2">
      <c r="A20" s="101">
        <v>22</v>
      </c>
      <c r="B20" s="101" t="s">
        <v>754</v>
      </c>
      <c r="C20" s="102" t="s">
        <v>196</v>
      </c>
      <c r="D20" s="102" t="str">
        <f t="shared" si="0"/>
        <v>2204019</v>
      </c>
      <c r="E20" s="116" t="s">
        <v>1427</v>
      </c>
      <c r="F20" s="116" t="s">
        <v>1428</v>
      </c>
      <c r="G20" s="116" t="s">
        <v>1429</v>
      </c>
      <c r="H20" s="116" t="s">
        <v>1430</v>
      </c>
      <c r="I20" s="116" t="s">
        <v>1431</v>
      </c>
      <c r="J20" s="103"/>
      <c r="K20" s="117" t="s">
        <v>1432</v>
      </c>
      <c r="L20" s="102"/>
      <c r="M20" s="103"/>
      <c r="N20" s="103"/>
      <c r="O20" s="118">
        <v>6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101">
        <v>22</v>
      </c>
      <c r="B21" s="101" t="s">
        <v>754</v>
      </c>
      <c r="C21" s="102" t="s">
        <v>204</v>
      </c>
      <c r="D21" s="102" t="str">
        <f t="shared" si="0"/>
        <v>2204020</v>
      </c>
      <c r="E21" s="116" t="s">
        <v>1433</v>
      </c>
      <c r="F21" s="116" t="s">
        <v>1434</v>
      </c>
      <c r="G21" s="116" t="s">
        <v>1435</v>
      </c>
      <c r="H21" s="116" t="s">
        <v>1436</v>
      </c>
      <c r="I21" s="116" t="s">
        <v>1437</v>
      </c>
      <c r="J21" s="103"/>
      <c r="K21" s="117" t="s">
        <v>1438</v>
      </c>
      <c r="L21" s="102"/>
      <c r="M21" s="103"/>
      <c r="N21" s="103"/>
      <c r="O21" s="118">
        <v>5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101">
        <v>22</v>
      </c>
      <c r="B22" s="101" t="s">
        <v>754</v>
      </c>
      <c r="C22" s="102" t="s">
        <v>212</v>
      </c>
      <c r="D22" s="102" t="str">
        <f t="shared" si="0"/>
        <v>2204021</v>
      </c>
      <c r="E22" s="116" t="s">
        <v>1439</v>
      </c>
      <c r="F22" s="116" t="s">
        <v>1440</v>
      </c>
      <c r="G22" s="116" t="s">
        <v>1441</v>
      </c>
      <c r="H22" s="116" t="s">
        <v>1442</v>
      </c>
      <c r="I22" s="116" t="s">
        <v>1443</v>
      </c>
      <c r="J22" s="119"/>
      <c r="K22" s="118">
        <v>85812377457</v>
      </c>
      <c r="L22" s="101"/>
      <c r="M22" s="119"/>
      <c r="N22" s="119"/>
      <c r="O22" s="118">
        <v>4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101">
        <v>22</v>
      </c>
      <c r="B23" s="101" t="s">
        <v>754</v>
      </c>
      <c r="C23" s="102" t="s">
        <v>219</v>
      </c>
      <c r="D23" s="102" t="str">
        <f t="shared" si="0"/>
        <v>2204022</v>
      </c>
      <c r="E23" s="116" t="s">
        <v>1444</v>
      </c>
      <c r="F23" s="116" t="s">
        <v>1445</v>
      </c>
      <c r="G23" s="116" t="s">
        <v>1446</v>
      </c>
      <c r="H23" s="116" t="s">
        <v>1447</v>
      </c>
      <c r="I23" s="116" t="s">
        <v>1448</v>
      </c>
      <c r="J23" s="119"/>
      <c r="K23" s="117" t="s">
        <v>1449</v>
      </c>
      <c r="L23" s="101"/>
      <c r="M23" s="119"/>
      <c r="N23" s="119"/>
      <c r="O23" s="118">
        <v>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101">
        <v>22</v>
      </c>
      <c r="B24" s="101" t="s">
        <v>754</v>
      </c>
      <c r="C24" s="102" t="s">
        <v>226</v>
      </c>
      <c r="D24" s="102" t="str">
        <f t="shared" si="0"/>
        <v>2204023</v>
      </c>
      <c r="E24" s="116" t="s">
        <v>1450</v>
      </c>
      <c r="F24" s="116" t="s">
        <v>1451</v>
      </c>
      <c r="G24" s="116" t="s">
        <v>1446</v>
      </c>
      <c r="H24" s="116" t="s">
        <v>1452</v>
      </c>
      <c r="I24" s="116" t="s">
        <v>1453</v>
      </c>
      <c r="J24" s="119"/>
      <c r="K24" s="117" t="s">
        <v>1454</v>
      </c>
      <c r="L24" s="101"/>
      <c r="M24" s="119"/>
      <c r="N24" s="119"/>
      <c r="O24" s="118">
        <v>5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101">
        <v>22</v>
      </c>
      <c r="B25" s="101" t="s">
        <v>754</v>
      </c>
      <c r="C25" s="102" t="s">
        <v>234</v>
      </c>
      <c r="D25" s="102" t="str">
        <f t="shared" si="0"/>
        <v>2204024</v>
      </c>
      <c r="E25" s="116" t="s">
        <v>1455</v>
      </c>
      <c r="F25" s="116" t="s">
        <v>1455</v>
      </c>
      <c r="G25" s="116" t="s">
        <v>1435</v>
      </c>
      <c r="H25" s="116" t="s">
        <v>1456</v>
      </c>
      <c r="I25" s="116" t="s">
        <v>1457</v>
      </c>
      <c r="J25" s="119"/>
      <c r="K25" s="118" t="s">
        <v>1458</v>
      </c>
      <c r="L25" s="101"/>
      <c r="M25" s="119"/>
      <c r="N25" s="119"/>
      <c r="O25" s="118">
        <v>5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101">
        <v>22</v>
      </c>
      <c r="B26" s="101" t="s">
        <v>754</v>
      </c>
      <c r="C26" s="102" t="s">
        <v>240</v>
      </c>
      <c r="D26" s="102" t="str">
        <f t="shared" si="0"/>
        <v>2204025</v>
      </c>
      <c r="E26" s="116" t="s">
        <v>1459</v>
      </c>
      <c r="F26" s="116" t="s">
        <v>1460</v>
      </c>
      <c r="G26" s="116" t="s">
        <v>1446</v>
      </c>
      <c r="H26" s="116" t="s">
        <v>1461</v>
      </c>
      <c r="I26" s="116" t="s">
        <v>1462</v>
      </c>
      <c r="J26" s="119"/>
      <c r="K26" s="117" t="s">
        <v>1463</v>
      </c>
      <c r="L26" s="101"/>
      <c r="M26" s="119"/>
      <c r="N26" s="119"/>
      <c r="O26" s="118">
        <v>2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101">
        <v>22</v>
      </c>
      <c r="B27" s="101" t="s">
        <v>754</v>
      </c>
      <c r="C27" s="102" t="s">
        <v>246</v>
      </c>
      <c r="D27" s="102" t="str">
        <f t="shared" si="0"/>
        <v>2204026</v>
      </c>
      <c r="E27" s="116" t="s">
        <v>1464</v>
      </c>
      <c r="F27" s="116" t="s">
        <v>1465</v>
      </c>
      <c r="G27" s="116" t="s">
        <v>1429</v>
      </c>
      <c r="H27" s="116" t="s">
        <v>1466</v>
      </c>
      <c r="I27" s="116" t="s">
        <v>1467</v>
      </c>
      <c r="J27" s="119"/>
      <c r="K27" s="117" t="s">
        <v>1468</v>
      </c>
      <c r="L27" s="101"/>
      <c r="M27" s="119"/>
      <c r="N27" s="119"/>
      <c r="O27" s="118">
        <v>5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101">
        <v>22</v>
      </c>
      <c r="B28" s="101" t="s">
        <v>754</v>
      </c>
      <c r="C28" s="102" t="s">
        <v>251</v>
      </c>
      <c r="D28" s="102" t="str">
        <f t="shared" si="0"/>
        <v>2204027</v>
      </c>
      <c r="E28" s="116" t="s">
        <v>1469</v>
      </c>
      <c r="F28" s="116" t="s">
        <v>1470</v>
      </c>
      <c r="G28" s="116" t="s">
        <v>1441</v>
      </c>
      <c r="H28" s="116" t="s">
        <v>1471</v>
      </c>
      <c r="I28" s="116" t="s">
        <v>1472</v>
      </c>
      <c r="J28" s="119"/>
      <c r="K28" s="118" t="s">
        <v>1473</v>
      </c>
      <c r="L28" s="101"/>
      <c r="M28" s="119"/>
      <c r="N28" s="119"/>
      <c r="O28" s="118">
        <v>5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101">
        <v>22</v>
      </c>
      <c r="B29" s="101" t="s">
        <v>754</v>
      </c>
      <c r="C29" s="102" t="s">
        <v>256</v>
      </c>
      <c r="D29" s="102" t="str">
        <f t="shared" si="0"/>
        <v>2204028</v>
      </c>
      <c r="E29" s="116" t="s">
        <v>1474</v>
      </c>
      <c r="F29" s="116" t="s">
        <v>1475</v>
      </c>
      <c r="G29" s="116" t="s">
        <v>1441</v>
      </c>
      <c r="H29" s="116" t="s">
        <v>1476</v>
      </c>
      <c r="I29" s="116" t="s">
        <v>1477</v>
      </c>
      <c r="J29" s="119"/>
      <c r="K29" s="117" t="s">
        <v>1478</v>
      </c>
      <c r="L29" s="101"/>
      <c r="M29" s="119"/>
      <c r="N29" s="119"/>
      <c r="O29" s="118">
        <v>10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101">
        <v>22</v>
      </c>
      <c r="B30" s="101" t="s">
        <v>754</v>
      </c>
      <c r="C30" s="102" t="s">
        <v>261</v>
      </c>
      <c r="D30" s="102" t="str">
        <f t="shared" si="0"/>
        <v>2204029</v>
      </c>
      <c r="E30" s="116" t="s">
        <v>1479</v>
      </c>
      <c r="F30" s="116" t="s">
        <v>1480</v>
      </c>
      <c r="G30" s="116" t="s">
        <v>1446</v>
      </c>
      <c r="H30" s="116" t="s">
        <v>1481</v>
      </c>
      <c r="I30" s="116" t="s">
        <v>1482</v>
      </c>
      <c r="J30" s="116" t="s">
        <v>1483</v>
      </c>
      <c r="K30" s="117" t="s">
        <v>1484</v>
      </c>
      <c r="L30" s="117" t="s">
        <v>1485</v>
      </c>
      <c r="M30" s="119"/>
      <c r="N30" s="119"/>
      <c r="O30" s="118">
        <v>8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101">
        <v>22</v>
      </c>
      <c r="B31" s="101" t="s">
        <v>754</v>
      </c>
      <c r="C31" s="102" t="s">
        <v>266</v>
      </c>
      <c r="D31" s="102" t="str">
        <f t="shared" si="0"/>
        <v>2204030</v>
      </c>
      <c r="E31" s="116" t="s">
        <v>1486</v>
      </c>
      <c r="F31" s="116" t="s">
        <v>1487</v>
      </c>
      <c r="G31" s="116" t="s">
        <v>1435</v>
      </c>
      <c r="H31" s="116" t="s">
        <v>1488</v>
      </c>
      <c r="I31" s="116" t="s">
        <v>1489</v>
      </c>
      <c r="J31" s="119"/>
      <c r="K31" s="117" t="s">
        <v>1490</v>
      </c>
      <c r="L31" s="101"/>
      <c r="M31" s="119"/>
      <c r="N31" s="119"/>
      <c r="O31" s="118">
        <v>3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101">
        <v>23</v>
      </c>
      <c r="B32" s="101" t="s">
        <v>754</v>
      </c>
      <c r="C32" s="102" t="s">
        <v>272</v>
      </c>
      <c r="D32" s="102" t="str">
        <f t="shared" si="0"/>
        <v>2304031</v>
      </c>
      <c r="E32" s="116" t="s">
        <v>1491</v>
      </c>
      <c r="F32" s="116" t="s">
        <v>1492</v>
      </c>
      <c r="G32" s="116" t="s">
        <v>1446</v>
      </c>
      <c r="H32" s="116" t="s">
        <v>1493</v>
      </c>
      <c r="I32" s="116" t="s">
        <v>1494</v>
      </c>
      <c r="J32" s="119"/>
      <c r="K32" s="117" t="s">
        <v>1495</v>
      </c>
      <c r="L32" s="101"/>
      <c r="M32" s="119"/>
      <c r="N32" s="119"/>
      <c r="O32" s="118">
        <v>5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101">
        <v>23</v>
      </c>
      <c r="B33" s="101" t="s">
        <v>754</v>
      </c>
      <c r="C33" s="102" t="s">
        <v>278</v>
      </c>
      <c r="D33" s="102" t="str">
        <f t="shared" si="0"/>
        <v>2304032</v>
      </c>
      <c r="E33" s="116" t="s">
        <v>1496</v>
      </c>
      <c r="F33" s="116" t="s">
        <v>1497</v>
      </c>
      <c r="G33" s="116" t="s">
        <v>1498</v>
      </c>
      <c r="H33" s="116" t="s">
        <v>1499</v>
      </c>
      <c r="I33" s="116" t="s">
        <v>1500</v>
      </c>
      <c r="J33" s="119"/>
      <c r="K33" s="117" t="s">
        <v>1501</v>
      </c>
      <c r="L33" s="101"/>
      <c r="M33" s="119"/>
      <c r="N33" s="119"/>
      <c r="O33" s="118">
        <v>2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101">
        <v>23</v>
      </c>
      <c r="B34" s="101" t="s">
        <v>754</v>
      </c>
      <c r="C34" s="102" t="s">
        <v>284</v>
      </c>
      <c r="D34" s="102" t="str">
        <f t="shared" si="0"/>
        <v>2304033</v>
      </c>
      <c r="E34" s="116" t="s">
        <v>1502</v>
      </c>
      <c r="F34" s="116" t="s">
        <v>1503</v>
      </c>
      <c r="G34" s="116" t="s">
        <v>1446</v>
      </c>
      <c r="H34" s="116" t="s">
        <v>1504</v>
      </c>
      <c r="I34" s="116" t="s">
        <v>1505</v>
      </c>
      <c r="J34" s="119"/>
      <c r="K34" s="117" t="s">
        <v>1506</v>
      </c>
      <c r="L34" s="101"/>
      <c r="M34" s="119"/>
      <c r="N34" s="119"/>
      <c r="O34" s="118">
        <v>3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101">
        <v>23</v>
      </c>
      <c r="B35" s="101" t="s">
        <v>754</v>
      </c>
      <c r="C35" s="102" t="s">
        <v>290</v>
      </c>
      <c r="D35" s="102" t="str">
        <f t="shared" si="0"/>
        <v>2304034</v>
      </c>
      <c r="E35" s="116" t="s">
        <v>1507</v>
      </c>
      <c r="F35" s="116" t="s">
        <v>1508</v>
      </c>
      <c r="G35" s="116" t="s">
        <v>1446</v>
      </c>
      <c r="H35" s="116" t="s">
        <v>1509</v>
      </c>
      <c r="I35" s="116" t="s">
        <v>1510</v>
      </c>
      <c r="J35" s="119"/>
      <c r="K35" s="117" t="s">
        <v>1511</v>
      </c>
      <c r="L35" s="101"/>
      <c r="M35" s="119"/>
      <c r="N35" s="119"/>
      <c r="O35" s="11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101">
        <v>23</v>
      </c>
      <c r="B36" s="101" t="s">
        <v>754</v>
      </c>
      <c r="C36" s="102" t="s">
        <v>296</v>
      </c>
      <c r="D36" s="102" t="str">
        <f t="shared" si="0"/>
        <v>2304035</v>
      </c>
      <c r="E36" s="116" t="s">
        <v>1512</v>
      </c>
      <c r="F36" s="116" t="s">
        <v>1513</v>
      </c>
      <c r="G36" s="116" t="s">
        <v>1446</v>
      </c>
      <c r="H36" s="116" t="s">
        <v>1514</v>
      </c>
      <c r="I36" s="116" t="s">
        <v>1515</v>
      </c>
      <c r="J36" s="119"/>
      <c r="K36" s="117" t="s">
        <v>1516</v>
      </c>
      <c r="L36" s="101"/>
      <c r="M36" s="119"/>
      <c r="N36" s="116" t="s">
        <v>1517</v>
      </c>
      <c r="O36" s="118">
        <v>3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101">
        <v>23</v>
      </c>
      <c r="B37" s="101" t="s">
        <v>754</v>
      </c>
      <c r="C37" s="102" t="s">
        <v>301</v>
      </c>
      <c r="D37" s="102" t="str">
        <f t="shared" si="0"/>
        <v>2304036</v>
      </c>
      <c r="E37" s="116" t="s">
        <v>1518</v>
      </c>
      <c r="F37" s="116" t="s">
        <v>1519</v>
      </c>
      <c r="G37" s="116" t="s">
        <v>1429</v>
      </c>
      <c r="H37" s="116" t="s">
        <v>1520</v>
      </c>
      <c r="I37" s="116" t="s">
        <v>1521</v>
      </c>
      <c r="J37" s="119" t="s">
        <v>1522</v>
      </c>
      <c r="K37" s="117" t="s">
        <v>1523</v>
      </c>
      <c r="L37" s="111">
        <v>87758998486</v>
      </c>
      <c r="M37" s="119"/>
      <c r="N37" s="116" t="s">
        <v>1524</v>
      </c>
      <c r="O37" s="118">
        <v>4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101">
        <v>23</v>
      </c>
      <c r="B38" s="101" t="s">
        <v>754</v>
      </c>
      <c r="C38" s="102" t="s">
        <v>308</v>
      </c>
      <c r="D38" s="102" t="str">
        <f t="shared" si="0"/>
        <v>2304037</v>
      </c>
      <c r="E38" s="116" t="s">
        <v>1525</v>
      </c>
      <c r="F38" s="116" t="s">
        <v>1526</v>
      </c>
      <c r="G38" s="116" t="s">
        <v>1441</v>
      </c>
      <c r="H38" s="116" t="s">
        <v>1527</v>
      </c>
      <c r="I38" s="116" t="s">
        <v>1528</v>
      </c>
      <c r="J38" s="119"/>
      <c r="K38" s="117" t="s">
        <v>1529</v>
      </c>
      <c r="L38" s="101"/>
      <c r="M38" s="119"/>
      <c r="N38" s="116" t="s">
        <v>1364</v>
      </c>
      <c r="O38" s="118">
        <v>5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101">
        <v>23</v>
      </c>
      <c r="B39" s="101" t="s">
        <v>754</v>
      </c>
      <c r="C39" s="102" t="s">
        <v>314</v>
      </c>
      <c r="D39" s="102" t="str">
        <f t="shared" si="0"/>
        <v>2304038</v>
      </c>
      <c r="E39" s="116" t="s">
        <v>1530</v>
      </c>
      <c r="F39" s="116" t="s">
        <v>1531</v>
      </c>
      <c r="G39" s="116" t="s">
        <v>1429</v>
      </c>
      <c r="H39" s="116" t="s">
        <v>1532</v>
      </c>
      <c r="I39" s="116" t="s">
        <v>1533</v>
      </c>
      <c r="J39" s="119"/>
      <c r="K39" s="117" t="s">
        <v>1534</v>
      </c>
      <c r="L39" s="101"/>
      <c r="M39" s="119"/>
      <c r="N39" s="116" t="s">
        <v>1535</v>
      </c>
      <c r="O39" s="118">
        <v>5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101">
        <v>24</v>
      </c>
      <c r="B40" s="101" t="s">
        <v>754</v>
      </c>
      <c r="C40" s="102" t="s">
        <v>320</v>
      </c>
      <c r="D40" s="102" t="str">
        <f t="shared" si="0"/>
        <v>2404039</v>
      </c>
      <c r="E40" s="119" t="s">
        <v>1536</v>
      </c>
      <c r="F40" s="119" t="s">
        <v>1537</v>
      </c>
      <c r="G40" s="119" t="s">
        <v>1498</v>
      </c>
      <c r="H40" s="119" t="s">
        <v>1538</v>
      </c>
      <c r="I40" s="119" t="s">
        <v>1539</v>
      </c>
      <c r="J40" s="119"/>
      <c r="K40" s="101">
        <v>85815377415</v>
      </c>
      <c r="L40" s="101"/>
      <c r="M40" s="119"/>
      <c r="N40" s="119" t="s">
        <v>1540</v>
      </c>
      <c r="O40" s="101">
        <v>10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101">
        <v>24</v>
      </c>
      <c r="B41" s="101" t="s">
        <v>754</v>
      </c>
      <c r="C41" s="102" t="s">
        <v>326</v>
      </c>
      <c r="D41" s="102" t="str">
        <f t="shared" si="0"/>
        <v>2404040</v>
      </c>
      <c r="E41" s="119" t="s">
        <v>1541</v>
      </c>
      <c r="F41" s="119" t="s">
        <v>1542</v>
      </c>
      <c r="G41" s="119" t="s">
        <v>1435</v>
      </c>
      <c r="H41" s="119" t="s">
        <v>1543</v>
      </c>
      <c r="I41" s="119" t="s">
        <v>1544</v>
      </c>
      <c r="J41" s="119"/>
      <c r="K41" s="101" t="s">
        <v>1545</v>
      </c>
      <c r="L41" s="101"/>
      <c r="M41" s="119"/>
      <c r="N41" s="119" t="s">
        <v>1546</v>
      </c>
      <c r="O41" s="101">
        <v>2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101">
        <v>24</v>
      </c>
      <c r="B42" s="101" t="s">
        <v>754</v>
      </c>
      <c r="C42" s="102" t="s">
        <v>332</v>
      </c>
      <c r="D42" s="102" t="str">
        <f t="shared" si="0"/>
        <v>2404041</v>
      </c>
      <c r="E42" s="119" t="s">
        <v>1547</v>
      </c>
      <c r="F42" s="119" t="s">
        <v>1548</v>
      </c>
      <c r="G42" s="119" t="s">
        <v>1446</v>
      </c>
      <c r="H42" s="119" t="s">
        <v>1549</v>
      </c>
      <c r="I42" s="119" t="s">
        <v>1550</v>
      </c>
      <c r="J42" s="119"/>
      <c r="K42" s="101">
        <v>82232241066</v>
      </c>
      <c r="L42" s="101"/>
      <c r="M42" s="119"/>
      <c r="N42" s="119" t="s">
        <v>1551</v>
      </c>
      <c r="O42" s="101">
        <v>2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2">
      <c r="A43" s="101">
        <v>24</v>
      </c>
      <c r="B43" s="101" t="s">
        <v>754</v>
      </c>
      <c r="C43" s="102" t="s">
        <v>338</v>
      </c>
      <c r="D43" s="102" t="str">
        <f t="shared" si="0"/>
        <v>2404042</v>
      </c>
      <c r="E43" s="110" t="s">
        <v>1552</v>
      </c>
      <c r="F43" s="110" t="s">
        <v>1553</v>
      </c>
      <c r="G43" s="110" t="s">
        <v>1498</v>
      </c>
      <c r="H43" s="110" t="s">
        <v>1554</v>
      </c>
      <c r="I43" s="110" t="s">
        <v>1555</v>
      </c>
      <c r="J43" s="110" t="s">
        <v>1556</v>
      </c>
      <c r="K43" s="111">
        <v>82249246183</v>
      </c>
      <c r="L43" s="111">
        <v>82249883529</v>
      </c>
      <c r="M43" s="119"/>
      <c r="N43" s="120" t="s">
        <v>1557</v>
      </c>
      <c r="O43" s="111">
        <v>8</v>
      </c>
      <c r="P43" s="121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23"/>
    </row>
    <row r="44" spans="1:27" ht="15.75" customHeight="1" x14ac:dyDescent="0.2">
      <c r="A44" s="101">
        <v>24</v>
      </c>
      <c r="B44" s="101" t="s">
        <v>754</v>
      </c>
      <c r="C44" s="102" t="s">
        <v>344</v>
      </c>
      <c r="D44" s="102" t="str">
        <f t="shared" si="0"/>
        <v>2404043</v>
      </c>
      <c r="E44" s="110" t="s">
        <v>1558</v>
      </c>
      <c r="F44" s="110" t="s">
        <v>1559</v>
      </c>
      <c r="G44" s="110" t="s">
        <v>1446</v>
      </c>
      <c r="H44" s="110" t="s">
        <v>1560</v>
      </c>
      <c r="I44" s="110" t="s">
        <v>1561</v>
      </c>
      <c r="J44" s="119"/>
      <c r="K44" s="111">
        <v>85850500648</v>
      </c>
      <c r="L44" s="101"/>
      <c r="M44" s="119"/>
      <c r="N44" s="120" t="s">
        <v>1562</v>
      </c>
      <c r="O44" s="111">
        <v>4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2">
      <c r="A45" s="101">
        <v>24</v>
      </c>
      <c r="B45" s="101" t="s">
        <v>754</v>
      </c>
      <c r="C45" s="102" t="s">
        <v>350</v>
      </c>
      <c r="D45" s="102" t="str">
        <f t="shared" si="0"/>
        <v>2404044</v>
      </c>
      <c r="E45" s="110" t="s">
        <v>1563</v>
      </c>
      <c r="F45" s="110" t="s">
        <v>1564</v>
      </c>
      <c r="G45" s="110" t="s">
        <v>1429</v>
      </c>
      <c r="H45" s="110" t="s">
        <v>1565</v>
      </c>
      <c r="I45" s="110" t="s">
        <v>1566</v>
      </c>
      <c r="J45" s="119"/>
      <c r="K45" s="111" t="s">
        <v>1567</v>
      </c>
      <c r="L45" s="101"/>
      <c r="M45" s="119"/>
      <c r="N45" s="110" t="s">
        <v>1568</v>
      </c>
      <c r="O45" s="111">
        <v>10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2">
      <c r="A46" s="101">
        <v>24</v>
      </c>
      <c r="B46" s="101" t="s">
        <v>754</v>
      </c>
      <c r="C46" s="102" t="s">
        <v>356</v>
      </c>
      <c r="D46" s="102" t="str">
        <f t="shared" si="0"/>
        <v>2404045</v>
      </c>
      <c r="E46" s="110" t="s">
        <v>1569</v>
      </c>
      <c r="F46" s="110" t="s">
        <v>1570</v>
      </c>
      <c r="G46" s="110" t="s">
        <v>1441</v>
      </c>
      <c r="H46" s="120" t="s">
        <v>1571</v>
      </c>
      <c r="I46" s="110" t="s">
        <v>1572</v>
      </c>
      <c r="J46" s="119"/>
      <c r="K46" s="111">
        <v>89686921818</v>
      </c>
      <c r="L46" s="101"/>
      <c r="M46" s="119"/>
      <c r="N46" s="122" t="s">
        <v>1573</v>
      </c>
      <c r="O46" s="111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2">
      <c r="A47" s="101">
        <v>24</v>
      </c>
      <c r="B47" s="101" t="s">
        <v>754</v>
      </c>
      <c r="C47" s="102" t="s">
        <v>362</v>
      </c>
      <c r="D47" s="102" t="str">
        <f t="shared" si="0"/>
        <v>2404046</v>
      </c>
      <c r="E47" s="110" t="s">
        <v>1574</v>
      </c>
      <c r="F47" s="110" t="s">
        <v>1575</v>
      </c>
      <c r="G47" s="110" t="s">
        <v>1429</v>
      </c>
      <c r="H47" s="110" t="s">
        <v>1576</v>
      </c>
      <c r="I47" s="110" t="s">
        <v>1577</v>
      </c>
      <c r="J47" s="119"/>
      <c r="K47" s="111">
        <v>6282331673334</v>
      </c>
      <c r="L47" s="101"/>
      <c r="M47" s="119"/>
      <c r="N47" s="120" t="s">
        <v>1578</v>
      </c>
      <c r="O47" s="111">
        <v>3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2">
      <c r="A48" s="101">
        <v>24</v>
      </c>
      <c r="B48" s="101" t="s">
        <v>754</v>
      </c>
      <c r="C48" s="102" t="s">
        <v>368</v>
      </c>
      <c r="D48" s="102" t="str">
        <f t="shared" si="0"/>
        <v>2404047</v>
      </c>
      <c r="E48" s="110" t="s">
        <v>1579</v>
      </c>
      <c r="F48" s="110" t="s">
        <v>1580</v>
      </c>
      <c r="G48" s="110" t="s">
        <v>1435</v>
      </c>
      <c r="H48" s="110" t="s">
        <v>1581</v>
      </c>
      <c r="I48" s="110" t="s">
        <v>1582</v>
      </c>
      <c r="J48" s="119"/>
      <c r="K48" s="111" t="s">
        <v>1583</v>
      </c>
      <c r="L48" s="101"/>
      <c r="M48" s="119"/>
      <c r="N48" s="120" t="s">
        <v>1584</v>
      </c>
      <c r="O48" s="111">
        <v>6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2">
      <c r="A49" s="101">
        <v>24</v>
      </c>
      <c r="B49" s="101" t="s">
        <v>754</v>
      </c>
      <c r="C49" s="102" t="s">
        <v>374</v>
      </c>
      <c r="D49" s="102" t="str">
        <f t="shared" si="0"/>
        <v>2404048</v>
      </c>
      <c r="E49" s="110" t="s">
        <v>1585</v>
      </c>
      <c r="F49" s="110" t="s">
        <v>1586</v>
      </c>
      <c r="G49" s="110" t="s">
        <v>1446</v>
      </c>
      <c r="H49" s="120" t="s">
        <v>1587</v>
      </c>
      <c r="I49" s="110" t="s">
        <v>1588</v>
      </c>
      <c r="J49" s="119"/>
      <c r="K49" s="111">
        <v>85701752977</v>
      </c>
      <c r="L49" s="101"/>
      <c r="M49" s="119"/>
      <c r="N49" s="120" t="s">
        <v>1589</v>
      </c>
      <c r="O49" s="111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2">
      <c r="A50" s="101">
        <v>25</v>
      </c>
      <c r="B50" s="101" t="s">
        <v>754</v>
      </c>
      <c r="C50" s="102" t="s">
        <v>380</v>
      </c>
      <c r="D50" s="102" t="str">
        <f t="shared" si="0"/>
        <v>2504049</v>
      </c>
      <c r="E50" s="123" t="s">
        <v>1590</v>
      </c>
      <c r="F50" s="123" t="s">
        <v>1591</v>
      </c>
      <c r="G50" s="123" t="s">
        <v>1435</v>
      </c>
      <c r="H50" s="123" t="s">
        <v>1592</v>
      </c>
      <c r="I50" s="123" t="s">
        <v>1593</v>
      </c>
      <c r="J50" s="123"/>
      <c r="K50" s="124" t="s">
        <v>1594</v>
      </c>
      <c r="L50" s="125"/>
      <c r="M50" s="123"/>
      <c r="N50" s="123" t="s">
        <v>1595</v>
      </c>
      <c r="O50" s="125">
        <v>4</v>
      </c>
      <c r="R50" s="43"/>
      <c r="T50" s="44"/>
      <c r="V50" s="43"/>
      <c r="W50" s="43"/>
      <c r="X50" s="43"/>
      <c r="Y50" s="43"/>
      <c r="Z50" s="43"/>
      <c r="AA50" s="43"/>
    </row>
    <row r="51" spans="1:27" ht="15.75" customHeight="1" x14ac:dyDescent="0.2">
      <c r="A51" s="101">
        <v>25</v>
      </c>
      <c r="B51" s="101" t="s">
        <v>754</v>
      </c>
      <c r="C51" s="102" t="s">
        <v>386</v>
      </c>
      <c r="D51" s="102" t="str">
        <f t="shared" si="0"/>
        <v>2504050</v>
      </c>
      <c r="E51" s="43" t="s">
        <v>1596</v>
      </c>
      <c r="F51" s="43" t="s">
        <v>1597</v>
      </c>
      <c r="G51" s="43" t="s">
        <v>1446</v>
      </c>
      <c r="H51" s="43" t="s">
        <v>1598</v>
      </c>
      <c r="I51" s="43" t="s">
        <v>1599</v>
      </c>
      <c r="J51" s="43" t="s">
        <v>1600</v>
      </c>
      <c r="K51" s="43" t="s">
        <v>1601</v>
      </c>
      <c r="L51" s="43" t="s">
        <v>762</v>
      </c>
      <c r="M51" s="43" t="s">
        <v>1600</v>
      </c>
      <c r="N51" s="43" t="s">
        <v>1602</v>
      </c>
      <c r="O51" s="43" t="s">
        <v>762</v>
      </c>
      <c r="P51" s="44">
        <v>2</v>
      </c>
      <c r="Q51" s="43" t="s">
        <v>1603</v>
      </c>
      <c r="R51" s="43" t="s">
        <v>1604</v>
      </c>
      <c r="S51" s="55" t="s">
        <v>1605</v>
      </c>
      <c r="T51" s="44">
        <v>0</v>
      </c>
      <c r="U51" s="43" t="s">
        <v>1606</v>
      </c>
      <c r="V51" s="43"/>
      <c r="W51" s="43"/>
      <c r="X51" s="43"/>
      <c r="Y51" s="43"/>
      <c r="Z51" s="43"/>
      <c r="AA51" s="43"/>
    </row>
    <row r="52" spans="1:27" ht="15.75" customHeight="1" x14ac:dyDescent="0.2">
      <c r="A52" s="101">
        <v>25</v>
      </c>
      <c r="B52" s="101" t="s">
        <v>754</v>
      </c>
      <c r="C52" s="102" t="s">
        <v>392</v>
      </c>
      <c r="D52" s="102" t="str">
        <f t="shared" si="0"/>
        <v>2504051</v>
      </c>
      <c r="E52" s="43" t="s">
        <v>1607</v>
      </c>
      <c r="F52" s="43" t="s">
        <v>1608</v>
      </c>
      <c r="G52" s="43" t="s">
        <v>1446</v>
      </c>
      <c r="H52" s="43" t="s">
        <v>1609</v>
      </c>
      <c r="I52" s="43" t="s">
        <v>1610</v>
      </c>
      <c r="J52" s="43" t="s">
        <v>1610</v>
      </c>
      <c r="K52" s="43" t="s">
        <v>1611</v>
      </c>
      <c r="L52" s="43" t="s">
        <v>1612</v>
      </c>
      <c r="M52" s="43" t="s">
        <v>1613</v>
      </c>
      <c r="N52" s="43" t="s">
        <v>1614</v>
      </c>
      <c r="O52" s="43"/>
      <c r="P52" s="44">
        <v>5</v>
      </c>
      <c r="Q52" s="43" t="s">
        <v>1615</v>
      </c>
      <c r="R52" s="43" t="s">
        <v>752</v>
      </c>
      <c r="S52" s="55" t="s">
        <v>1616</v>
      </c>
      <c r="T52" s="44">
        <v>0</v>
      </c>
      <c r="U52" s="43" t="s">
        <v>1617</v>
      </c>
      <c r="V52" s="43"/>
      <c r="W52" s="43"/>
      <c r="X52" s="43"/>
      <c r="Y52" s="43"/>
      <c r="Z52" s="43"/>
      <c r="AA52" s="43"/>
    </row>
    <row r="53" spans="1:27" ht="15.75" customHeight="1" x14ac:dyDescent="0.2">
      <c r="A53" s="56"/>
      <c r="B53" s="56"/>
      <c r="C53" s="126"/>
      <c r="D53" s="126"/>
      <c r="E53" s="127"/>
      <c r="F53" s="128"/>
      <c r="G53" s="129"/>
      <c r="H53" s="129"/>
      <c r="I53" s="129"/>
      <c r="J53" s="23"/>
      <c r="K53" s="130"/>
      <c r="L53" s="56"/>
      <c r="M53" s="23"/>
      <c r="N53" s="131"/>
      <c r="O53" s="130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2">
      <c r="A54" s="56"/>
      <c r="B54" s="56"/>
      <c r="C54" s="126"/>
      <c r="D54" s="126"/>
      <c r="E54" s="127"/>
      <c r="F54" s="128"/>
      <c r="G54" s="129"/>
      <c r="H54" s="129"/>
      <c r="I54" s="129"/>
      <c r="J54" s="23"/>
      <c r="K54" s="130"/>
      <c r="L54" s="56"/>
      <c r="M54" s="23"/>
      <c r="N54" s="129"/>
      <c r="O54" s="130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2">
      <c r="A55" s="56"/>
      <c r="B55" s="56"/>
      <c r="C55" s="126"/>
      <c r="D55" s="126"/>
      <c r="E55" s="127"/>
      <c r="F55" s="128"/>
      <c r="G55" s="129"/>
      <c r="H55" s="129"/>
      <c r="I55" s="129"/>
      <c r="J55" s="23"/>
      <c r="K55" s="130"/>
      <c r="L55" s="56"/>
      <c r="M55" s="23"/>
      <c r="N55" s="131"/>
      <c r="O55" s="130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2">
      <c r="A56" s="56"/>
      <c r="B56" s="56"/>
      <c r="C56" s="126"/>
      <c r="D56" s="126"/>
      <c r="E56" s="127"/>
      <c r="F56" s="128"/>
      <c r="G56" s="129"/>
      <c r="H56" s="129"/>
      <c r="I56" s="129"/>
      <c r="J56" s="23"/>
      <c r="K56" s="130"/>
      <c r="L56" s="56"/>
      <c r="M56" s="23"/>
      <c r="N56" s="131"/>
      <c r="O56" s="130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2">
      <c r="A57" s="56"/>
      <c r="B57" s="56"/>
      <c r="C57" s="126"/>
      <c r="D57" s="126"/>
      <c r="E57" s="127"/>
      <c r="F57" s="128"/>
      <c r="G57" s="129"/>
      <c r="H57" s="129"/>
      <c r="I57" s="129"/>
      <c r="J57" s="23"/>
      <c r="K57" s="130"/>
      <c r="L57" s="56"/>
      <c r="M57" s="23"/>
      <c r="N57" s="131"/>
      <c r="O57" s="130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23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23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23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23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23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23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.75" customHeight="1" x14ac:dyDescent="0.15">
      <c r="A242" s="56"/>
      <c r="B242" s="56"/>
      <c r="C242" s="23"/>
      <c r="D242" s="23"/>
      <c r="E242" s="23"/>
      <c r="F242" s="23"/>
      <c r="G242" s="23"/>
      <c r="H242" s="23"/>
      <c r="I242" s="23"/>
      <c r="J242" s="23"/>
      <c r="K242" s="56"/>
      <c r="L242" s="56"/>
      <c r="M242" s="23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.75" customHeight="1" x14ac:dyDescent="0.15">
      <c r="A243" s="56"/>
      <c r="B243" s="56"/>
      <c r="C243" s="23"/>
      <c r="D243" s="23"/>
      <c r="E243" s="23"/>
      <c r="F243" s="23"/>
      <c r="G243" s="23"/>
      <c r="H243" s="23"/>
      <c r="I243" s="23"/>
      <c r="J243" s="23"/>
      <c r="K243" s="56"/>
      <c r="L243" s="56"/>
      <c r="M243" s="23"/>
      <c r="N243" s="23"/>
      <c r="O243" s="56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.75" customHeight="1" x14ac:dyDescent="0.15">
      <c r="A244" s="56"/>
      <c r="B244" s="56"/>
      <c r="C244" s="23"/>
      <c r="D244" s="23"/>
      <c r="E244" s="23"/>
      <c r="F244" s="23"/>
      <c r="G244" s="23"/>
      <c r="H244" s="23"/>
      <c r="I244" s="23"/>
      <c r="J244" s="23"/>
      <c r="K244" s="56"/>
      <c r="L244" s="56"/>
      <c r="M244" s="23"/>
      <c r="N244" s="23"/>
      <c r="O244" s="5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.75" customHeight="1" x14ac:dyDescent="0.15">
      <c r="A245" s="56"/>
      <c r="B245" s="56"/>
      <c r="C245" s="23"/>
      <c r="D245" s="23"/>
      <c r="E245" s="23"/>
      <c r="F245" s="23"/>
      <c r="G245" s="23"/>
      <c r="H245" s="23"/>
      <c r="I245" s="23"/>
      <c r="J245" s="23"/>
      <c r="K245" s="56"/>
      <c r="L245" s="56"/>
      <c r="M245" s="23"/>
      <c r="N245" s="23"/>
      <c r="O245" s="56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5.75" customHeight="1" x14ac:dyDescent="0.15">
      <c r="A246" s="56"/>
      <c r="B246" s="56"/>
      <c r="C246" s="23"/>
      <c r="D246" s="23"/>
      <c r="E246" s="23"/>
      <c r="F246" s="23"/>
      <c r="G246" s="23"/>
      <c r="H246" s="23"/>
      <c r="I246" s="23"/>
      <c r="J246" s="23"/>
      <c r="K246" s="56"/>
      <c r="L246" s="56"/>
      <c r="M246" s="23"/>
      <c r="N246" s="23"/>
      <c r="O246" s="5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5.75" customHeight="1" x14ac:dyDescent="0.15">
      <c r="A247" s="56"/>
      <c r="B247" s="56"/>
      <c r="C247" s="23"/>
      <c r="D247" s="23"/>
      <c r="E247" s="23"/>
      <c r="F247" s="23"/>
      <c r="G247" s="23"/>
      <c r="H247" s="23"/>
      <c r="I247" s="23"/>
      <c r="J247" s="23"/>
      <c r="K247" s="56"/>
      <c r="L247" s="56"/>
      <c r="M247" s="23"/>
      <c r="N247" s="23"/>
      <c r="O247" s="56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5.75" customHeight="1" x14ac:dyDescent="0.15">
      <c r="A248" s="56"/>
      <c r="B248" s="56"/>
      <c r="C248" s="23"/>
      <c r="D248" s="23"/>
      <c r="E248" s="23"/>
      <c r="F248" s="23"/>
      <c r="G248" s="23"/>
      <c r="H248" s="23"/>
      <c r="I248" s="23"/>
      <c r="J248" s="23"/>
      <c r="K248" s="56"/>
      <c r="L248" s="56"/>
      <c r="M248" s="23"/>
      <c r="N248" s="23"/>
      <c r="O248" s="56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ht="15.75" customHeight="1" x14ac:dyDescent="0.15">
      <c r="A249" s="56"/>
      <c r="B249" s="56"/>
      <c r="C249" s="23"/>
      <c r="D249" s="23"/>
      <c r="E249" s="23"/>
      <c r="F249" s="23"/>
      <c r="G249" s="23"/>
      <c r="H249" s="23"/>
      <c r="I249" s="23"/>
      <c r="J249" s="23"/>
      <c r="K249" s="56"/>
      <c r="L249" s="56"/>
      <c r="M249" s="23"/>
      <c r="N249" s="23"/>
      <c r="O249" s="56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ht="15.75" customHeight="1" x14ac:dyDescent="0.15">
      <c r="A250" s="56"/>
      <c r="B250" s="56"/>
      <c r="C250" s="23"/>
      <c r="D250" s="23"/>
      <c r="E250" s="23"/>
      <c r="F250" s="23"/>
      <c r="G250" s="23"/>
      <c r="H250" s="23"/>
      <c r="I250" s="23"/>
      <c r="J250" s="23"/>
      <c r="K250" s="56"/>
      <c r="L250" s="56"/>
      <c r="M250" s="23"/>
      <c r="N250" s="23"/>
      <c r="O250" s="56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ht="15.75" customHeight="1" x14ac:dyDescent="0.15">
      <c r="A251" s="56"/>
      <c r="B251" s="56"/>
      <c r="C251" s="23"/>
      <c r="D251" s="23"/>
      <c r="E251" s="23"/>
      <c r="F251" s="23"/>
      <c r="G251" s="23"/>
      <c r="H251" s="23"/>
      <c r="I251" s="23"/>
      <c r="J251" s="23"/>
      <c r="K251" s="56"/>
      <c r="L251" s="56"/>
      <c r="M251" s="23"/>
      <c r="N251" s="23"/>
      <c r="O251" s="56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ht="13" x14ac:dyDescent="0.15">
      <c r="A252" s="79"/>
      <c r="B252" s="79"/>
      <c r="K252" s="56"/>
      <c r="L252" s="79"/>
      <c r="O252" s="56"/>
    </row>
    <row r="253" spans="1:27" ht="13" x14ac:dyDescent="0.15">
      <c r="A253" s="79"/>
      <c r="B253" s="79"/>
      <c r="K253" s="56"/>
      <c r="L253" s="79"/>
      <c r="O253" s="56"/>
    </row>
    <row r="254" spans="1:27" ht="13" x14ac:dyDescent="0.15">
      <c r="A254" s="79"/>
      <c r="B254" s="79"/>
      <c r="K254" s="56"/>
      <c r="L254" s="79"/>
      <c r="O254" s="56"/>
    </row>
    <row r="255" spans="1:27" ht="13" x14ac:dyDescent="0.15">
      <c r="A255" s="79"/>
      <c r="B255" s="79"/>
      <c r="K255" s="56"/>
      <c r="L255" s="79"/>
      <c r="O255" s="56"/>
    </row>
    <row r="256" spans="1:27" ht="13" x14ac:dyDescent="0.15">
      <c r="A256" s="79"/>
      <c r="B256" s="79"/>
      <c r="K256" s="56"/>
      <c r="L256" s="79"/>
      <c r="O256" s="56"/>
    </row>
    <row r="257" spans="1:15" ht="13" x14ac:dyDescent="0.15">
      <c r="A257" s="79"/>
      <c r="B257" s="79"/>
      <c r="K257" s="56"/>
      <c r="L257" s="79"/>
      <c r="O257" s="56"/>
    </row>
    <row r="258" spans="1:15" ht="13" x14ac:dyDescent="0.15">
      <c r="A258" s="79"/>
      <c r="B258" s="79"/>
      <c r="K258" s="56"/>
      <c r="L258" s="79"/>
      <c r="O258" s="56"/>
    </row>
    <row r="259" spans="1:15" ht="13" x14ac:dyDescent="0.15">
      <c r="A259" s="79"/>
      <c r="B259" s="79"/>
      <c r="K259" s="56"/>
      <c r="L259" s="79"/>
      <c r="O259" s="56"/>
    </row>
    <row r="260" spans="1:15" ht="13" x14ac:dyDescent="0.15">
      <c r="A260" s="79"/>
      <c r="B260" s="79"/>
      <c r="K260" s="56"/>
      <c r="L260" s="79"/>
      <c r="O260" s="56"/>
    </row>
    <row r="261" spans="1:15" ht="13" x14ac:dyDescent="0.15">
      <c r="A261" s="79"/>
      <c r="B261" s="79"/>
      <c r="K261" s="56"/>
      <c r="L261" s="79"/>
      <c r="O261" s="56"/>
    </row>
    <row r="262" spans="1:15" ht="13" x14ac:dyDescent="0.15">
      <c r="A262" s="79"/>
      <c r="B262" s="79"/>
      <c r="K262" s="56"/>
      <c r="L262" s="79"/>
      <c r="O262" s="56"/>
    </row>
    <row r="263" spans="1:15" ht="13" x14ac:dyDescent="0.15">
      <c r="A263" s="79"/>
      <c r="B263" s="79"/>
      <c r="K263" s="56"/>
      <c r="L263" s="79"/>
      <c r="O263" s="56"/>
    </row>
    <row r="264" spans="1:15" ht="13" x14ac:dyDescent="0.15">
      <c r="A264" s="79"/>
      <c r="B264" s="79"/>
      <c r="K264" s="56"/>
      <c r="L264" s="79"/>
      <c r="O264" s="56"/>
    </row>
    <row r="265" spans="1:15" ht="13" x14ac:dyDescent="0.15">
      <c r="A265" s="79"/>
      <c r="B265" s="79"/>
      <c r="K265" s="56"/>
      <c r="L265" s="79"/>
      <c r="O265" s="56"/>
    </row>
    <row r="266" spans="1:15" ht="13" x14ac:dyDescent="0.15">
      <c r="A266" s="79"/>
      <c r="B266" s="79"/>
      <c r="K266" s="56"/>
      <c r="L266" s="79"/>
      <c r="O266" s="56"/>
    </row>
    <row r="267" spans="1:15" ht="13" x14ac:dyDescent="0.15">
      <c r="A267" s="79"/>
      <c r="B267" s="79"/>
      <c r="K267" s="56"/>
      <c r="L267" s="79"/>
      <c r="O267" s="56"/>
    </row>
    <row r="268" spans="1:15" ht="13" x14ac:dyDescent="0.15">
      <c r="A268" s="79"/>
      <c r="B268" s="79"/>
      <c r="K268" s="56"/>
      <c r="L268" s="79"/>
      <c r="O268" s="56"/>
    </row>
    <row r="269" spans="1:15" ht="13" x14ac:dyDescent="0.15">
      <c r="A269" s="79"/>
      <c r="B269" s="79"/>
      <c r="K269" s="56"/>
      <c r="L269" s="79"/>
      <c r="O269" s="56"/>
    </row>
    <row r="270" spans="1:15" ht="13" x14ac:dyDescent="0.15">
      <c r="A270" s="79"/>
      <c r="B270" s="79"/>
      <c r="K270" s="56"/>
      <c r="L270" s="79"/>
      <c r="O270" s="56"/>
    </row>
    <row r="271" spans="1:15" ht="13" x14ac:dyDescent="0.15">
      <c r="A271" s="79"/>
      <c r="B271" s="79"/>
      <c r="K271" s="56"/>
      <c r="L271" s="79"/>
      <c r="O271" s="56"/>
    </row>
    <row r="272" spans="1:15" ht="13" x14ac:dyDescent="0.15">
      <c r="A272" s="79"/>
      <c r="B272" s="79"/>
      <c r="K272" s="56"/>
      <c r="L272" s="79"/>
      <c r="O272" s="56"/>
    </row>
    <row r="273" spans="1:15" ht="13" x14ac:dyDescent="0.15">
      <c r="A273" s="79"/>
      <c r="B273" s="79"/>
      <c r="K273" s="56"/>
      <c r="L273" s="79"/>
      <c r="O273" s="56"/>
    </row>
    <row r="274" spans="1:15" ht="13" x14ac:dyDescent="0.15">
      <c r="A274" s="79"/>
      <c r="B274" s="79"/>
      <c r="K274" s="56"/>
      <c r="L274" s="79"/>
      <c r="O274" s="56"/>
    </row>
    <row r="275" spans="1:15" ht="13" x14ac:dyDescent="0.15">
      <c r="A275" s="79"/>
      <c r="B275" s="79"/>
      <c r="K275" s="56"/>
      <c r="L275" s="79"/>
      <c r="O275" s="56"/>
    </row>
    <row r="276" spans="1:15" ht="13" x14ac:dyDescent="0.15">
      <c r="A276" s="79"/>
      <c r="B276" s="79"/>
      <c r="K276" s="56"/>
      <c r="L276" s="79"/>
      <c r="O276" s="56"/>
    </row>
    <row r="277" spans="1:15" ht="13" x14ac:dyDescent="0.15">
      <c r="A277" s="79"/>
      <c r="B277" s="79"/>
      <c r="K277" s="56"/>
      <c r="L277" s="79"/>
      <c r="O277" s="56"/>
    </row>
    <row r="278" spans="1:15" ht="13" x14ac:dyDescent="0.15">
      <c r="A278" s="79"/>
      <c r="B278" s="79"/>
      <c r="K278" s="56"/>
      <c r="L278" s="79"/>
      <c r="O278" s="56"/>
    </row>
    <row r="279" spans="1:15" ht="13" x14ac:dyDescent="0.15">
      <c r="A279" s="79"/>
      <c r="B279" s="79"/>
      <c r="K279" s="56"/>
      <c r="L279" s="79"/>
      <c r="O279" s="56"/>
    </row>
    <row r="280" spans="1:15" ht="13" x14ac:dyDescent="0.15">
      <c r="A280" s="79"/>
      <c r="B280" s="79"/>
      <c r="K280" s="56"/>
      <c r="L280" s="79"/>
      <c r="O280" s="56"/>
    </row>
    <row r="281" spans="1:15" ht="13" x14ac:dyDescent="0.15">
      <c r="A281" s="79"/>
      <c r="B281" s="79"/>
      <c r="K281" s="56"/>
      <c r="L281" s="79"/>
      <c r="O281" s="56"/>
    </row>
    <row r="282" spans="1:15" ht="13" x14ac:dyDescent="0.15">
      <c r="A282" s="79"/>
      <c r="B282" s="79"/>
      <c r="K282" s="56"/>
      <c r="L282" s="79"/>
      <c r="O282" s="56"/>
    </row>
    <row r="283" spans="1:15" ht="13" x14ac:dyDescent="0.15">
      <c r="A283" s="79"/>
      <c r="B283" s="79"/>
      <c r="K283" s="56"/>
      <c r="L283" s="79"/>
      <c r="O283" s="56"/>
    </row>
    <row r="284" spans="1:15" ht="13" x14ac:dyDescent="0.15">
      <c r="A284" s="79"/>
      <c r="B284" s="79"/>
      <c r="K284" s="56"/>
      <c r="L284" s="79"/>
      <c r="O284" s="56"/>
    </row>
    <row r="285" spans="1:15" ht="13" x14ac:dyDescent="0.15">
      <c r="A285" s="79"/>
      <c r="B285" s="79"/>
      <c r="K285" s="56"/>
      <c r="L285" s="79"/>
      <c r="O285" s="56"/>
    </row>
    <row r="286" spans="1:15" ht="13" x14ac:dyDescent="0.15">
      <c r="A286" s="79"/>
      <c r="B286" s="79"/>
      <c r="K286" s="56"/>
      <c r="L286" s="79"/>
      <c r="O286" s="56"/>
    </row>
    <row r="287" spans="1:15" ht="13" x14ac:dyDescent="0.15">
      <c r="A287" s="79"/>
      <c r="B287" s="79"/>
      <c r="K287" s="56"/>
      <c r="L287" s="79"/>
      <c r="O287" s="56"/>
    </row>
    <row r="288" spans="1:15" ht="13" x14ac:dyDescent="0.15">
      <c r="A288" s="79"/>
      <c r="B288" s="79"/>
      <c r="K288" s="56"/>
      <c r="L288" s="79"/>
      <c r="O288" s="56"/>
    </row>
    <row r="289" spans="1:15" ht="13" x14ac:dyDescent="0.15">
      <c r="A289" s="79"/>
      <c r="B289" s="79"/>
      <c r="K289" s="56"/>
      <c r="L289" s="79"/>
      <c r="O289" s="56"/>
    </row>
    <row r="290" spans="1:15" ht="13" x14ac:dyDescent="0.15">
      <c r="A290" s="79"/>
      <c r="B290" s="79"/>
      <c r="K290" s="56"/>
      <c r="L290" s="79"/>
      <c r="O290" s="56"/>
    </row>
    <row r="291" spans="1:15" ht="13" x14ac:dyDescent="0.15">
      <c r="A291" s="79"/>
      <c r="B291" s="79"/>
      <c r="K291" s="56"/>
      <c r="L291" s="79"/>
      <c r="O291" s="56"/>
    </row>
    <row r="292" spans="1:15" ht="13" x14ac:dyDescent="0.15">
      <c r="A292" s="79"/>
      <c r="B292" s="79"/>
      <c r="K292" s="56"/>
      <c r="L292" s="79"/>
      <c r="O292" s="56"/>
    </row>
    <row r="293" spans="1:15" ht="13" x14ac:dyDescent="0.15">
      <c r="A293" s="79"/>
      <c r="B293" s="79"/>
      <c r="K293" s="56"/>
      <c r="L293" s="79"/>
      <c r="O293" s="56"/>
    </row>
    <row r="294" spans="1:15" ht="13" x14ac:dyDescent="0.15">
      <c r="A294" s="79"/>
      <c r="B294" s="79"/>
      <c r="K294" s="56"/>
      <c r="L294" s="79"/>
      <c r="O294" s="56"/>
    </row>
    <row r="295" spans="1:15" ht="13" x14ac:dyDescent="0.15">
      <c r="A295" s="79"/>
      <c r="B295" s="79"/>
      <c r="K295" s="56"/>
      <c r="L295" s="79"/>
      <c r="O295" s="56"/>
    </row>
    <row r="296" spans="1:15" ht="13" x14ac:dyDescent="0.15">
      <c r="A296" s="79"/>
      <c r="B296" s="79"/>
      <c r="K296" s="56"/>
      <c r="L296" s="79"/>
      <c r="O296" s="56"/>
    </row>
    <row r="297" spans="1:15" ht="13" x14ac:dyDescent="0.15">
      <c r="A297" s="79"/>
      <c r="B297" s="79"/>
      <c r="K297" s="56"/>
      <c r="L297" s="79"/>
      <c r="O297" s="56"/>
    </row>
    <row r="298" spans="1:15" ht="13" x14ac:dyDescent="0.15">
      <c r="A298" s="79"/>
      <c r="B298" s="79"/>
      <c r="K298" s="56"/>
      <c r="L298" s="79"/>
      <c r="O298" s="56"/>
    </row>
    <row r="299" spans="1:15" ht="13" x14ac:dyDescent="0.15">
      <c r="A299" s="79"/>
      <c r="B299" s="79"/>
      <c r="K299" s="56"/>
      <c r="L299" s="79"/>
      <c r="O299" s="56"/>
    </row>
    <row r="300" spans="1:15" ht="13" x14ac:dyDescent="0.15">
      <c r="A300" s="79"/>
      <c r="B300" s="79"/>
      <c r="K300" s="56"/>
      <c r="L300" s="79"/>
      <c r="O300" s="56"/>
    </row>
    <row r="301" spans="1:15" ht="13" x14ac:dyDescent="0.15">
      <c r="A301" s="79"/>
      <c r="B301" s="79"/>
      <c r="K301" s="56"/>
      <c r="L301" s="79"/>
      <c r="O301" s="56"/>
    </row>
    <row r="302" spans="1:15" ht="13" x14ac:dyDescent="0.15">
      <c r="A302" s="79"/>
      <c r="B302" s="79"/>
      <c r="K302" s="56"/>
      <c r="L302" s="79"/>
      <c r="O302" s="56"/>
    </row>
    <row r="303" spans="1:15" ht="13" x14ac:dyDescent="0.15">
      <c r="A303" s="79"/>
      <c r="B303" s="79"/>
      <c r="K303" s="56"/>
      <c r="L303" s="79"/>
      <c r="O303" s="56"/>
    </row>
    <row r="304" spans="1:15" ht="13" x14ac:dyDescent="0.15">
      <c r="A304" s="79"/>
      <c r="B304" s="79"/>
      <c r="K304" s="56"/>
      <c r="L304" s="79"/>
      <c r="O304" s="56"/>
    </row>
    <row r="305" spans="1:15" ht="13" x14ac:dyDescent="0.15">
      <c r="A305" s="79"/>
      <c r="B305" s="79"/>
      <c r="K305" s="56"/>
      <c r="L305" s="79"/>
      <c r="O305" s="56"/>
    </row>
    <row r="306" spans="1:15" ht="13" x14ac:dyDescent="0.15">
      <c r="A306" s="79"/>
      <c r="B306" s="79"/>
      <c r="K306" s="56"/>
      <c r="L306" s="79"/>
      <c r="O306" s="56"/>
    </row>
    <row r="307" spans="1:15" ht="13" x14ac:dyDescent="0.15">
      <c r="A307" s="79"/>
      <c r="B307" s="79"/>
      <c r="K307" s="56"/>
      <c r="L307" s="79"/>
      <c r="O307" s="56"/>
    </row>
    <row r="308" spans="1:15" ht="13" x14ac:dyDescent="0.15">
      <c r="A308" s="79"/>
      <c r="B308" s="79"/>
      <c r="K308" s="56"/>
      <c r="L308" s="79"/>
      <c r="O308" s="56"/>
    </row>
    <row r="309" spans="1:15" ht="13" x14ac:dyDescent="0.15">
      <c r="A309" s="79"/>
      <c r="B309" s="79"/>
      <c r="K309" s="56"/>
      <c r="L309" s="79"/>
      <c r="O309" s="56"/>
    </row>
    <row r="310" spans="1:15" ht="13" x14ac:dyDescent="0.15">
      <c r="A310" s="79"/>
      <c r="B310" s="79"/>
      <c r="K310" s="56"/>
      <c r="L310" s="79"/>
      <c r="O310" s="56"/>
    </row>
    <row r="311" spans="1:15" ht="13" x14ac:dyDescent="0.15">
      <c r="A311" s="79"/>
      <c r="B311" s="79"/>
      <c r="K311" s="56"/>
      <c r="L311" s="79"/>
      <c r="O311" s="56"/>
    </row>
    <row r="312" spans="1:15" ht="13" x14ac:dyDescent="0.15">
      <c r="A312" s="79"/>
      <c r="B312" s="79"/>
      <c r="K312" s="56"/>
      <c r="L312" s="79"/>
      <c r="O312" s="56"/>
    </row>
    <row r="313" spans="1:15" ht="13" x14ac:dyDescent="0.15">
      <c r="A313" s="79"/>
      <c r="B313" s="79"/>
      <c r="K313" s="56"/>
      <c r="L313" s="79"/>
      <c r="O313" s="56"/>
    </row>
    <row r="314" spans="1:15" ht="13" x14ac:dyDescent="0.15">
      <c r="A314" s="79"/>
      <c r="B314" s="79"/>
      <c r="K314" s="56"/>
      <c r="L314" s="79"/>
      <c r="O314" s="56"/>
    </row>
    <row r="315" spans="1:15" ht="13" x14ac:dyDescent="0.15">
      <c r="A315" s="79"/>
      <c r="B315" s="79"/>
      <c r="K315" s="56"/>
      <c r="L315" s="79"/>
      <c r="O315" s="56"/>
    </row>
    <row r="316" spans="1:15" ht="13" x14ac:dyDescent="0.15">
      <c r="A316" s="79"/>
      <c r="B316" s="79"/>
      <c r="K316" s="56"/>
      <c r="L316" s="79"/>
      <c r="O316" s="56"/>
    </row>
    <row r="317" spans="1:15" ht="13" x14ac:dyDescent="0.15">
      <c r="A317" s="79"/>
      <c r="B317" s="79"/>
      <c r="K317" s="56"/>
      <c r="L317" s="79"/>
      <c r="O317" s="56"/>
    </row>
    <row r="318" spans="1:15" ht="13" x14ac:dyDescent="0.15">
      <c r="A318" s="79"/>
      <c r="B318" s="79"/>
      <c r="K318" s="56"/>
      <c r="L318" s="79"/>
      <c r="O318" s="56"/>
    </row>
    <row r="319" spans="1:15" ht="13" x14ac:dyDescent="0.15">
      <c r="A319" s="79"/>
      <c r="B319" s="79"/>
      <c r="K319" s="56"/>
      <c r="L319" s="79"/>
      <c r="O319" s="56"/>
    </row>
    <row r="320" spans="1:15" ht="13" x14ac:dyDescent="0.15">
      <c r="A320" s="79"/>
      <c r="B320" s="79"/>
      <c r="K320" s="56"/>
      <c r="L320" s="79"/>
      <c r="O320" s="56"/>
    </row>
    <row r="321" spans="1:15" ht="13" x14ac:dyDescent="0.15">
      <c r="A321" s="79"/>
      <c r="B321" s="79"/>
      <c r="K321" s="56"/>
      <c r="L321" s="79"/>
      <c r="O321" s="56"/>
    </row>
    <row r="322" spans="1:15" ht="13" x14ac:dyDescent="0.15">
      <c r="A322" s="79"/>
      <c r="B322" s="79"/>
      <c r="K322" s="56"/>
      <c r="L322" s="79"/>
      <c r="O322" s="56"/>
    </row>
    <row r="323" spans="1:15" ht="13" x14ac:dyDescent="0.15">
      <c r="A323" s="79"/>
      <c r="B323" s="79"/>
      <c r="K323" s="56"/>
      <c r="L323" s="79"/>
      <c r="O323" s="56"/>
    </row>
    <row r="324" spans="1:15" ht="13" x14ac:dyDescent="0.15">
      <c r="A324" s="79"/>
      <c r="B324" s="79"/>
      <c r="K324" s="56"/>
      <c r="L324" s="79"/>
      <c r="O324" s="56"/>
    </row>
    <row r="325" spans="1:15" ht="13" x14ac:dyDescent="0.15">
      <c r="A325" s="79"/>
      <c r="B325" s="79"/>
      <c r="K325" s="56"/>
      <c r="L325" s="79"/>
      <c r="O325" s="56"/>
    </row>
    <row r="326" spans="1:15" ht="13" x14ac:dyDescent="0.15">
      <c r="A326" s="79"/>
      <c r="B326" s="79"/>
      <c r="K326" s="56"/>
      <c r="L326" s="79"/>
      <c r="O326" s="56"/>
    </row>
    <row r="327" spans="1:15" ht="13" x14ac:dyDescent="0.15">
      <c r="A327" s="79"/>
      <c r="B327" s="79"/>
      <c r="K327" s="56"/>
      <c r="L327" s="79"/>
      <c r="O327" s="56"/>
    </row>
    <row r="328" spans="1:15" ht="13" x14ac:dyDescent="0.15">
      <c r="A328" s="79"/>
      <c r="B328" s="79"/>
      <c r="K328" s="56"/>
      <c r="L328" s="79"/>
      <c r="O328" s="56"/>
    </row>
    <row r="329" spans="1:15" ht="13" x14ac:dyDescent="0.15">
      <c r="A329" s="79"/>
      <c r="B329" s="79"/>
      <c r="K329" s="56"/>
      <c r="L329" s="79"/>
      <c r="O329" s="56"/>
    </row>
    <row r="330" spans="1:15" ht="13" x14ac:dyDescent="0.15">
      <c r="A330" s="79"/>
      <c r="B330" s="79"/>
      <c r="K330" s="56"/>
      <c r="L330" s="79"/>
      <c r="O330" s="56"/>
    </row>
    <row r="331" spans="1:15" ht="13" x14ac:dyDescent="0.15">
      <c r="A331" s="79"/>
      <c r="B331" s="79"/>
      <c r="K331" s="56"/>
      <c r="L331" s="79"/>
      <c r="O331" s="56"/>
    </row>
    <row r="332" spans="1:15" ht="13" x14ac:dyDescent="0.15">
      <c r="A332" s="79"/>
      <c r="B332" s="79"/>
      <c r="K332" s="56"/>
      <c r="L332" s="79"/>
      <c r="O332" s="56"/>
    </row>
    <row r="333" spans="1:15" ht="13" x14ac:dyDescent="0.15">
      <c r="A333" s="79"/>
      <c r="B333" s="79"/>
      <c r="K333" s="56"/>
      <c r="L333" s="79"/>
      <c r="O333" s="56"/>
    </row>
    <row r="334" spans="1:15" ht="13" x14ac:dyDescent="0.15">
      <c r="A334" s="79"/>
      <c r="B334" s="79"/>
      <c r="K334" s="56"/>
      <c r="L334" s="79"/>
      <c r="O334" s="56"/>
    </row>
    <row r="335" spans="1:15" ht="13" x14ac:dyDescent="0.15">
      <c r="A335" s="79"/>
      <c r="B335" s="79"/>
      <c r="K335" s="56"/>
      <c r="L335" s="79"/>
      <c r="O335" s="56"/>
    </row>
    <row r="336" spans="1:15" ht="13" x14ac:dyDescent="0.15">
      <c r="A336" s="79"/>
      <c r="B336" s="79"/>
      <c r="K336" s="56"/>
      <c r="L336" s="79"/>
      <c r="O336" s="56"/>
    </row>
    <row r="337" spans="1:15" ht="13" x14ac:dyDescent="0.15">
      <c r="A337" s="79"/>
      <c r="B337" s="79"/>
      <c r="K337" s="56"/>
      <c r="L337" s="79"/>
      <c r="O337" s="56"/>
    </row>
    <row r="338" spans="1:15" ht="13" x14ac:dyDescent="0.15">
      <c r="A338" s="79"/>
      <c r="B338" s="79"/>
      <c r="K338" s="56"/>
      <c r="L338" s="79"/>
      <c r="O338" s="56"/>
    </row>
    <row r="339" spans="1:15" ht="13" x14ac:dyDescent="0.15">
      <c r="A339" s="79"/>
      <c r="B339" s="79"/>
      <c r="K339" s="56"/>
      <c r="L339" s="79"/>
      <c r="O339" s="56"/>
    </row>
    <row r="340" spans="1:15" ht="13" x14ac:dyDescent="0.15">
      <c r="A340" s="79"/>
      <c r="B340" s="79"/>
      <c r="K340" s="56"/>
      <c r="L340" s="79"/>
      <c r="O340" s="56"/>
    </row>
    <row r="341" spans="1:15" ht="13" x14ac:dyDescent="0.15">
      <c r="A341" s="79"/>
      <c r="B341" s="79"/>
      <c r="K341" s="56"/>
      <c r="L341" s="79"/>
      <c r="O341" s="56"/>
    </row>
    <row r="342" spans="1:15" ht="13" x14ac:dyDescent="0.15">
      <c r="A342" s="79"/>
      <c r="B342" s="79"/>
      <c r="K342" s="56"/>
      <c r="L342" s="79"/>
      <c r="O342" s="56"/>
    </row>
    <row r="343" spans="1:15" ht="13" x14ac:dyDescent="0.15">
      <c r="A343" s="79"/>
      <c r="B343" s="79"/>
      <c r="K343" s="56"/>
      <c r="L343" s="79"/>
      <c r="O343" s="56"/>
    </row>
    <row r="344" spans="1:15" ht="13" x14ac:dyDescent="0.15">
      <c r="A344" s="79"/>
      <c r="B344" s="79"/>
      <c r="K344" s="56"/>
      <c r="L344" s="79"/>
      <c r="O344" s="56"/>
    </row>
    <row r="345" spans="1:15" ht="13" x14ac:dyDescent="0.15">
      <c r="A345" s="79"/>
      <c r="B345" s="79"/>
      <c r="K345" s="56"/>
      <c r="L345" s="79"/>
      <c r="O345" s="56"/>
    </row>
    <row r="346" spans="1:15" ht="13" x14ac:dyDescent="0.15">
      <c r="A346" s="79"/>
      <c r="B346" s="79"/>
      <c r="K346" s="56"/>
      <c r="L346" s="79"/>
      <c r="O346" s="56"/>
    </row>
    <row r="347" spans="1:15" ht="13" x14ac:dyDescent="0.15">
      <c r="A347" s="79"/>
      <c r="B347" s="79"/>
      <c r="K347" s="56"/>
      <c r="L347" s="79"/>
      <c r="O347" s="56"/>
    </row>
    <row r="348" spans="1:15" ht="13" x14ac:dyDescent="0.15">
      <c r="A348" s="79"/>
      <c r="B348" s="79"/>
      <c r="K348" s="56"/>
      <c r="L348" s="79"/>
      <c r="O348" s="56"/>
    </row>
    <row r="349" spans="1:15" ht="13" x14ac:dyDescent="0.15">
      <c r="A349" s="79"/>
      <c r="B349" s="79"/>
      <c r="K349" s="56"/>
      <c r="L349" s="79"/>
      <c r="O349" s="56"/>
    </row>
    <row r="350" spans="1:15" ht="13" x14ac:dyDescent="0.15">
      <c r="A350" s="79"/>
      <c r="B350" s="79"/>
      <c r="K350" s="56"/>
      <c r="L350" s="79"/>
      <c r="O350" s="56"/>
    </row>
    <row r="351" spans="1:15" ht="13" x14ac:dyDescent="0.15">
      <c r="A351" s="79"/>
      <c r="B351" s="79"/>
      <c r="K351" s="56"/>
      <c r="L351" s="79"/>
      <c r="O351" s="56"/>
    </row>
    <row r="352" spans="1:15" ht="13" x14ac:dyDescent="0.15">
      <c r="A352" s="79"/>
      <c r="B352" s="79"/>
      <c r="K352" s="56"/>
      <c r="L352" s="79"/>
      <c r="O352" s="56"/>
    </row>
    <row r="353" spans="1:15" ht="13" x14ac:dyDescent="0.15">
      <c r="A353" s="79"/>
      <c r="B353" s="79"/>
      <c r="K353" s="56"/>
      <c r="L353" s="79"/>
      <c r="O353" s="56"/>
    </row>
    <row r="354" spans="1:15" ht="13" x14ac:dyDescent="0.15">
      <c r="A354" s="79"/>
      <c r="B354" s="79"/>
      <c r="K354" s="56"/>
      <c r="L354" s="79"/>
      <c r="O354" s="56"/>
    </row>
    <row r="355" spans="1:15" ht="13" x14ac:dyDescent="0.15">
      <c r="A355" s="79"/>
      <c r="B355" s="79"/>
      <c r="K355" s="56"/>
      <c r="L355" s="79"/>
      <c r="O355" s="56"/>
    </row>
    <row r="356" spans="1:15" ht="13" x14ac:dyDescent="0.15">
      <c r="A356" s="79"/>
      <c r="B356" s="79"/>
      <c r="K356" s="56"/>
      <c r="L356" s="79"/>
      <c r="O356" s="56"/>
    </row>
    <row r="357" spans="1:15" ht="13" x14ac:dyDescent="0.15">
      <c r="A357" s="79"/>
      <c r="B357" s="79"/>
      <c r="K357" s="56"/>
      <c r="L357" s="79"/>
      <c r="O357" s="56"/>
    </row>
    <row r="358" spans="1:15" ht="13" x14ac:dyDescent="0.15">
      <c r="A358" s="79"/>
      <c r="B358" s="79"/>
      <c r="K358" s="56"/>
      <c r="L358" s="79"/>
      <c r="O358" s="56"/>
    </row>
    <row r="359" spans="1:15" ht="13" x14ac:dyDescent="0.15">
      <c r="A359" s="79"/>
      <c r="B359" s="79"/>
      <c r="K359" s="56"/>
      <c r="L359" s="79"/>
      <c r="O359" s="56"/>
    </row>
    <row r="360" spans="1:15" ht="13" x14ac:dyDescent="0.15">
      <c r="A360" s="79"/>
      <c r="B360" s="79"/>
      <c r="K360" s="56"/>
      <c r="L360" s="79"/>
      <c r="O360" s="56"/>
    </row>
    <row r="361" spans="1:15" ht="13" x14ac:dyDescent="0.15">
      <c r="A361" s="79"/>
      <c r="B361" s="79"/>
      <c r="K361" s="56"/>
      <c r="L361" s="79"/>
      <c r="O361" s="56"/>
    </row>
    <row r="362" spans="1:15" ht="13" x14ac:dyDescent="0.15">
      <c r="A362" s="79"/>
      <c r="B362" s="79"/>
      <c r="K362" s="56"/>
      <c r="L362" s="79"/>
      <c r="O362" s="56"/>
    </row>
    <row r="363" spans="1:15" ht="13" x14ac:dyDescent="0.15">
      <c r="A363" s="79"/>
      <c r="B363" s="79"/>
      <c r="K363" s="56"/>
      <c r="L363" s="79"/>
      <c r="O363" s="56"/>
    </row>
    <row r="364" spans="1:15" ht="13" x14ac:dyDescent="0.15">
      <c r="A364" s="79"/>
      <c r="B364" s="79"/>
      <c r="K364" s="56"/>
      <c r="L364" s="79"/>
      <c r="O364" s="56"/>
    </row>
    <row r="365" spans="1:15" ht="13" x14ac:dyDescent="0.15">
      <c r="A365" s="79"/>
      <c r="B365" s="79"/>
      <c r="K365" s="56"/>
      <c r="L365" s="79"/>
      <c r="O365" s="56"/>
    </row>
    <row r="366" spans="1:15" ht="13" x14ac:dyDescent="0.15">
      <c r="A366" s="79"/>
      <c r="B366" s="79"/>
      <c r="K366" s="56"/>
      <c r="L366" s="79"/>
      <c r="O366" s="56"/>
    </row>
    <row r="367" spans="1:15" ht="13" x14ac:dyDescent="0.15">
      <c r="A367" s="79"/>
      <c r="B367" s="79"/>
      <c r="K367" s="56"/>
      <c r="L367" s="79"/>
      <c r="O367" s="56"/>
    </row>
    <row r="368" spans="1:15" ht="13" x14ac:dyDescent="0.15">
      <c r="A368" s="79"/>
      <c r="B368" s="79"/>
      <c r="K368" s="56"/>
      <c r="L368" s="79"/>
      <c r="O368" s="56"/>
    </row>
    <row r="369" spans="1:15" ht="13" x14ac:dyDescent="0.15">
      <c r="A369" s="79"/>
      <c r="B369" s="79"/>
      <c r="K369" s="56"/>
      <c r="L369" s="79"/>
      <c r="O369" s="56"/>
    </row>
    <row r="370" spans="1:15" ht="13" x14ac:dyDescent="0.15">
      <c r="A370" s="79"/>
      <c r="B370" s="79"/>
      <c r="K370" s="56"/>
      <c r="L370" s="79"/>
      <c r="O370" s="56"/>
    </row>
    <row r="371" spans="1:15" ht="13" x14ac:dyDescent="0.15">
      <c r="A371" s="79"/>
      <c r="B371" s="79"/>
      <c r="K371" s="56"/>
      <c r="L371" s="79"/>
      <c r="O371" s="56"/>
    </row>
    <row r="372" spans="1:15" ht="13" x14ac:dyDescent="0.15">
      <c r="A372" s="79"/>
      <c r="B372" s="79"/>
      <c r="K372" s="56"/>
      <c r="L372" s="79"/>
      <c r="O372" s="56"/>
    </row>
    <row r="373" spans="1:15" ht="13" x14ac:dyDescent="0.15">
      <c r="A373" s="79"/>
      <c r="B373" s="79"/>
      <c r="K373" s="56"/>
      <c r="L373" s="79"/>
      <c r="O373" s="56"/>
    </row>
    <row r="374" spans="1:15" ht="13" x14ac:dyDescent="0.15">
      <c r="A374" s="79"/>
      <c r="B374" s="79"/>
      <c r="K374" s="56"/>
      <c r="L374" s="79"/>
      <c r="O374" s="56"/>
    </row>
    <row r="375" spans="1:15" ht="13" x14ac:dyDescent="0.15">
      <c r="A375" s="79"/>
      <c r="B375" s="79"/>
      <c r="K375" s="56"/>
      <c r="L375" s="79"/>
      <c r="O375" s="56"/>
    </row>
    <row r="376" spans="1:15" ht="13" x14ac:dyDescent="0.15">
      <c r="A376" s="79"/>
      <c r="B376" s="79"/>
      <c r="K376" s="56"/>
      <c r="L376" s="79"/>
      <c r="O376" s="56"/>
    </row>
    <row r="377" spans="1:15" ht="13" x14ac:dyDescent="0.15">
      <c r="A377" s="79"/>
      <c r="B377" s="79"/>
      <c r="K377" s="56"/>
      <c r="L377" s="79"/>
      <c r="O377" s="56"/>
    </row>
    <row r="378" spans="1:15" ht="13" x14ac:dyDescent="0.15">
      <c r="A378" s="79"/>
      <c r="B378" s="79"/>
      <c r="K378" s="56"/>
      <c r="L378" s="79"/>
      <c r="O378" s="56"/>
    </row>
    <row r="379" spans="1:15" ht="13" x14ac:dyDescent="0.15">
      <c r="A379" s="79"/>
      <c r="B379" s="79"/>
      <c r="K379" s="56"/>
      <c r="L379" s="79"/>
      <c r="O379" s="56"/>
    </row>
    <row r="380" spans="1:15" ht="13" x14ac:dyDescent="0.15">
      <c r="A380" s="79"/>
      <c r="B380" s="79"/>
      <c r="K380" s="56"/>
      <c r="L380" s="79"/>
      <c r="O380" s="56"/>
    </row>
    <row r="381" spans="1:15" ht="13" x14ac:dyDescent="0.15">
      <c r="A381" s="79"/>
      <c r="B381" s="79"/>
      <c r="K381" s="56"/>
      <c r="L381" s="79"/>
      <c r="O381" s="56"/>
    </row>
    <row r="382" spans="1:15" ht="13" x14ac:dyDescent="0.15">
      <c r="A382" s="79"/>
      <c r="B382" s="79"/>
      <c r="K382" s="56"/>
      <c r="L382" s="79"/>
      <c r="O382" s="56"/>
    </row>
    <row r="383" spans="1:15" ht="13" x14ac:dyDescent="0.15">
      <c r="A383" s="79"/>
      <c r="B383" s="79"/>
      <c r="K383" s="56"/>
      <c r="L383" s="79"/>
      <c r="O383" s="56"/>
    </row>
    <row r="384" spans="1:15" ht="13" x14ac:dyDescent="0.15">
      <c r="A384" s="79"/>
      <c r="B384" s="79"/>
      <c r="K384" s="56"/>
      <c r="L384" s="79"/>
      <c r="O384" s="56"/>
    </row>
    <row r="385" spans="1:15" ht="13" x14ac:dyDescent="0.15">
      <c r="A385" s="79"/>
      <c r="B385" s="79"/>
      <c r="K385" s="56"/>
      <c r="L385" s="79"/>
      <c r="O385" s="56"/>
    </row>
    <row r="386" spans="1:15" ht="13" x14ac:dyDescent="0.15">
      <c r="A386" s="79"/>
      <c r="B386" s="79"/>
      <c r="K386" s="56"/>
      <c r="L386" s="79"/>
      <c r="O386" s="56"/>
    </row>
    <row r="387" spans="1:15" ht="13" x14ac:dyDescent="0.15">
      <c r="A387" s="79"/>
      <c r="B387" s="79"/>
      <c r="K387" s="56"/>
      <c r="L387" s="79"/>
      <c r="O387" s="56"/>
    </row>
    <row r="388" spans="1:15" ht="13" x14ac:dyDescent="0.15">
      <c r="A388" s="79"/>
      <c r="B388" s="79"/>
      <c r="K388" s="56"/>
      <c r="L388" s="79"/>
      <c r="O388" s="56"/>
    </row>
    <row r="389" spans="1:15" ht="13" x14ac:dyDescent="0.15">
      <c r="A389" s="79"/>
      <c r="B389" s="79"/>
      <c r="K389" s="56"/>
      <c r="L389" s="79"/>
      <c r="O389" s="56"/>
    </row>
    <row r="390" spans="1:15" ht="13" x14ac:dyDescent="0.15">
      <c r="A390" s="79"/>
      <c r="B390" s="79"/>
      <c r="K390" s="56"/>
      <c r="L390" s="79"/>
      <c r="O390" s="56"/>
    </row>
    <row r="391" spans="1:15" ht="13" x14ac:dyDescent="0.15">
      <c r="A391" s="79"/>
      <c r="B391" s="79"/>
      <c r="K391" s="56"/>
      <c r="L391" s="79"/>
      <c r="O391" s="56"/>
    </row>
    <row r="392" spans="1:15" ht="13" x14ac:dyDescent="0.15">
      <c r="A392" s="79"/>
      <c r="B392" s="79"/>
      <c r="K392" s="56"/>
      <c r="L392" s="79"/>
      <c r="O392" s="56"/>
    </row>
    <row r="393" spans="1:15" ht="13" x14ac:dyDescent="0.15">
      <c r="A393" s="79"/>
      <c r="B393" s="79"/>
      <c r="K393" s="56"/>
      <c r="L393" s="79"/>
      <c r="O393" s="56"/>
    </row>
    <row r="394" spans="1:15" ht="13" x14ac:dyDescent="0.15">
      <c r="A394" s="79"/>
      <c r="B394" s="79"/>
      <c r="K394" s="56"/>
      <c r="L394" s="79"/>
      <c r="O394" s="56"/>
    </row>
    <row r="395" spans="1:15" ht="13" x14ac:dyDescent="0.15">
      <c r="A395" s="79"/>
      <c r="B395" s="79"/>
      <c r="K395" s="56"/>
      <c r="L395" s="79"/>
      <c r="O395" s="56"/>
    </row>
    <row r="396" spans="1:15" ht="13" x14ac:dyDescent="0.15">
      <c r="A396" s="79"/>
      <c r="B396" s="79"/>
      <c r="K396" s="56"/>
      <c r="L396" s="79"/>
      <c r="O396" s="56"/>
    </row>
    <row r="397" spans="1:15" ht="13" x14ac:dyDescent="0.15">
      <c r="A397" s="79"/>
      <c r="B397" s="79"/>
      <c r="K397" s="56"/>
      <c r="L397" s="79"/>
      <c r="O397" s="56"/>
    </row>
    <row r="398" spans="1:15" ht="13" x14ac:dyDescent="0.15">
      <c r="A398" s="79"/>
      <c r="B398" s="79"/>
      <c r="K398" s="56"/>
      <c r="L398" s="79"/>
      <c r="O398" s="56"/>
    </row>
    <row r="399" spans="1:15" ht="13" x14ac:dyDescent="0.15">
      <c r="A399" s="79"/>
      <c r="B399" s="79"/>
      <c r="K399" s="56"/>
      <c r="L399" s="79"/>
      <c r="O399" s="56"/>
    </row>
    <row r="400" spans="1:15" ht="13" x14ac:dyDescent="0.15">
      <c r="A400" s="79"/>
      <c r="B400" s="79"/>
      <c r="K400" s="56"/>
      <c r="L400" s="79"/>
      <c r="O400" s="56"/>
    </row>
    <row r="401" spans="1:15" ht="13" x14ac:dyDescent="0.15">
      <c r="A401" s="79"/>
      <c r="B401" s="79"/>
      <c r="K401" s="56"/>
      <c r="L401" s="79"/>
      <c r="O401" s="56"/>
    </row>
    <row r="402" spans="1:15" ht="13" x14ac:dyDescent="0.15">
      <c r="A402" s="79"/>
      <c r="B402" s="79"/>
      <c r="K402" s="56"/>
      <c r="L402" s="79"/>
      <c r="O402" s="56"/>
    </row>
    <row r="403" spans="1:15" ht="13" x14ac:dyDescent="0.15">
      <c r="A403" s="79"/>
      <c r="B403" s="79"/>
      <c r="K403" s="56"/>
      <c r="L403" s="79"/>
      <c r="O403" s="56"/>
    </row>
    <row r="404" spans="1:15" ht="13" x14ac:dyDescent="0.15">
      <c r="A404" s="79"/>
      <c r="B404" s="79"/>
      <c r="K404" s="56"/>
      <c r="L404" s="79"/>
      <c r="O404" s="56"/>
    </row>
    <row r="405" spans="1:15" ht="13" x14ac:dyDescent="0.15">
      <c r="A405" s="79"/>
      <c r="B405" s="79"/>
      <c r="K405" s="56"/>
      <c r="L405" s="79"/>
      <c r="O405" s="56"/>
    </row>
    <row r="406" spans="1:15" ht="13" x14ac:dyDescent="0.15">
      <c r="A406" s="79"/>
      <c r="B406" s="79"/>
      <c r="K406" s="56"/>
      <c r="L406" s="79"/>
      <c r="O406" s="56"/>
    </row>
    <row r="407" spans="1:15" ht="13" x14ac:dyDescent="0.15">
      <c r="A407" s="79"/>
      <c r="B407" s="79"/>
      <c r="K407" s="56"/>
      <c r="L407" s="79"/>
      <c r="O407" s="56"/>
    </row>
    <row r="408" spans="1:15" ht="13" x14ac:dyDescent="0.15">
      <c r="A408" s="79"/>
      <c r="B408" s="79"/>
      <c r="K408" s="56"/>
      <c r="L408" s="79"/>
      <c r="O408" s="56"/>
    </row>
    <row r="409" spans="1:15" ht="13" x14ac:dyDescent="0.15">
      <c r="A409" s="79"/>
      <c r="B409" s="79"/>
      <c r="K409" s="56"/>
      <c r="L409" s="79"/>
      <c r="O409" s="56"/>
    </row>
    <row r="410" spans="1:15" ht="13" x14ac:dyDescent="0.15">
      <c r="A410" s="79"/>
      <c r="B410" s="79"/>
      <c r="K410" s="56"/>
      <c r="L410" s="79"/>
      <c r="O410" s="56"/>
    </row>
    <row r="411" spans="1:15" ht="13" x14ac:dyDescent="0.15">
      <c r="A411" s="79"/>
      <c r="B411" s="79"/>
      <c r="K411" s="56"/>
      <c r="L411" s="79"/>
      <c r="O411" s="56"/>
    </row>
    <row r="412" spans="1:15" ht="13" x14ac:dyDescent="0.15">
      <c r="A412" s="79"/>
      <c r="B412" s="79"/>
      <c r="K412" s="56"/>
      <c r="L412" s="79"/>
      <c r="O412" s="56"/>
    </row>
    <row r="413" spans="1:15" ht="13" x14ac:dyDescent="0.15">
      <c r="A413" s="79"/>
      <c r="B413" s="79"/>
      <c r="K413" s="56"/>
      <c r="L413" s="79"/>
      <c r="O413" s="56"/>
    </row>
    <row r="414" spans="1:15" ht="13" x14ac:dyDescent="0.15">
      <c r="A414" s="79"/>
      <c r="B414" s="79"/>
      <c r="K414" s="56"/>
      <c r="L414" s="79"/>
      <c r="O414" s="56"/>
    </row>
    <row r="415" spans="1:15" ht="13" x14ac:dyDescent="0.15">
      <c r="A415" s="79"/>
      <c r="B415" s="79"/>
      <c r="K415" s="56"/>
      <c r="L415" s="79"/>
      <c r="O415" s="56"/>
    </row>
    <row r="416" spans="1:15" ht="13" x14ac:dyDescent="0.15">
      <c r="A416" s="79"/>
      <c r="B416" s="79"/>
      <c r="K416" s="56"/>
      <c r="L416" s="79"/>
      <c r="O416" s="56"/>
    </row>
    <row r="417" spans="1:15" ht="13" x14ac:dyDescent="0.15">
      <c r="A417" s="79"/>
      <c r="B417" s="79"/>
      <c r="K417" s="56"/>
      <c r="L417" s="79"/>
      <c r="O417" s="56"/>
    </row>
    <row r="418" spans="1:15" ht="13" x14ac:dyDescent="0.15">
      <c r="A418" s="79"/>
      <c r="B418" s="79"/>
      <c r="K418" s="56"/>
      <c r="L418" s="79"/>
      <c r="O418" s="56"/>
    </row>
    <row r="419" spans="1:15" ht="13" x14ac:dyDescent="0.15">
      <c r="A419" s="79"/>
      <c r="B419" s="79"/>
      <c r="K419" s="56"/>
      <c r="L419" s="79"/>
      <c r="O419" s="56"/>
    </row>
    <row r="420" spans="1:15" ht="13" x14ac:dyDescent="0.15">
      <c r="A420" s="79"/>
      <c r="B420" s="79"/>
      <c r="K420" s="56"/>
      <c r="L420" s="79"/>
      <c r="O420" s="56"/>
    </row>
    <row r="421" spans="1:15" ht="13" x14ac:dyDescent="0.15">
      <c r="A421" s="79"/>
      <c r="B421" s="79"/>
      <c r="K421" s="56"/>
      <c r="L421" s="79"/>
      <c r="O421" s="56"/>
    </row>
    <row r="422" spans="1:15" ht="13" x14ac:dyDescent="0.15">
      <c r="A422" s="79"/>
      <c r="B422" s="79"/>
      <c r="K422" s="56"/>
      <c r="L422" s="79"/>
      <c r="O422" s="56"/>
    </row>
    <row r="423" spans="1:15" ht="13" x14ac:dyDescent="0.15">
      <c r="A423" s="79"/>
      <c r="B423" s="79"/>
      <c r="K423" s="56"/>
      <c r="L423" s="79"/>
      <c r="O423" s="56"/>
    </row>
    <row r="424" spans="1:15" ht="13" x14ac:dyDescent="0.15">
      <c r="A424" s="79"/>
      <c r="B424" s="79"/>
      <c r="K424" s="56"/>
      <c r="L424" s="79"/>
      <c r="O424" s="56"/>
    </row>
    <row r="425" spans="1:15" ht="13" x14ac:dyDescent="0.15">
      <c r="A425" s="79"/>
      <c r="B425" s="79"/>
      <c r="K425" s="56"/>
      <c r="L425" s="79"/>
      <c r="O425" s="56"/>
    </row>
    <row r="426" spans="1:15" ht="13" x14ac:dyDescent="0.15">
      <c r="A426" s="79"/>
      <c r="B426" s="79"/>
      <c r="K426" s="56"/>
      <c r="L426" s="79"/>
      <c r="O426" s="56"/>
    </row>
    <row r="427" spans="1:15" ht="13" x14ac:dyDescent="0.15">
      <c r="A427" s="79"/>
      <c r="B427" s="79"/>
      <c r="K427" s="56"/>
      <c r="L427" s="79"/>
      <c r="O427" s="56"/>
    </row>
    <row r="428" spans="1:15" ht="13" x14ac:dyDescent="0.15">
      <c r="A428" s="79"/>
      <c r="B428" s="79"/>
      <c r="K428" s="56"/>
      <c r="L428" s="79"/>
      <c r="O428" s="56"/>
    </row>
    <row r="429" spans="1:15" ht="13" x14ac:dyDescent="0.15">
      <c r="A429" s="79"/>
      <c r="B429" s="79"/>
      <c r="K429" s="56"/>
      <c r="L429" s="79"/>
      <c r="O429" s="56"/>
    </row>
    <row r="430" spans="1:15" ht="13" x14ac:dyDescent="0.15">
      <c r="A430" s="79"/>
      <c r="B430" s="79"/>
      <c r="K430" s="56"/>
      <c r="L430" s="79"/>
      <c r="O430" s="56"/>
    </row>
    <row r="431" spans="1:15" ht="13" x14ac:dyDescent="0.15">
      <c r="A431" s="79"/>
      <c r="B431" s="79"/>
      <c r="K431" s="56"/>
      <c r="L431" s="79"/>
      <c r="O431" s="56"/>
    </row>
    <row r="432" spans="1:15" ht="13" x14ac:dyDescent="0.15">
      <c r="A432" s="79"/>
      <c r="B432" s="79"/>
      <c r="K432" s="56"/>
      <c r="L432" s="79"/>
      <c r="O432" s="56"/>
    </row>
    <row r="433" spans="1:15" ht="13" x14ac:dyDescent="0.15">
      <c r="A433" s="79"/>
      <c r="B433" s="79"/>
      <c r="K433" s="56"/>
      <c r="L433" s="79"/>
      <c r="O433" s="56"/>
    </row>
    <row r="434" spans="1:15" ht="13" x14ac:dyDescent="0.15">
      <c r="A434" s="79"/>
      <c r="B434" s="79"/>
      <c r="K434" s="56"/>
      <c r="L434" s="79"/>
      <c r="O434" s="56"/>
    </row>
    <row r="435" spans="1:15" ht="13" x14ac:dyDescent="0.15">
      <c r="A435" s="79"/>
      <c r="B435" s="79"/>
      <c r="K435" s="56"/>
      <c r="L435" s="79"/>
      <c r="O435" s="56"/>
    </row>
    <row r="436" spans="1:15" ht="13" x14ac:dyDescent="0.15">
      <c r="A436" s="79"/>
      <c r="B436" s="79"/>
      <c r="K436" s="56"/>
      <c r="L436" s="79"/>
      <c r="O436" s="56"/>
    </row>
    <row r="437" spans="1:15" ht="13" x14ac:dyDescent="0.15">
      <c r="A437" s="79"/>
      <c r="B437" s="79"/>
      <c r="K437" s="56"/>
      <c r="L437" s="79"/>
      <c r="O437" s="56"/>
    </row>
    <row r="438" spans="1:15" ht="13" x14ac:dyDescent="0.15">
      <c r="A438" s="79"/>
      <c r="B438" s="79"/>
      <c r="K438" s="56"/>
      <c r="L438" s="79"/>
      <c r="O438" s="56"/>
    </row>
    <row r="439" spans="1:15" ht="13" x14ac:dyDescent="0.15">
      <c r="A439" s="79"/>
      <c r="B439" s="79"/>
      <c r="K439" s="56"/>
      <c r="L439" s="79"/>
      <c r="O439" s="56"/>
    </row>
    <row r="440" spans="1:15" ht="13" x14ac:dyDescent="0.15">
      <c r="A440" s="79"/>
      <c r="B440" s="79"/>
      <c r="K440" s="56"/>
      <c r="L440" s="79"/>
      <c r="O440" s="56"/>
    </row>
    <row r="441" spans="1:15" ht="13" x14ac:dyDescent="0.15">
      <c r="A441" s="79"/>
      <c r="B441" s="79"/>
      <c r="K441" s="56"/>
      <c r="L441" s="79"/>
      <c r="O441" s="56"/>
    </row>
    <row r="442" spans="1:15" ht="13" x14ac:dyDescent="0.15">
      <c r="A442" s="79"/>
      <c r="B442" s="79"/>
      <c r="K442" s="56"/>
      <c r="L442" s="79"/>
      <c r="O442" s="56"/>
    </row>
    <row r="443" spans="1:15" ht="13" x14ac:dyDescent="0.15">
      <c r="A443" s="79"/>
      <c r="B443" s="79"/>
      <c r="K443" s="56"/>
      <c r="L443" s="79"/>
      <c r="O443" s="56"/>
    </row>
    <row r="444" spans="1:15" ht="13" x14ac:dyDescent="0.15">
      <c r="A444" s="79"/>
      <c r="B444" s="79"/>
      <c r="K444" s="56"/>
      <c r="L444" s="79"/>
      <c r="O444" s="56"/>
    </row>
    <row r="445" spans="1:15" ht="13" x14ac:dyDescent="0.15">
      <c r="A445" s="79"/>
      <c r="B445" s="79"/>
      <c r="K445" s="56"/>
      <c r="L445" s="79"/>
      <c r="O445" s="56"/>
    </row>
    <row r="446" spans="1:15" ht="13" x14ac:dyDescent="0.15">
      <c r="A446" s="79"/>
      <c r="B446" s="79"/>
      <c r="K446" s="56"/>
      <c r="L446" s="79"/>
      <c r="O446" s="56"/>
    </row>
    <row r="447" spans="1:15" ht="13" x14ac:dyDescent="0.15">
      <c r="A447" s="79"/>
      <c r="B447" s="79"/>
      <c r="K447" s="56"/>
      <c r="L447" s="79"/>
      <c r="O447" s="56"/>
    </row>
    <row r="448" spans="1:15" ht="13" x14ac:dyDescent="0.15">
      <c r="A448" s="79"/>
      <c r="B448" s="79"/>
      <c r="K448" s="56"/>
      <c r="L448" s="79"/>
      <c r="O448" s="56"/>
    </row>
    <row r="449" spans="1:15" ht="13" x14ac:dyDescent="0.15">
      <c r="A449" s="79"/>
      <c r="B449" s="79"/>
      <c r="K449" s="56"/>
      <c r="L449" s="79"/>
      <c r="O449" s="56"/>
    </row>
    <row r="450" spans="1:15" ht="13" x14ac:dyDescent="0.15">
      <c r="A450" s="79"/>
      <c r="B450" s="79"/>
      <c r="K450" s="56"/>
      <c r="L450" s="79"/>
      <c r="O450" s="56"/>
    </row>
    <row r="451" spans="1:15" ht="13" x14ac:dyDescent="0.15">
      <c r="A451" s="79"/>
      <c r="B451" s="79"/>
      <c r="K451" s="56"/>
      <c r="L451" s="79"/>
      <c r="O451" s="56"/>
    </row>
    <row r="452" spans="1:15" ht="13" x14ac:dyDescent="0.15">
      <c r="A452" s="79"/>
      <c r="B452" s="79"/>
      <c r="K452" s="56"/>
      <c r="L452" s="79"/>
      <c r="O452" s="56"/>
    </row>
    <row r="453" spans="1:15" ht="13" x14ac:dyDescent="0.15">
      <c r="A453" s="79"/>
      <c r="B453" s="79"/>
      <c r="K453" s="56"/>
      <c r="L453" s="79"/>
      <c r="O453" s="56"/>
    </row>
    <row r="454" spans="1:15" ht="13" x14ac:dyDescent="0.15">
      <c r="A454" s="79"/>
      <c r="B454" s="79"/>
      <c r="K454" s="56"/>
      <c r="L454" s="79"/>
      <c r="O454" s="56"/>
    </row>
    <row r="455" spans="1:15" ht="13" x14ac:dyDescent="0.15">
      <c r="A455" s="79"/>
      <c r="B455" s="79"/>
      <c r="K455" s="56"/>
      <c r="L455" s="79"/>
      <c r="O455" s="56"/>
    </row>
    <row r="456" spans="1:15" ht="13" x14ac:dyDescent="0.15">
      <c r="A456" s="79"/>
      <c r="B456" s="79"/>
      <c r="K456" s="56"/>
      <c r="L456" s="79"/>
      <c r="O456" s="56"/>
    </row>
    <row r="457" spans="1:15" ht="13" x14ac:dyDescent="0.15">
      <c r="A457" s="79"/>
      <c r="B457" s="79"/>
      <c r="K457" s="56"/>
      <c r="L457" s="79"/>
      <c r="O457" s="56"/>
    </row>
    <row r="458" spans="1:15" ht="13" x14ac:dyDescent="0.15">
      <c r="A458" s="79"/>
      <c r="B458" s="79"/>
      <c r="K458" s="56"/>
      <c r="L458" s="79"/>
      <c r="O458" s="56"/>
    </row>
    <row r="459" spans="1:15" ht="13" x14ac:dyDescent="0.15">
      <c r="A459" s="79"/>
      <c r="B459" s="79"/>
      <c r="K459" s="56"/>
      <c r="L459" s="79"/>
      <c r="O459" s="56"/>
    </row>
    <row r="460" spans="1:15" ht="13" x14ac:dyDescent="0.15">
      <c r="A460" s="79"/>
      <c r="B460" s="79"/>
      <c r="K460" s="56"/>
      <c r="L460" s="79"/>
      <c r="O460" s="56"/>
    </row>
    <row r="461" spans="1:15" ht="13" x14ac:dyDescent="0.15">
      <c r="A461" s="79"/>
      <c r="B461" s="79"/>
      <c r="K461" s="56"/>
      <c r="L461" s="79"/>
      <c r="O461" s="56"/>
    </row>
    <row r="462" spans="1:15" ht="13" x14ac:dyDescent="0.15">
      <c r="A462" s="79"/>
      <c r="B462" s="79"/>
      <c r="K462" s="56"/>
      <c r="L462" s="79"/>
      <c r="O462" s="56"/>
    </row>
    <row r="463" spans="1:15" ht="13" x14ac:dyDescent="0.15">
      <c r="A463" s="79"/>
      <c r="B463" s="79"/>
      <c r="K463" s="56"/>
      <c r="L463" s="79"/>
      <c r="O463" s="56"/>
    </row>
    <row r="464" spans="1:15" ht="13" x14ac:dyDescent="0.15">
      <c r="A464" s="79"/>
      <c r="B464" s="79"/>
      <c r="K464" s="56"/>
      <c r="L464" s="79"/>
      <c r="O464" s="56"/>
    </row>
    <row r="465" spans="1:15" ht="13" x14ac:dyDescent="0.15">
      <c r="A465" s="79"/>
      <c r="B465" s="79"/>
      <c r="K465" s="56"/>
      <c r="L465" s="79"/>
      <c r="O465" s="56"/>
    </row>
    <row r="466" spans="1:15" ht="13" x14ac:dyDescent="0.15">
      <c r="A466" s="79"/>
      <c r="B466" s="79"/>
      <c r="K466" s="56"/>
      <c r="L466" s="79"/>
      <c r="O466" s="56"/>
    </row>
    <row r="467" spans="1:15" ht="13" x14ac:dyDescent="0.15">
      <c r="A467" s="79"/>
      <c r="B467" s="79"/>
      <c r="K467" s="56"/>
      <c r="L467" s="79"/>
      <c r="O467" s="56"/>
    </row>
    <row r="468" spans="1:15" ht="13" x14ac:dyDescent="0.15">
      <c r="A468" s="79"/>
      <c r="B468" s="79"/>
      <c r="K468" s="56"/>
      <c r="L468" s="79"/>
      <c r="O468" s="56"/>
    </row>
    <row r="469" spans="1:15" ht="13" x14ac:dyDescent="0.15">
      <c r="A469" s="79"/>
      <c r="B469" s="79"/>
      <c r="K469" s="56"/>
      <c r="L469" s="79"/>
      <c r="O469" s="56"/>
    </row>
    <row r="470" spans="1:15" ht="13" x14ac:dyDescent="0.15">
      <c r="A470" s="79"/>
      <c r="B470" s="79"/>
      <c r="K470" s="56"/>
      <c r="L470" s="79"/>
      <c r="O470" s="56"/>
    </row>
    <row r="471" spans="1:15" ht="13" x14ac:dyDescent="0.15">
      <c r="A471" s="79"/>
      <c r="B471" s="79"/>
      <c r="K471" s="56"/>
      <c r="L471" s="79"/>
      <c r="O471" s="56"/>
    </row>
    <row r="472" spans="1:15" ht="13" x14ac:dyDescent="0.15">
      <c r="A472" s="79"/>
      <c r="B472" s="79"/>
      <c r="K472" s="56"/>
      <c r="L472" s="79"/>
      <c r="O472" s="56"/>
    </row>
    <row r="473" spans="1:15" ht="13" x14ac:dyDescent="0.15">
      <c r="A473" s="79"/>
      <c r="B473" s="79"/>
      <c r="K473" s="56"/>
      <c r="L473" s="79"/>
      <c r="O473" s="56"/>
    </row>
    <row r="474" spans="1:15" ht="13" x14ac:dyDescent="0.15">
      <c r="A474" s="79"/>
      <c r="B474" s="79"/>
      <c r="K474" s="56"/>
      <c r="L474" s="79"/>
      <c r="O474" s="56"/>
    </row>
    <row r="475" spans="1:15" ht="13" x14ac:dyDescent="0.15">
      <c r="A475" s="79"/>
      <c r="B475" s="79"/>
      <c r="K475" s="56"/>
      <c r="L475" s="79"/>
      <c r="O475" s="56"/>
    </row>
    <row r="476" spans="1:15" ht="13" x14ac:dyDescent="0.15">
      <c r="A476" s="79"/>
      <c r="B476" s="79"/>
      <c r="K476" s="56"/>
      <c r="L476" s="79"/>
      <c r="O476" s="56"/>
    </row>
    <row r="477" spans="1:15" ht="13" x14ac:dyDescent="0.15">
      <c r="A477" s="79"/>
      <c r="B477" s="79"/>
      <c r="K477" s="56"/>
      <c r="L477" s="79"/>
      <c r="O477" s="56"/>
    </row>
    <row r="478" spans="1:15" ht="13" x14ac:dyDescent="0.15">
      <c r="A478" s="79"/>
      <c r="B478" s="79"/>
      <c r="K478" s="56"/>
      <c r="L478" s="79"/>
      <c r="O478" s="56"/>
    </row>
    <row r="479" spans="1:15" ht="13" x14ac:dyDescent="0.15">
      <c r="A479" s="79"/>
      <c r="B479" s="79"/>
      <c r="K479" s="56"/>
      <c r="L479" s="79"/>
      <c r="O479" s="56"/>
    </row>
    <row r="480" spans="1:15" ht="13" x14ac:dyDescent="0.15">
      <c r="A480" s="79"/>
      <c r="B480" s="79"/>
      <c r="K480" s="56"/>
      <c r="L480" s="79"/>
      <c r="O480" s="56"/>
    </row>
    <row r="481" spans="1:15" ht="13" x14ac:dyDescent="0.15">
      <c r="A481" s="79"/>
      <c r="B481" s="79"/>
      <c r="K481" s="56"/>
      <c r="L481" s="79"/>
      <c r="O481" s="56"/>
    </row>
    <row r="482" spans="1:15" ht="13" x14ac:dyDescent="0.15">
      <c r="A482" s="79"/>
      <c r="B482" s="79"/>
      <c r="K482" s="56"/>
      <c r="L482" s="79"/>
      <c r="O482" s="56"/>
    </row>
    <row r="483" spans="1:15" ht="13" x14ac:dyDescent="0.15">
      <c r="A483" s="79"/>
      <c r="B483" s="79"/>
      <c r="K483" s="56"/>
      <c r="L483" s="79"/>
      <c r="O483" s="56"/>
    </row>
    <row r="484" spans="1:15" ht="13" x14ac:dyDescent="0.15">
      <c r="A484" s="79"/>
      <c r="B484" s="79"/>
      <c r="K484" s="56"/>
      <c r="L484" s="79"/>
      <c r="O484" s="56"/>
    </row>
    <row r="485" spans="1:15" ht="13" x14ac:dyDescent="0.15">
      <c r="A485" s="79"/>
      <c r="B485" s="79"/>
      <c r="K485" s="56"/>
      <c r="L485" s="79"/>
      <c r="O485" s="56"/>
    </row>
    <row r="486" spans="1:15" ht="13" x14ac:dyDescent="0.15">
      <c r="A486" s="79"/>
      <c r="B486" s="79"/>
      <c r="K486" s="56"/>
      <c r="L486" s="79"/>
      <c r="O486" s="56"/>
    </row>
    <row r="487" spans="1:15" ht="13" x14ac:dyDescent="0.15">
      <c r="A487" s="79"/>
      <c r="B487" s="79"/>
      <c r="K487" s="56"/>
      <c r="L487" s="79"/>
      <c r="O487" s="56"/>
    </row>
    <row r="488" spans="1:15" ht="13" x14ac:dyDescent="0.15">
      <c r="A488" s="79"/>
      <c r="B488" s="79"/>
      <c r="K488" s="56"/>
      <c r="L488" s="79"/>
      <c r="O488" s="56"/>
    </row>
    <row r="489" spans="1:15" ht="13" x14ac:dyDescent="0.15">
      <c r="A489" s="79"/>
      <c r="B489" s="79"/>
      <c r="K489" s="56"/>
      <c r="L489" s="79"/>
      <c r="O489" s="56"/>
    </row>
    <row r="490" spans="1:15" ht="13" x14ac:dyDescent="0.15">
      <c r="A490" s="79"/>
      <c r="B490" s="79"/>
      <c r="K490" s="56"/>
      <c r="L490" s="79"/>
      <c r="O490" s="56"/>
    </row>
    <row r="491" spans="1:15" ht="13" x14ac:dyDescent="0.15">
      <c r="A491" s="79"/>
      <c r="B491" s="79"/>
      <c r="K491" s="56"/>
      <c r="L491" s="79"/>
      <c r="O491" s="56"/>
    </row>
    <row r="492" spans="1:15" ht="13" x14ac:dyDescent="0.15">
      <c r="A492" s="79"/>
      <c r="B492" s="79"/>
      <c r="K492" s="56"/>
      <c r="L492" s="79"/>
      <c r="O492" s="56"/>
    </row>
    <row r="493" spans="1:15" ht="13" x14ac:dyDescent="0.15">
      <c r="A493" s="79"/>
      <c r="B493" s="79"/>
      <c r="K493" s="56"/>
      <c r="L493" s="79"/>
      <c r="O493" s="56"/>
    </row>
    <row r="494" spans="1:15" ht="13" x14ac:dyDescent="0.15">
      <c r="A494" s="79"/>
      <c r="B494" s="79"/>
      <c r="K494" s="56"/>
      <c r="L494" s="79"/>
      <c r="O494" s="56"/>
    </row>
    <row r="495" spans="1:15" ht="13" x14ac:dyDescent="0.15">
      <c r="A495" s="79"/>
      <c r="B495" s="79"/>
      <c r="K495" s="56"/>
      <c r="L495" s="79"/>
      <c r="O495" s="56"/>
    </row>
    <row r="496" spans="1:15" ht="13" x14ac:dyDescent="0.15">
      <c r="A496" s="79"/>
      <c r="B496" s="79"/>
      <c r="K496" s="56"/>
      <c r="L496" s="79"/>
      <c r="O496" s="56"/>
    </row>
    <row r="497" spans="1:15" ht="13" x14ac:dyDescent="0.15">
      <c r="A497" s="79"/>
      <c r="B497" s="79"/>
      <c r="K497" s="56"/>
      <c r="L497" s="79"/>
      <c r="O497" s="56"/>
    </row>
    <row r="498" spans="1:15" ht="13" x14ac:dyDescent="0.15">
      <c r="A498" s="79"/>
      <c r="B498" s="79"/>
      <c r="K498" s="56"/>
      <c r="L498" s="79"/>
      <c r="O498" s="56"/>
    </row>
    <row r="499" spans="1:15" ht="13" x14ac:dyDescent="0.15">
      <c r="A499" s="79"/>
      <c r="B499" s="79"/>
      <c r="K499" s="56"/>
      <c r="L499" s="79"/>
      <c r="O499" s="56"/>
    </row>
    <row r="500" spans="1:15" ht="13" x14ac:dyDescent="0.15">
      <c r="A500" s="79"/>
      <c r="B500" s="79"/>
      <c r="K500" s="56"/>
      <c r="L500" s="79"/>
      <c r="O500" s="56"/>
    </row>
    <row r="501" spans="1:15" ht="13" x14ac:dyDescent="0.15">
      <c r="A501" s="79"/>
      <c r="B501" s="79"/>
      <c r="K501" s="56"/>
      <c r="L501" s="79"/>
      <c r="O501" s="56"/>
    </row>
    <row r="502" spans="1:15" ht="13" x14ac:dyDescent="0.15">
      <c r="A502" s="79"/>
      <c r="B502" s="79"/>
      <c r="K502" s="56"/>
      <c r="L502" s="79"/>
      <c r="O502" s="56"/>
    </row>
    <row r="503" spans="1:15" ht="13" x14ac:dyDescent="0.15">
      <c r="A503" s="79"/>
      <c r="B503" s="79"/>
      <c r="K503" s="56"/>
      <c r="L503" s="79"/>
      <c r="O503" s="56"/>
    </row>
    <row r="504" spans="1:15" ht="13" x14ac:dyDescent="0.15">
      <c r="A504" s="79"/>
      <c r="B504" s="79"/>
      <c r="K504" s="56"/>
      <c r="L504" s="79"/>
      <c r="O504" s="56"/>
    </row>
    <row r="505" spans="1:15" ht="13" x14ac:dyDescent="0.15">
      <c r="A505" s="79"/>
      <c r="B505" s="79"/>
      <c r="K505" s="56"/>
      <c r="L505" s="79"/>
      <c r="O505" s="56"/>
    </row>
    <row r="506" spans="1:15" ht="13" x14ac:dyDescent="0.15">
      <c r="A506" s="79"/>
      <c r="B506" s="79"/>
      <c r="K506" s="56"/>
      <c r="L506" s="79"/>
      <c r="O506" s="56"/>
    </row>
    <row r="507" spans="1:15" ht="13" x14ac:dyDescent="0.15">
      <c r="A507" s="79"/>
      <c r="B507" s="79"/>
      <c r="K507" s="56"/>
      <c r="L507" s="79"/>
      <c r="O507" s="56"/>
    </row>
    <row r="508" spans="1:15" ht="13" x14ac:dyDescent="0.15">
      <c r="A508" s="79"/>
      <c r="B508" s="79"/>
      <c r="K508" s="56"/>
      <c r="L508" s="79"/>
      <c r="O508" s="56"/>
    </row>
    <row r="509" spans="1:15" ht="13" x14ac:dyDescent="0.15">
      <c r="A509" s="79"/>
      <c r="B509" s="79"/>
      <c r="K509" s="56"/>
      <c r="L509" s="79"/>
      <c r="O509" s="56"/>
    </row>
    <row r="510" spans="1:15" ht="13" x14ac:dyDescent="0.15">
      <c r="A510" s="79"/>
      <c r="B510" s="79"/>
      <c r="K510" s="56"/>
      <c r="L510" s="79"/>
      <c r="O510" s="56"/>
    </row>
    <row r="511" spans="1:15" ht="13" x14ac:dyDescent="0.15">
      <c r="A511" s="79"/>
      <c r="B511" s="79"/>
      <c r="K511" s="56"/>
      <c r="L511" s="79"/>
      <c r="O511" s="56"/>
    </row>
    <row r="512" spans="1:15" ht="13" x14ac:dyDescent="0.15">
      <c r="A512" s="79"/>
      <c r="B512" s="79"/>
      <c r="K512" s="56"/>
      <c r="L512" s="79"/>
      <c r="O512" s="56"/>
    </row>
    <row r="513" spans="1:15" ht="13" x14ac:dyDescent="0.15">
      <c r="A513" s="79"/>
      <c r="B513" s="79"/>
      <c r="K513" s="56"/>
      <c r="L513" s="79"/>
      <c r="O513" s="56"/>
    </row>
    <row r="514" spans="1:15" ht="13" x14ac:dyDescent="0.15">
      <c r="A514" s="79"/>
      <c r="B514" s="79"/>
      <c r="K514" s="56"/>
      <c r="L514" s="79"/>
      <c r="O514" s="56"/>
    </row>
    <row r="515" spans="1:15" ht="13" x14ac:dyDescent="0.15">
      <c r="A515" s="79"/>
      <c r="B515" s="79"/>
      <c r="K515" s="56"/>
      <c r="L515" s="79"/>
      <c r="O515" s="56"/>
    </row>
    <row r="516" spans="1:15" ht="13" x14ac:dyDescent="0.15">
      <c r="A516" s="79"/>
      <c r="B516" s="79"/>
      <c r="K516" s="56"/>
      <c r="L516" s="79"/>
      <c r="O516" s="56"/>
    </row>
    <row r="517" spans="1:15" ht="13" x14ac:dyDescent="0.15">
      <c r="A517" s="79"/>
      <c r="B517" s="79"/>
      <c r="K517" s="56"/>
      <c r="L517" s="79"/>
      <c r="O517" s="56"/>
    </row>
    <row r="518" spans="1:15" ht="13" x14ac:dyDescent="0.15">
      <c r="A518" s="79"/>
      <c r="B518" s="79"/>
      <c r="K518" s="56"/>
      <c r="L518" s="79"/>
      <c r="O518" s="56"/>
    </row>
    <row r="519" spans="1:15" ht="13" x14ac:dyDescent="0.15">
      <c r="A519" s="79"/>
      <c r="B519" s="79"/>
      <c r="K519" s="56"/>
      <c r="L519" s="79"/>
      <c r="O519" s="56"/>
    </row>
    <row r="520" spans="1:15" ht="13" x14ac:dyDescent="0.15">
      <c r="A520" s="79"/>
      <c r="B520" s="79"/>
      <c r="K520" s="56"/>
      <c r="L520" s="79"/>
      <c r="O520" s="56"/>
    </row>
    <row r="521" spans="1:15" ht="13" x14ac:dyDescent="0.15">
      <c r="A521" s="79"/>
      <c r="B521" s="79"/>
      <c r="K521" s="56"/>
      <c r="L521" s="79"/>
      <c r="O521" s="56"/>
    </row>
    <row r="522" spans="1:15" ht="13" x14ac:dyDescent="0.15">
      <c r="A522" s="79"/>
      <c r="B522" s="79"/>
      <c r="K522" s="56"/>
      <c r="L522" s="79"/>
      <c r="O522" s="56"/>
    </row>
    <row r="523" spans="1:15" ht="13" x14ac:dyDescent="0.15">
      <c r="A523" s="79"/>
      <c r="B523" s="79"/>
      <c r="K523" s="56"/>
      <c r="L523" s="79"/>
      <c r="O523" s="56"/>
    </row>
    <row r="524" spans="1:15" ht="13" x14ac:dyDescent="0.15">
      <c r="A524" s="79"/>
      <c r="B524" s="79"/>
      <c r="K524" s="56"/>
      <c r="L524" s="79"/>
      <c r="O524" s="56"/>
    </row>
    <row r="525" spans="1:15" ht="13" x14ac:dyDescent="0.15">
      <c r="A525" s="79"/>
      <c r="B525" s="79"/>
      <c r="K525" s="56"/>
      <c r="L525" s="79"/>
      <c r="O525" s="56"/>
    </row>
    <row r="526" spans="1:15" ht="13" x14ac:dyDescent="0.15">
      <c r="A526" s="79"/>
      <c r="B526" s="79"/>
      <c r="K526" s="56"/>
      <c r="L526" s="79"/>
      <c r="O526" s="56"/>
    </row>
    <row r="527" spans="1:15" ht="13" x14ac:dyDescent="0.15">
      <c r="A527" s="79"/>
      <c r="B527" s="79"/>
      <c r="K527" s="56"/>
      <c r="L527" s="79"/>
      <c r="O527" s="56"/>
    </row>
    <row r="528" spans="1:15" ht="13" x14ac:dyDescent="0.15">
      <c r="A528" s="79"/>
      <c r="B528" s="79"/>
      <c r="K528" s="56"/>
      <c r="L528" s="79"/>
      <c r="O528" s="56"/>
    </row>
    <row r="529" spans="1:15" ht="13" x14ac:dyDescent="0.15">
      <c r="A529" s="79"/>
      <c r="B529" s="79"/>
      <c r="K529" s="56"/>
      <c r="L529" s="79"/>
      <c r="O529" s="56"/>
    </row>
    <row r="530" spans="1:15" ht="13" x14ac:dyDescent="0.15">
      <c r="A530" s="79"/>
      <c r="B530" s="79"/>
      <c r="K530" s="56"/>
      <c r="L530" s="79"/>
      <c r="O530" s="56"/>
    </row>
    <row r="531" spans="1:15" ht="13" x14ac:dyDescent="0.15">
      <c r="A531" s="79"/>
      <c r="B531" s="79"/>
      <c r="K531" s="56"/>
      <c r="L531" s="79"/>
      <c r="O531" s="56"/>
    </row>
    <row r="532" spans="1:15" ht="13" x14ac:dyDescent="0.15">
      <c r="A532" s="79"/>
      <c r="B532" s="79"/>
      <c r="K532" s="56"/>
      <c r="L532" s="79"/>
      <c r="O532" s="56"/>
    </row>
    <row r="533" spans="1:15" ht="13" x14ac:dyDescent="0.15">
      <c r="A533" s="79"/>
      <c r="B533" s="79"/>
      <c r="K533" s="56"/>
      <c r="L533" s="79"/>
      <c r="O533" s="56"/>
    </row>
    <row r="534" spans="1:15" ht="13" x14ac:dyDescent="0.15">
      <c r="A534" s="79"/>
      <c r="B534" s="79"/>
      <c r="K534" s="56"/>
      <c r="L534" s="79"/>
      <c r="O534" s="56"/>
    </row>
    <row r="535" spans="1:15" ht="13" x14ac:dyDescent="0.15">
      <c r="A535" s="79"/>
      <c r="B535" s="79"/>
      <c r="K535" s="56"/>
      <c r="L535" s="79"/>
      <c r="O535" s="56"/>
    </row>
    <row r="536" spans="1:15" ht="13" x14ac:dyDescent="0.15">
      <c r="A536" s="79"/>
      <c r="B536" s="79"/>
      <c r="K536" s="56"/>
      <c r="L536" s="79"/>
      <c r="O536" s="56"/>
    </row>
    <row r="537" spans="1:15" ht="13" x14ac:dyDescent="0.15">
      <c r="A537" s="79"/>
      <c r="B537" s="79"/>
      <c r="K537" s="56"/>
      <c r="L537" s="79"/>
      <c r="O537" s="56"/>
    </row>
    <row r="538" spans="1:15" ht="13" x14ac:dyDescent="0.15">
      <c r="A538" s="79"/>
      <c r="B538" s="79"/>
      <c r="K538" s="56"/>
      <c r="L538" s="79"/>
      <c r="O538" s="56"/>
    </row>
    <row r="539" spans="1:15" ht="13" x14ac:dyDescent="0.15">
      <c r="A539" s="79"/>
      <c r="B539" s="79"/>
      <c r="K539" s="56"/>
      <c r="L539" s="79"/>
      <c r="O539" s="56"/>
    </row>
    <row r="540" spans="1:15" ht="13" x14ac:dyDescent="0.15">
      <c r="A540" s="79"/>
      <c r="B540" s="79"/>
      <c r="K540" s="56"/>
      <c r="L540" s="79"/>
      <c r="O540" s="56"/>
    </row>
    <row r="541" spans="1:15" ht="13" x14ac:dyDescent="0.15">
      <c r="A541" s="79"/>
      <c r="B541" s="79"/>
      <c r="K541" s="56"/>
      <c r="L541" s="79"/>
      <c r="O541" s="56"/>
    </row>
    <row r="542" spans="1:15" ht="13" x14ac:dyDescent="0.15">
      <c r="A542" s="79"/>
      <c r="B542" s="79"/>
      <c r="K542" s="56"/>
      <c r="L542" s="79"/>
      <c r="O542" s="56"/>
    </row>
    <row r="543" spans="1:15" ht="13" x14ac:dyDescent="0.15">
      <c r="A543" s="79"/>
      <c r="B543" s="79"/>
      <c r="K543" s="56"/>
      <c r="L543" s="79"/>
      <c r="O543" s="56"/>
    </row>
    <row r="544" spans="1:15" ht="13" x14ac:dyDescent="0.15">
      <c r="A544" s="79"/>
      <c r="B544" s="79"/>
      <c r="K544" s="56"/>
      <c r="L544" s="79"/>
      <c r="O544" s="56"/>
    </row>
    <row r="545" spans="1:15" ht="13" x14ac:dyDescent="0.15">
      <c r="A545" s="79"/>
      <c r="B545" s="79"/>
      <c r="K545" s="56"/>
      <c r="L545" s="79"/>
      <c r="O545" s="56"/>
    </row>
    <row r="546" spans="1:15" ht="13" x14ac:dyDescent="0.15">
      <c r="A546" s="79"/>
      <c r="B546" s="79"/>
      <c r="K546" s="56"/>
      <c r="L546" s="79"/>
      <c r="O546" s="56"/>
    </row>
    <row r="547" spans="1:15" ht="13" x14ac:dyDescent="0.15">
      <c r="A547" s="79"/>
      <c r="B547" s="79"/>
      <c r="K547" s="56"/>
      <c r="L547" s="79"/>
      <c r="O547" s="56"/>
    </row>
    <row r="548" spans="1:15" ht="13" x14ac:dyDescent="0.15">
      <c r="A548" s="79"/>
      <c r="B548" s="79"/>
      <c r="K548" s="56"/>
      <c r="L548" s="79"/>
      <c r="O548" s="56"/>
    </row>
    <row r="549" spans="1:15" ht="13" x14ac:dyDescent="0.15">
      <c r="A549" s="79"/>
      <c r="B549" s="79"/>
      <c r="K549" s="56"/>
      <c r="L549" s="79"/>
      <c r="O549" s="56"/>
    </row>
    <row r="550" spans="1:15" ht="13" x14ac:dyDescent="0.15">
      <c r="A550" s="79"/>
      <c r="B550" s="79"/>
      <c r="K550" s="56"/>
      <c r="L550" s="79"/>
      <c r="O550" s="56"/>
    </row>
    <row r="551" spans="1:15" ht="13" x14ac:dyDescent="0.15">
      <c r="A551" s="79"/>
      <c r="B551" s="79"/>
      <c r="K551" s="56"/>
      <c r="L551" s="79"/>
      <c r="O551" s="56"/>
    </row>
    <row r="552" spans="1:15" ht="13" x14ac:dyDescent="0.15">
      <c r="A552" s="79"/>
      <c r="B552" s="79"/>
      <c r="K552" s="56"/>
      <c r="L552" s="79"/>
      <c r="O552" s="56"/>
    </row>
    <row r="553" spans="1:15" ht="13" x14ac:dyDescent="0.15">
      <c r="A553" s="79"/>
      <c r="B553" s="79"/>
      <c r="K553" s="56"/>
      <c r="L553" s="79"/>
      <c r="O553" s="56"/>
    </row>
    <row r="554" spans="1:15" ht="13" x14ac:dyDescent="0.15">
      <c r="A554" s="79"/>
      <c r="B554" s="79"/>
      <c r="K554" s="56"/>
      <c r="L554" s="79"/>
      <c r="O554" s="56"/>
    </row>
    <row r="555" spans="1:15" ht="13" x14ac:dyDescent="0.15">
      <c r="A555" s="79"/>
      <c r="B555" s="79"/>
      <c r="K555" s="56"/>
      <c r="L555" s="79"/>
      <c r="O555" s="56"/>
    </row>
    <row r="556" spans="1:15" ht="13" x14ac:dyDescent="0.15">
      <c r="A556" s="79"/>
      <c r="B556" s="79"/>
      <c r="K556" s="56"/>
      <c r="L556" s="79"/>
      <c r="O556" s="56"/>
    </row>
    <row r="557" spans="1:15" ht="13" x14ac:dyDescent="0.15">
      <c r="A557" s="79"/>
      <c r="B557" s="79"/>
      <c r="K557" s="56"/>
      <c r="L557" s="79"/>
      <c r="O557" s="56"/>
    </row>
    <row r="558" spans="1:15" ht="13" x14ac:dyDescent="0.15">
      <c r="A558" s="79"/>
      <c r="B558" s="79"/>
      <c r="K558" s="56"/>
      <c r="L558" s="79"/>
      <c r="O558" s="56"/>
    </row>
    <row r="559" spans="1:15" ht="13" x14ac:dyDescent="0.15">
      <c r="A559" s="79"/>
      <c r="B559" s="79"/>
      <c r="K559" s="56"/>
      <c r="L559" s="79"/>
      <c r="O559" s="56"/>
    </row>
    <row r="560" spans="1:15" ht="13" x14ac:dyDescent="0.15">
      <c r="A560" s="79"/>
      <c r="B560" s="79"/>
      <c r="K560" s="56"/>
      <c r="L560" s="79"/>
      <c r="O560" s="56"/>
    </row>
    <row r="561" spans="1:15" ht="13" x14ac:dyDescent="0.15">
      <c r="A561" s="79"/>
      <c r="B561" s="79"/>
      <c r="K561" s="56"/>
      <c r="L561" s="79"/>
      <c r="O561" s="56"/>
    </row>
    <row r="562" spans="1:15" ht="13" x14ac:dyDescent="0.15">
      <c r="A562" s="79"/>
      <c r="B562" s="79"/>
      <c r="K562" s="56"/>
      <c r="L562" s="79"/>
      <c r="O562" s="56"/>
    </row>
    <row r="563" spans="1:15" ht="13" x14ac:dyDescent="0.15">
      <c r="A563" s="79"/>
      <c r="B563" s="79"/>
      <c r="K563" s="56"/>
      <c r="L563" s="79"/>
      <c r="O563" s="56"/>
    </row>
    <row r="564" spans="1:15" ht="13" x14ac:dyDescent="0.15">
      <c r="A564" s="79"/>
      <c r="B564" s="79"/>
      <c r="K564" s="56"/>
      <c r="L564" s="79"/>
      <c r="O564" s="56"/>
    </row>
    <row r="565" spans="1:15" ht="13" x14ac:dyDescent="0.15">
      <c r="A565" s="79"/>
      <c r="B565" s="79"/>
      <c r="K565" s="56"/>
      <c r="L565" s="79"/>
      <c r="O565" s="56"/>
    </row>
    <row r="566" spans="1:15" ht="13" x14ac:dyDescent="0.15">
      <c r="A566" s="79"/>
      <c r="B566" s="79"/>
      <c r="K566" s="56"/>
      <c r="L566" s="79"/>
      <c r="O566" s="56"/>
    </row>
    <row r="567" spans="1:15" ht="13" x14ac:dyDescent="0.15">
      <c r="A567" s="79"/>
      <c r="B567" s="79"/>
      <c r="K567" s="56"/>
      <c r="L567" s="79"/>
      <c r="O567" s="56"/>
    </row>
    <row r="568" spans="1:15" ht="13" x14ac:dyDescent="0.15">
      <c r="A568" s="79"/>
      <c r="B568" s="79"/>
      <c r="K568" s="56"/>
      <c r="L568" s="79"/>
      <c r="O568" s="56"/>
    </row>
    <row r="569" spans="1:15" ht="13" x14ac:dyDescent="0.15">
      <c r="A569" s="79"/>
      <c r="B569" s="79"/>
      <c r="K569" s="56"/>
      <c r="L569" s="79"/>
      <c r="O569" s="56"/>
    </row>
    <row r="570" spans="1:15" ht="13" x14ac:dyDescent="0.15">
      <c r="A570" s="79"/>
      <c r="B570" s="79"/>
      <c r="K570" s="56"/>
      <c r="L570" s="79"/>
      <c r="O570" s="56"/>
    </row>
    <row r="571" spans="1:15" ht="13" x14ac:dyDescent="0.15">
      <c r="A571" s="79"/>
      <c r="B571" s="79"/>
      <c r="K571" s="56"/>
      <c r="L571" s="79"/>
      <c r="O571" s="56"/>
    </row>
    <row r="572" spans="1:15" ht="13" x14ac:dyDescent="0.15">
      <c r="A572" s="79"/>
      <c r="B572" s="79"/>
      <c r="K572" s="56"/>
      <c r="L572" s="79"/>
      <c r="O572" s="56"/>
    </row>
    <row r="573" spans="1:15" ht="13" x14ac:dyDescent="0.15">
      <c r="A573" s="79"/>
      <c r="B573" s="79"/>
      <c r="K573" s="56"/>
      <c r="L573" s="79"/>
      <c r="O573" s="56"/>
    </row>
    <row r="574" spans="1:15" ht="13" x14ac:dyDescent="0.15">
      <c r="A574" s="79"/>
      <c r="B574" s="79"/>
      <c r="K574" s="56"/>
      <c r="L574" s="79"/>
      <c r="O574" s="56"/>
    </row>
    <row r="575" spans="1:15" ht="13" x14ac:dyDescent="0.15">
      <c r="A575" s="79"/>
      <c r="B575" s="79"/>
      <c r="K575" s="56"/>
      <c r="L575" s="79"/>
      <c r="O575" s="56"/>
    </row>
    <row r="576" spans="1:15" ht="13" x14ac:dyDescent="0.15">
      <c r="A576" s="79"/>
      <c r="B576" s="79"/>
      <c r="K576" s="56"/>
      <c r="L576" s="79"/>
      <c r="O576" s="56"/>
    </row>
    <row r="577" spans="1:15" ht="13" x14ac:dyDescent="0.15">
      <c r="A577" s="79"/>
      <c r="B577" s="79"/>
      <c r="K577" s="56"/>
      <c r="L577" s="79"/>
      <c r="O577" s="56"/>
    </row>
    <row r="578" spans="1:15" ht="13" x14ac:dyDescent="0.15">
      <c r="A578" s="79"/>
      <c r="B578" s="79"/>
      <c r="K578" s="56"/>
      <c r="L578" s="79"/>
      <c r="O578" s="56"/>
    </row>
    <row r="579" spans="1:15" ht="13" x14ac:dyDescent="0.15">
      <c r="A579" s="79"/>
      <c r="B579" s="79"/>
      <c r="K579" s="56"/>
      <c r="L579" s="79"/>
      <c r="O579" s="56"/>
    </row>
    <row r="580" spans="1:15" ht="13" x14ac:dyDescent="0.15">
      <c r="A580" s="79"/>
      <c r="B580" s="79"/>
      <c r="K580" s="56"/>
      <c r="L580" s="79"/>
      <c r="O580" s="56"/>
    </row>
    <row r="581" spans="1:15" ht="13" x14ac:dyDescent="0.15">
      <c r="A581" s="79"/>
      <c r="B581" s="79"/>
      <c r="K581" s="56"/>
      <c r="L581" s="79"/>
      <c r="O581" s="56"/>
    </row>
    <row r="582" spans="1:15" ht="13" x14ac:dyDescent="0.15">
      <c r="A582" s="79"/>
      <c r="B582" s="79"/>
      <c r="K582" s="56"/>
      <c r="L582" s="79"/>
      <c r="O582" s="56"/>
    </row>
    <row r="583" spans="1:15" ht="13" x14ac:dyDescent="0.15">
      <c r="A583" s="79"/>
      <c r="B583" s="79"/>
      <c r="K583" s="56"/>
      <c r="L583" s="79"/>
      <c r="O583" s="56"/>
    </row>
    <row r="584" spans="1:15" ht="13" x14ac:dyDescent="0.15">
      <c r="A584" s="79"/>
      <c r="B584" s="79"/>
      <c r="K584" s="56"/>
      <c r="L584" s="79"/>
      <c r="O584" s="56"/>
    </row>
    <row r="585" spans="1:15" ht="13" x14ac:dyDescent="0.15">
      <c r="A585" s="79"/>
      <c r="B585" s="79"/>
      <c r="K585" s="56"/>
      <c r="L585" s="79"/>
      <c r="O585" s="56"/>
    </row>
    <row r="586" spans="1:15" ht="13" x14ac:dyDescent="0.15">
      <c r="A586" s="79"/>
      <c r="B586" s="79"/>
      <c r="K586" s="56"/>
      <c r="L586" s="79"/>
      <c r="O586" s="56"/>
    </row>
    <row r="587" spans="1:15" ht="13" x14ac:dyDescent="0.15">
      <c r="A587" s="79"/>
      <c r="B587" s="79"/>
      <c r="K587" s="56"/>
      <c r="L587" s="79"/>
      <c r="O587" s="56"/>
    </row>
    <row r="588" spans="1:15" ht="13" x14ac:dyDescent="0.15">
      <c r="A588" s="79"/>
      <c r="B588" s="79"/>
      <c r="K588" s="56"/>
      <c r="L588" s="79"/>
      <c r="O588" s="56"/>
    </row>
    <row r="589" spans="1:15" ht="13" x14ac:dyDescent="0.15">
      <c r="A589" s="79"/>
      <c r="B589" s="79"/>
      <c r="K589" s="56"/>
      <c r="L589" s="79"/>
      <c r="O589" s="56"/>
    </row>
    <row r="590" spans="1:15" ht="13" x14ac:dyDescent="0.15">
      <c r="A590" s="79"/>
      <c r="B590" s="79"/>
      <c r="K590" s="56"/>
      <c r="L590" s="79"/>
      <c r="O590" s="56"/>
    </row>
    <row r="591" spans="1:15" ht="13" x14ac:dyDescent="0.15">
      <c r="A591" s="79"/>
      <c r="B591" s="79"/>
      <c r="K591" s="56"/>
      <c r="L591" s="79"/>
      <c r="O591" s="56"/>
    </row>
    <row r="592" spans="1:15" ht="13" x14ac:dyDescent="0.15">
      <c r="A592" s="79"/>
      <c r="B592" s="79"/>
      <c r="K592" s="56"/>
      <c r="L592" s="79"/>
      <c r="O592" s="56"/>
    </row>
    <row r="593" spans="1:15" ht="13" x14ac:dyDescent="0.15">
      <c r="A593" s="79"/>
      <c r="B593" s="79"/>
      <c r="K593" s="56"/>
      <c r="L593" s="79"/>
      <c r="O593" s="56"/>
    </row>
    <row r="594" spans="1:15" ht="13" x14ac:dyDescent="0.15">
      <c r="A594" s="79"/>
      <c r="B594" s="79"/>
      <c r="K594" s="56"/>
      <c r="L594" s="79"/>
      <c r="O594" s="56"/>
    </row>
    <row r="595" spans="1:15" ht="13" x14ac:dyDescent="0.15">
      <c r="A595" s="79"/>
      <c r="B595" s="79"/>
      <c r="K595" s="56"/>
      <c r="L595" s="79"/>
      <c r="O595" s="56"/>
    </row>
    <row r="596" spans="1:15" ht="13" x14ac:dyDescent="0.15">
      <c r="A596" s="79"/>
      <c r="B596" s="79"/>
      <c r="K596" s="56"/>
      <c r="L596" s="79"/>
      <c r="O596" s="56"/>
    </row>
    <row r="597" spans="1:15" ht="13" x14ac:dyDescent="0.15">
      <c r="A597" s="79"/>
      <c r="B597" s="79"/>
      <c r="K597" s="56"/>
      <c r="L597" s="79"/>
      <c r="O597" s="56"/>
    </row>
    <row r="598" spans="1:15" ht="13" x14ac:dyDescent="0.15">
      <c r="A598" s="79"/>
      <c r="B598" s="79"/>
      <c r="K598" s="56"/>
      <c r="L598" s="79"/>
      <c r="O598" s="56"/>
    </row>
    <row r="599" spans="1:15" ht="13" x14ac:dyDescent="0.15">
      <c r="A599" s="79"/>
      <c r="B599" s="79"/>
      <c r="K599" s="56"/>
      <c r="L599" s="79"/>
      <c r="O599" s="56"/>
    </row>
    <row r="600" spans="1:15" ht="13" x14ac:dyDescent="0.15">
      <c r="A600" s="79"/>
      <c r="B600" s="79"/>
      <c r="K600" s="56"/>
      <c r="L600" s="79"/>
      <c r="O600" s="56"/>
    </row>
    <row r="601" spans="1:15" ht="13" x14ac:dyDescent="0.15">
      <c r="A601" s="79"/>
      <c r="B601" s="79"/>
      <c r="K601" s="56"/>
      <c r="L601" s="79"/>
      <c r="O601" s="56"/>
    </row>
    <row r="602" spans="1:15" ht="13" x14ac:dyDescent="0.15">
      <c r="A602" s="79"/>
      <c r="B602" s="79"/>
      <c r="K602" s="56"/>
      <c r="L602" s="79"/>
      <c r="O602" s="56"/>
    </row>
    <row r="603" spans="1:15" ht="13" x14ac:dyDescent="0.15">
      <c r="A603" s="79"/>
      <c r="B603" s="79"/>
      <c r="K603" s="56"/>
      <c r="L603" s="79"/>
      <c r="O603" s="56"/>
    </row>
    <row r="604" spans="1:15" ht="13" x14ac:dyDescent="0.15">
      <c r="A604" s="79"/>
      <c r="B604" s="79"/>
      <c r="K604" s="56"/>
      <c r="L604" s="79"/>
      <c r="O604" s="56"/>
    </row>
    <row r="605" spans="1:15" ht="13" x14ac:dyDescent="0.15">
      <c r="A605" s="79"/>
      <c r="B605" s="79"/>
      <c r="K605" s="56"/>
      <c r="L605" s="79"/>
      <c r="O605" s="56"/>
    </row>
    <row r="606" spans="1:15" ht="13" x14ac:dyDescent="0.15">
      <c r="A606" s="79"/>
      <c r="B606" s="79"/>
      <c r="K606" s="56"/>
      <c r="L606" s="79"/>
      <c r="O606" s="56"/>
    </row>
    <row r="607" spans="1:15" ht="13" x14ac:dyDescent="0.15">
      <c r="A607" s="79"/>
      <c r="B607" s="79"/>
      <c r="K607" s="56"/>
      <c r="L607" s="79"/>
      <c r="O607" s="56"/>
    </row>
    <row r="608" spans="1:15" ht="13" x14ac:dyDescent="0.15">
      <c r="A608" s="79"/>
      <c r="B608" s="79"/>
      <c r="K608" s="56"/>
      <c r="L608" s="79"/>
      <c r="O608" s="56"/>
    </row>
    <row r="609" spans="1:15" ht="13" x14ac:dyDescent="0.15">
      <c r="A609" s="79"/>
      <c r="B609" s="79"/>
      <c r="K609" s="56"/>
      <c r="L609" s="79"/>
      <c r="O609" s="56"/>
    </row>
    <row r="610" spans="1:15" ht="13" x14ac:dyDescent="0.15">
      <c r="A610" s="79"/>
      <c r="B610" s="79"/>
      <c r="K610" s="56"/>
      <c r="L610" s="79"/>
      <c r="O610" s="56"/>
    </row>
    <row r="611" spans="1:15" ht="13" x14ac:dyDescent="0.15">
      <c r="A611" s="79"/>
      <c r="B611" s="79"/>
      <c r="K611" s="56"/>
      <c r="L611" s="79"/>
      <c r="O611" s="56"/>
    </row>
    <row r="612" spans="1:15" ht="13" x14ac:dyDescent="0.15">
      <c r="A612" s="79"/>
      <c r="B612" s="79"/>
      <c r="K612" s="56"/>
      <c r="L612" s="79"/>
      <c r="O612" s="56"/>
    </row>
    <row r="613" spans="1:15" ht="13" x14ac:dyDescent="0.15">
      <c r="A613" s="79"/>
      <c r="B613" s="79"/>
      <c r="K613" s="56"/>
      <c r="L613" s="79"/>
      <c r="O613" s="56"/>
    </row>
    <row r="614" spans="1:15" ht="13" x14ac:dyDescent="0.15">
      <c r="A614" s="79"/>
      <c r="B614" s="79"/>
      <c r="K614" s="56"/>
      <c r="L614" s="79"/>
      <c r="O614" s="56"/>
    </row>
    <row r="615" spans="1:15" ht="13" x14ac:dyDescent="0.15">
      <c r="A615" s="79"/>
      <c r="B615" s="79"/>
      <c r="K615" s="56"/>
      <c r="L615" s="79"/>
      <c r="O615" s="56"/>
    </row>
    <row r="616" spans="1:15" ht="13" x14ac:dyDescent="0.15">
      <c r="A616" s="79"/>
      <c r="B616" s="79"/>
      <c r="K616" s="56"/>
      <c r="L616" s="79"/>
      <c r="O616" s="56"/>
    </row>
    <row r="617" spans="1:15" ht="13" x14ac:dyDescent="0.15">
      <c r="A617" s="79"/>
      <c r="B617" s="79"/>
      <c r="K617" s="56"/>
      <c r="L617" s="79"/>
      <c r="O617" s="56"/>
    </row>
    <row r="618" spans="1:15" ht="13" x14ac:dyDescent="0.15">
      <c r="A618" s="79"/>
      <c r="B618" s="79"/>
      <c r="K618" s="56"/>
      <c r="L618" s="79"/>
      <c r="O618" s="56"/>
    </row>
    <row r="619" spans="1:15" ht="13" x14ac:dyDescent="0.15">
      <c r="A619" s="79"/>
      <c r="B619" s="79"/>
      <c r="K619" s="56"/>
      <c r="L619" s="79"/>
      <c r="O619" s="56"/>
    </row>
    <row r="620" spans="1:15" ht="13" x14ac:dyDescent="0.15">
      <c r="A620" s="79"/>
      <c r="B620" s="79"/>
      <c r="K620" s="56"/>
      <c r="L620" s="79"/>
      <c r="O620" s="56"/>
    </row>
    <row r="621" spans="1:15" ht="13" x14ac:dyDescent="0.15">
      <c r="A621" s="79"/>
      <c r="B621" s="79"/>
      <c r="K621" s="56"/>
      <c r="L621" s="79"/>
      <c r="O621" s="56"/>
    </row>
    <row r="622" spans="1:15" ht="13" x14ac:dyDescent="0.15">
      <c r="A622" s="79"/>
      <c r="B622" s="79"/>
      <c r="K622" s="56"/>
      <c r="L622" s="79"/>
      <c r="O622" s="56"/>
    </row>
    <row r="623" spans="1:15" ht="13" x14ac:dyDescent="0.15">
      <c r="A623" s="79"/>
      <c r="B623" s="79"/>
      <c r="K623" s="56"/>
      <c r="L623" s="79"/>
      <c r="O623" s="56"/>
    </row>
    <row r="624" spans="1:15" ht="13" x14ac:dyDescent="0.15">
      <c r="A624" s="79"/>
      <c r="B624" s="79"/>
      <c r="K624" s="56"/>
      <c r="L624" s="79"/>
      <c r="O624" s="56"/>
    </row>
    <row r="625" spans="1:15" ht="13" x14ac:dyDescent="0.15">
      <c r="A625" s="79"/>
      <c r="B625" s="79"/>
      <c r="K625" s="56"/>
      <c r="L625" s="79"/>
      <c r="O625" s="56"/>
    </row>
    <row r="626" spans="1:15" ht="13" x14ac:dyDescent="0.15">
      <c r="A626" s="79"/>
      <c r="B626" s="79"/>
      <c r="K626" s="56"/>
      <c r="L626" s="79"/>
      <c r="O626" s="56"/>
    </row>
    <row r="627" spans="1:15" ht="13" x14ac:dyDescent="0.15">
      <c r="A627" s="79"/>
      <c r="B627" s="79"/>
      <c r="K627" s="56"/>
      <c r="L627" s="79"/>
      <c r="O627" s="56"/>
    </row>
    <row r="628" spans="1:15" ht="13" x14ac:dyDescent="0.15">
      <c r="A628" s="79"/>
      <c r="B628" s="79"/>
      <c r="K628" s="56"/>
      <c r="L628" s="79"/>
      <c r="O628" s="56"/>
    </row>
    <row r="629" spans="1:15" ht="13" x14ac:dyDescent="0.15">
      <c r="A629" s="79"/>
      <c r="B629" s="79"/>
      <c r="K629" s="56"/>
      <c r="L629" s="79"/>
      <c r="O629" s="56"/>
    </row>
    <row r="630" spans="1:15" ht="13" x14ac:dyDescent="0.15">
      <c r="A630" s="79"/>
      <c r="B630" s="79"/>
      <c r="K630" s="56"/>
      <c r="L630" s="79"/>
      <c r="O630" s="56"/>
    </row>
    <row r="631" spans="1:15" ht="13" x14ac:dyDescent="0.15">
      <c r="A631" s="79"/>
      <c r="B631" s="79"/>
      <c r="K631" s="56"/>
      <c r="L631" s="79"/>
      <c r="O631" s="56"/>
    </row>
    <row r="632" spans="1:15" ht="13" x14ac:dyDescent="0.15">
      <c r="A632" s="79"/>
      <c r="B632" s="79"/>
      <c r="K632" s="56"/>
      <c r="L632" s="79"/>
      <c r="O632" s="56"/>
    </row>
    <row r="633" spans="1:15" ht="13" x14ac:dyDescent="0.15">
      <c r="A633" s="79"/>
      <c r="B633" s="79"/>
      <c r="K633" s="56"/>
      <c r="L633" s="79"/>
      <c r="O633" s="56"/>
    </row>
    <row r="634" spans="1:15" ht="13" x14ac:dyDescent="0.15">
      <c r="A634" s="79"/>
      <c r="B634" s="79"/>
      <c r="K634" s="56"/>
      <c r="L634" s="79"/>
      <c r="O634" s="56"/>
    </row>
    <row r="635" spans="1:15" ht="13" x14ac:dyDescent="0.15">
      <c r="A635" s="79"/>
      <c r="B635" s="79"/>
      <c r="K635" s="56"/>
      <c r="L635" s="79"/>
      <c r="O635" s="56"/>
    </row>
    <row r="636" spans="1:15" ht="13" x14ac:dyDescent="0.15">
      <c r="A636" s="79"/>
      <c r="B636" s="79"/>
      <c r="K636" s="56"/>
      <c r="L636" s="79"/>
      <c r="O636" s="56"/>
    </row>
    <row r="637" spans="1:15" ht="13" x14ac:dyDescent="0.15">
      <c r="A637" s="79"/>
      <c r="B637" s="79"/>
      <c r="K637" s="56"/>
      <c r="L637" s="79"/>
      <c r="O637" s="56"/>
    </row>
    <row r="638" spans="1:15" ht="13" x14ac:dyDescent="0.15">
      <c r="A638" s="79"/>
      <c r="B638" s="79"/>
      <c r="K638" s="56"/>
      <c r="L638" s="79"/>
      <c r="O638" s="56"/>
    </row>
    <row r="639" spans="1:15" ht="13" x14ac:dyDescent="0.15">
      <c r="A639" s="79"/>
      <c r="B639" s="79"/>
      <c r="K639" s="56"/>
      <c r="L639" s="79"/>
      <c r="O639" s="56"/>
    </row>
    <row r="640" spans="1:15" ht="13" x14ac:dyDescent="0.15">
      <c r="A640" s="79"/>
      <c r="B640" s="79"/>
      <c r="K640" s="56"/>
      <c r="L640" s="79"/>
      <c r="O640" s="56"/>
    </row>
    <row r="641" spans="1:15" ht="13" x14ac:dyDescent="0.15">
      <c r="A641" s="79"/>
      <c r="B641" s="79"/>
      <c r="K641" s="56"/>
      <c r="L641" s="79"/>
      <c r="O641" s="56"/>
    </row>
    <row r="642" spans="1:15" ht="13" x14ac:dyDescent="0.15">
      <c r="A642" s="79"/>
      <c r="B642" s="79"/>
      <c r="K642" s="56"/>
      <c r="L642" s="79"/>
      <c r="O642" s="56"/>
    </row>
    <row r="643" spans="1:15" ht="13" x14ac:dyDescent="0.15">
      <c r="A643" s="79"/>
      <c r="B643" s="79"/>
      <c r="K643" s="56"/>
      <c r="L643" s="79"/>
      <c r="O643" s="56"/>
    </row>
    <row r="644" spans="1:15" ht="13" x14ac:dyDescent="0.15">
      <c r="A644" s="79"/>
      <c r="B644" s="79"/>
      <c r="K644" s="56"/>
      <c r="L644" s="79"/>
      <c r="O644" s="56"/>
    </row>
    <row r="645" spans="1:15" ht="13" x14ac:dyDescent="0.15">
      <c r="A645" s="79"/>
      <c r="B645" s="79"/>
      <c r="K645" s="56"/>
      <c r="L645" s="79"/>
      <c r="O645" s="56"/>
    </row>
    <row r="646" spans="1:15" ht="13" x14ac:dyDescent="0.15">
      <c r="A646" s="79"/>
      <c r="B646" s="79"/>
      <c r="K646" s="56"/>
      <c r="L646" s="79"/>
      <c r="O646" s="56"/>
    </row>
    <row r="647" spans="1:15" ht="13" x14ac:dyDescent="0.15">
      <c r="A647" s="79"/>
      <c r="B647" s="79"/>
      <c r="K647" s="56"/>
      <c r="L647" s="79"/>
      <c r="O647" s="56"/>
    </row>
    <row r="648" spans="1:15" ht="13" x14ac:dyDescent="0.15">
      <c r="A648" s="79"/>
      <c r="B648" s="79"/>
      <c r="K648" s="56"/>
      <c r="L648" s="79"/>
      <c r="O648" s="56"/>
    </row>
    <row r="649" spans="1:15" ht="13" x14ac:dyDescent="0.15">
      <c r="A649" s="79"/>
      <c r="B649" s="79"/>
      <c r="K649" s="56"/>
      <c r="L649" s="79"/>
      <c r="O649" s="56"/>
    </row>
    <row r="650" spans="1:15" ht="13" x14ac:dyDescent="0.15">
      <c r="A650" s="79"/>
      <c r="B650" s="79"/>
      <c r="K650" s="56"/>
      <c r="L650" s="79"/>
      <c r="O650" s="56"/>
    </row>
    <row r="651" spans="1:15" ht="13" x14ac:dyDescent="0.15">
      <c r="A651" s="79"/>
      <c r="B651" s="79"/>
      <c r="K651" s="56"/>
      <c r="L651" s="79"/>
      <c r="O651" s="56"/>
    </row>
    <row r="652" spans="1:15" ht="13" x14ac:dyDescent="0.15">
      <c r="A652" s="79"/>
      <c r="B652" s="79"/>
      <c r="K652" s="56"/>
      <c r="L652" s="79"/>
      <c r="O652" s="56"/>
    </row>
    <row r="653" spans="1:15" ht="13" x14ac:dyDescent="0.15">
      <c r="A653" s="79"/>
      <c r="B653" s="79"/>
      <c r="K653" s="56"/>
      <c r="L653" s="79"/>
      <c r="O653" s="56"/>
    </row>
    <row r="654" spans="1:15" ht="13" x14ac:dyDescent="0.15">
      <c r="A654" s="79"/>
      <c r="B654" s="79"/>
      <c r="K654" s="56"/>
      <c r="L654" s="79"/>
      <c r="O654" s="56"/>
    </row>
    <row r="655" spans="1:15" ht="13" x14ac:dyDescent="0.15">
      <c r="A655" s="79"/>
      <c r="B655" s="79"/>
      <c r="K655" s="56"/>
      <c r="L655" s="79"/>
      <c r="O655" s="56"/>
    </row>
    <row r="656" spans="1:15" ht="13" x14ac:dyDescent="0.15">
      <c r="A656" s="79"/>
      <c r="B656" s="79"/>
      <c r="K656" s="56"/>
      <c r="L656" s="79"/>
      <c r="O656" s="56"/>
    </row>
    <row r="657" spans="1:15" ht="13" x14ac:dyDescent="0.15">
      <c r="A657" s="79"/>
      <c r="B657" s="79"/>
      <c r="K657" s="56"/>
      <c r="L657" s="79"/>
      <c r="O657" s="56"/>
    </row>
    <row r="658" spans="1:15" ht="13" x14ac:dyDescent="0.15">
      <c r="A658" s="79"/>
      <c r="B658" s="79"/>
      <c r="K658" s="56"/>
      <c r="L658" s="79"/>
      <c r="O658" s="56"/>
    </row>
    <row r="659" spans="1:15" ht="13" x14ac:dyDescent="0.15">
      <c r="A659" s="79"/>
      <c r="B659" s="79"/>
      <c r="K659" s="56"/>
      <c r="L659" s="79"/>
      <c r="O659" s="56"/>
    </row>
    <row r="660" spans="1:15" ht="13" x14ac:dyDescent="0.15">
      <c r="A660" s="79"/>
      <c r="B660" s="79"/>
      <c r="K660" s="56"/>
      <c r="L660" s="79"/>
      <c r="O660" s="56"/>
    </row>
    <row r="661" spans="1:15" ht="13" x14ac:dyDescent="0.15">
      <c r="A661" s="79"/>
      <c r="B661" s="79"/>
      <c r="K661" s="56"/>
      <c r="L661" s="79"/>
      <c r="O661" s="56"/>
    </row>
    <row r="662" spans="1:15" ht="13" x14ac:dyDescent="0.15">
      <c r="A662" s="79"/>
      <c r="B662" s="79"/>
      <c r="K662" s="56"/>
      <c r="L662" s="79"/>
      <c r="O662" s="56"/>
    </row>
    <row r="663" spans="1:15" ht="13" x14ac:dyDescent="0.15">
      <c r="A663" s="79"/>
      <c r="B663" s="79"/>
      <c r="K663" s="56"/>
      <c r="L663" s="79"/>
      <c r="O663" s="56"/>
    </row>
    <row r="664" spans="1:15" ht="13" x14ac:dyDescent="0.15">
      <c r="A664" s="79"/>
      <c r="B664" s="79"/>
      <c r="K664" s="56"/>
      <c r="L664" s="79"/>
      <c r="O664" s="56"/>
    </row>
    <row r="665" spans="1:15" ht="13" x14ac:dyDescent="0.15">
      <c r="A665" s="79"/>
      <c r="B665" s="79"/>
      <c r="K665" s="56"/>
      <c r="L665" s="79"/>
      <c r="O665" s="56"/>
    </row>
    <row r="666" spans="1:15" ht="13" x14ac:dyDescent="0.15">
      <c r="A666" s="79"/>
      <c r="B666" s="79"/>
      <c r="K666" s="56"/>
      <c r="L666" s="79"/>
      <c r="O666" s="56"/>
    </row>
    <row r="667" spans="1:15" ht="13" x14ac:dyDescent="0.15">
      <c r="A667" s="79"/>
      <c r="B667" s="79"/>
      <c r="K667" s="56"/>
      <c r="L667" s="79"/>
      <c r="O667" s="56"/>
    </row>
    <row r="668" spans="1:15" ht="13" x14ac:dyDescent="0.15">
      <c r="A668" s="79"/>
      <c r="B668" s="79"/>
      <c r="K668" s="56"/>
      <c r="L668" s="79"/>
      <c r="O668" s="56"/>
    </row>
    <row r="669" spans="1:15" ht="13" x14ac:dyDescent="0.15">
      <c r="A669" s="79"/>
      <c r="B669" s="79"/>
      <c r="K669" s="56"/>
      <c r="L669" s="79"/>
      <c r="O669" s="56"/>
    </row>
    <row r="670" spans="1:15" ht="13" x14ac:dyDescent="0.15">
      <c r="A670" s="79"/>
      <c r="B670" s="79"/>
      <c r="K670" s="56"/>
      <c r="L670" s="79"/>
      <c r="O670" s="56"/>
    </row>
    <row r="671" spans="1:15" ht="13" x14ac:dyDescent="0.15">
      <c r="A671" s="79"/>
      <c r="B671" s="79"/>
      <c r="K671" s="56"/>
      <c r="L671" s="79"/>
      <c r="O671" s="56"/>
    </row>
    <row r="672" spans="1:15" ht="13" x14ac:dyDescent="0.15">
      <c r="A672" s="79"/>
      <c r="B672" s="79"/>
      <c r="K672" s="56"/>
      <c r="L672" s="79"/>
      <c r="O672" s="56"/>
    </row>
    <row r="673" spans="1:15" ht="13" x14ac:dyDescent="0.15">
      <c r="A673" s="79"/>
      <c r="B673" s="79"/>
      <c r="K673" s="56"/>
      <c r="L673" s="79"/>
      <c r="O673" s="56"/>
    </row>
    <row r="674" spans="1:15" ht="13" x14ac:dyDescent="0.15">
      <c r="A674" s="79"/>
      <c r="B674" s="79"/>
      <c r="K674" s="56"/>
      <c r="L674" s="79"/>
      <c r="O674" s="56"/>
    </row>
    <row r="675" spans="1:15" ht="13" x14ac:dyDescent="0.15">
      <c r="A675" s="79"/>
      <c r="B675" s="79"/>
      <c r="K675" s="56"/>
      <c r="L675" s="79"/>
      <c r="O675" s="56"/>
    </row>
    <row r="676" spans="1:15" ht="13" x14ac:dyDescent="0.15">
      <c r="A676" s="79"/>
      <c r="B676" s="79"/>
      <c r="K676" s="56"/>
      <c r="L676" s="79"/>
      <c r="O676" s="56"/>
    </row>
    <row r="677" spans="1:15" ht="13" x14ac:dyDescent="0.15">
      <c r="A677" s="79"/>
      <c r="B677" s="79"/>
      <c r="K677" s="56"/>
      <c r="L677" s="79"/>
      <c r="O677" s="56"/>
    </row>
    <row r="678" spans="1:15" ht="13" x14ac:dyDescent="0.15">
      <c r="A678" s="79"/>
      <c r="B678" s="79"/>
      <c r="K678" s="56"/>
      <c r="L678" s="79"/>
      <c r="O678" s="56"/>
    </row>
    <row r="679" spans="1:15" ht="13" x14ac:dyDescent="0.15">
      <c r="A679" s="79"/>
      <c r="B679" s="79"/>
      <c r="K679" s="56"/>
      <c r="L679" s="79"/>
      <c r="O679" s="56"/>
    </row>
    <row r="680" spans="1:15" ht="13" x14ac:dyDescent="0.15">
      <c r="A680" s="79"/>
      <c r="B680" s="79"/>
      <c r="K680" s="56"/>
      <c r="L680" s="79"/>
      <c r="O680" s="56"/>
    </row>
    <row r="681" spans="1:15" ht="13" x14ac:dyDescent="0.15">
      <c r="A681" s="79"/>
      <c r="B681" s="79"/>
      <c r="K681" s="56"/>
      <c r="L681" s="79"/>
      <c r="O681" s="56"/>
    </row>
    <row r="682" spans="1:15" ht="13" x14ac:dyDescent="0.15">
      <c r="A682" s="79"/>
      <c r="B682" s="79"/>
      <c r="K682" s="56"/>
      <c r="L682" s="79"/>
      <c r="O682" s="56"/>
    </row>
    <row r="683" spans="1:15" ht="13" x14ac:dyDescent="0.15">
      <c r="A683" s="79"/>
      <c r="B683" s="79"/>
      <c r="K683" s="56"/>
      <c r="L683" s="79"/>
      <c r="O683" s="56"/>
    </row>
    <row r="684" spans="1:15" ht="13" x14ac:dyDescent="0.15">
      <c r="A684" s="79"/>
      <c r="B684" s="79"/>
      <c r="K684" s="56"/>
      <c r="L684" s="79"/>
      <c r="O684" s="56"/>
    </row>
    <row r="685" spans="1:15" ht="13" x14ac:dyDescent="0.15">
      <c r="A685" s="79"/>
      <c r="B685" s="79"/>
      <c r="K685" s="56"/>
      <c r="L685" s="79"/>
      <c r="O685" s="56"/>
    </row>
    <row r="686" spans="1:15" ht="13" x14ac:dyDescent="0.15">
      <c r="A686" s="79"/>
      <c r="B686" s="79"/>
      <c r="K686" s="56"/>
      <c r="L686" s="79"/>
      <c r="O686" s="56"/>
    </row>
    <row r="687" spans="1:15" ht="13" x14ac:dyDescent="0.15">
      <c r="A687" s="79"/>
      <c r="B687" s="79"/>
      <c r="K687" s="56"/>
      <c r="L687" s="79"/>
      <c r="O687" s="56"/>
    </row>
    <row r="688" spans="1:15" ht="13" x14ac:dyDescent="0.15">
      <c r="A688" s="79"/>
      <c r="B688" s="79"/>
      <c r="K688" s="56"/>
      <c r="L688" s="79"/>
      <c r="O688" s="56"/>
    </row>
    <row r="689" spans="1:15" ht="13" x14ac:dyDescent="0.15">
      <c r="A689" s="79"/>
      <c r="B689" s="79"/>
      <c r="K689" s="56"/>
      <c r="L689" s="79"/>
      <c r="O689" s="56"/>
    </row>
    <row r="690" spans="1:15" ht="13" x14ac:dyDescent="0.15">
      <c r="A690" s="79"/>
      <c r="B690" s="79"/>
      <c r="K690" s="56"/>
      <c r="L690" s="79"/>
      <c r="O690" s="56"/>
    </row>
    <row r="691" spans="1:15" ht="13" x14ac:dyDescent="0.15">
      <c r="A691" s="79"/>
      <c r="B691" s="79"/>
      <c r="K691" s="56"/>
      <c r="L691" s="79"/>
      <c r="O691" s="56"/>
    </row>
    <row r="692" spans="1:15" ht="13" x14ac:dyDescent="0.15">
      <c r="A692" s="79"/>
      <c r="B692" s="79"/>
      <c r="K692" s="56"/>
      <c r="L692" s="79"/>
      <c r="O692" s="56"/>
    </row>
    <row r="693" spans="1:15" ht="13" x14ac:dyDescent="0.15">
      <c r="A693" s="79"/>
      <c r="B693" s="79"/>
      <c r="K693" s="56"/>
      <c r="L693" s="79"/>
      <c r="O693" s="56"/>
    </row>
    <row r="694" spans="1:15" ht="13" x14ac:dyDescent="0.15">
      <c r="A694" s="79"/>
      <c r="B694" s="79"/>
      <c r="K694" s="56"/>
      <c r="L694" s="79"/>
      <c r="O694" s="56"/>
    </row>
    <row r="695" spans="1:15" ht="13" x14ac:dyDescent="0.15">
      <c r="A695" s="79"/>
      <c r="B695" s="79"/>
      <c r="K695" s="56"/>
      <c r="L695" s="79"/>
      <c r="O695" s="56"/>
    </row>
    <row r="696" spans="1:15" ht="13" x14ac:dyDescent="0.15">
      <c r="A696" s="79"/>
      <c r="B696" s="79"/>
      <c r="K696" s="56"/>
      <c r="L696" s="79"/>
      <c r="O696" s="56"/>
    </row>
    <row r="697" spans="1:15" ht="13" x14ac:dyDescent="0.15">
      <c r="A697" s="79"/>
      <c r="B697" s="79"/>
      <c r="K697" s="56"/>
      <c r="L697" s="79"/>
      <c r="O697" s="56"/>
    </row>
    <row r="698" spans="1:15" ht="13" x14ac:dyDescent="0.15">
      <c r="A698" s="79"/>
      <c r="B698" s="79"/>
      <c r="K698" s="56"/>
      <c r="L698" s="79"/>
      <c r="O698" s="56"/>
    </row>
    <row r="699" spans="1:15" ht="13" x14ac:dyDescent="0.15">
      <c r="A699" s="79"/>
      <c r="B699" s="79"/>
      <c r="K699" s="56"/>
      <c r="L699" s="79"/>
      <c r="O699" s="56"/>
    </row>
    <row r="700" spans="1:15" ht="13" x14ac:dyDescent="0.15">
      <c r="A700" s="79"/>
      <c r="B700" s="79"/>
      <c r="K700" s="56"/>
      <c r="L700" s="79"/>
      <c r="O700" s="56"/>
    </row>
    <row r="701" spans="1:15" ht="13" x14ac:dyDescent="0.15">
      <c r="A701" s="79"/>
      <c r="B701" s="79"/>
      <c r="K701" s="56"/>
      <c r="L701" s="79"/>
      <c r="O701" s="56"/>
    </row>
    <row r="702" spans="1:15" ht="13" x14ac:dyDescent="0.15">
      <c r="A702" s="79"/>
      <c r="B702" s="79"/>
      <c r="K702" s="56"/>
      <c r="L702" s="79"/>
      <c r="O702" s="56"/>
    </row>
    <row r="703" spans="1:15" ht="13" x14ac:dyDescent="0.15">
      <c r="A703" s="79"/>
      <c r="B703" s="79"/>
      <c r="K703" s="56"/>
      <c r="L703" s="79"/>
      <c r="O703" s="56"/>
    </row>
    <row r="704" spans="1:15" ht="13" x14ac:dyDescent="0.15">
      <c r="A704" s="79"/>
      <c r="B704" s="79"/>
      <c r="K704" s="56"/>
      <c r="L704" s="79"/>
      <c r="O704" s="56"/>
    </row>
    <row r="705" spans="1:15" ht="13" x14ac:dyDescent="0.15">
      <c r="A705" s="79"/>
      <c r="B705" s="79"/>
      <c r="K705" s="56"/>
      <c r="L705" s="79"/>
      <c r="O705" s="56"/>
    </row>
    <row r="706" spans="1:15" ht="13" x14ac:dyDescent="0.15">
      <c r="A706" s="79"/>
      <c r="B706" s="79"/>
      <c r="K706" s="56"/>
      <c r="L706" s="79"/>
      <c r="O706" s="56"/>
    </row>
    <row r="707" spans="1:15" ht="13" x14ac:dyDescent="0.15">
      <c r="A707" s="79"/>
      <c r="B707" s="79"/>
      <c r="K707" s="56"/>
      <c r="L707" s="79"/>
      <c r="O707" s="56"/>
    </row>
    <row r="708" spans="1:15" ht="13" x14ac:dyDescent="0.15">
      <c r="A708" s="79"/>
      <c r="B708" s="79"/>
      <c r="K708" s="56"/>
      <c r="L708" s="79"/>
      <c r="O708" s="56"/>
    </row>
    <row r="709" spans="1:15" ht="13" x14ac:dyDescent="0.15">
      <c r="A709" s="79"/>
      <c r="B709" s="79"/>
      <c r="K709" s="56"/>
      <c r="L709" s="79"/>
      <c r="O709" s="56"/>
    </row>
    <row r="710" spans="1:15" ht="13" x14ac:dyDescent="0.15">
      <c r="A710" s="79"/>
      <c r="B710" s="79"/>
      <c r="K710" s="56"/>
      <c r="L710" s="79"/>
      <c r="O710" s="56"/>
    </row>
    <row r="711" spans="1:15" ht="13" x14ac:dyDescent="0.15">
      <c r="A711" s="79"/>
      <c r="B711" s="79"/>
      <c r="K711" s="56"/>
      <c r="L711" s="79"/>
      <c r="O711" s="56"/>
    </row>
    <row r="712" spans="1:15" ht="13" x14ac:dyDescent="0.15">
      <c r="A712" s="79"/>
      <c r="B712" s="79"/>
      <c r="K712" s="56"/>
      <c r="L712" s="79"/>
      <c r="O712" s="56"/>
    </row>
    <row r="713" spans="1:15" ht="13" x14ac:dyDescent="0.15">
      <c r="A713" s="79"/>
      <c r="B713" s="79"/>
      <c r="K713" s="56"/>
      <c r="L713" s="79"/>
      <c r="O713" s="56"/>
    </row>
    <row r="714" spans="1:15" ht="13" x14ac:dyDescent="0.15">
      <c r="A714" s="79"/>
      <c r="B714" s="79"/>
      <c r="K714" s="56"/>
      <c r="L714" s="79"/>
      <c r="O714" s="56"/>
    </row>
    <row r="715" spans="1:15" ht="13" x14ac:dyDescent="0.15">
      <c r="A715" s="79"/>
      <c r="B715" s="79"/>
      <c r="K715" s="56"/>
      <c r="L715" s="79"/>
      <c r="O715" s="56"/>
    </row>
    <row r="716" spans="1:15" ht="13" x14ac:dyDescent="0.15">
      <c r="A716" s="79"/>
      <c r="B716" s="79"/>
      <c r="K716" s="56"/>
      <c r="L716" s="79"/>
      <c r="O716" s="56"/>
    </row>
    <row r="717" spans="1:15" ht="13" x14ac:dyDescent="0.15">
      <c r="A717" s="79"/>
      <c r="B717" s="79"/>
      <c r="K717" s="56"/>
      <c r="L717" s="79"/>
      <c r="O717" s="56"/>
    </row>
    <row r="718" spans="1:15" ht="13" x14ac:dyDescent="0.15">
      <c r="A718" s="79"/>
      <c r="B718" s="79"/>
      <c r="K718" s="56"/>
      <c r="L718" s="79"/>
      <c r="O718" s="56"/>
    </row>
    <row r="719" spans="1:15" ht="13" x14ac:dyDescent="0.15">
      <c r="A719" s="79"/>
      <c r="B719" s="79"/>
      <c r="K719" s="56"/>
      <c r="L719" s="79"/>
      <c r="O719" s="56"/>
    </row>
    <row r="720" spans="1:15" ht="13" x14ac:dyDescent="0.15">
      <c r="A720" s="79"/>
      <c r="B720" s="79"/>
      <c r="K720" s="56"/>
      <c r="L720" s="79"/>
      <c r="O720" s="56"/>
    </row>
    <row r="721" spans="1:15" ht="13" x14ac:dyDescent="0.15">
      <c r="A721" s="79"/>
      <c r="B721" s="79"/>
      <c r="K721" s="56"/>
      <c r="L721" s="79"/>
      <c r="O721" s="56"/>
    </row>
    <row r="722" spans="1:15" ht="13" x14ac:dyDescent="0.15">
      <c r="A722" s="79"/>
      <c r="B722" s="79"/>
      <c r="K722" s="56"/>
      <c r="L722" s="79"/>
      <c r="O722" s="56"/>
    </row>
    <row r="723" spans="1:15" ht="13" x14ac:dyDescent="0.15">
      <c r="A723" s="79"/>
      <c r="B723" s="79"/>
      <c r="K723" s="56"/>
      <c r="L723" s="79"/>
      <c r="O723" s="56"/>
    </row>
    <row r="724" spans="1:15" ht="13" x14ac:dyDescent="0.15">
      <c r="A724" s="79"/>
      <c r="B724" s="79"/>
      <c r="K724" s="56"/>
      <c r="L724" s="79"/>
      <c r="O724" s="56"/>
    </row>
    <row r="725" spans="1:15" ht="13" x14ac:dyDescent="0.15">
      <c r="A725" s="79"/>
      <c r="B725" s="79"/>
      <c r="K725" s="56"/>
      <c r="L725" s="79"/>
      <c r="O725" s="56"/>
    </row>
    <row r="726" spans="1:15" ht="13" x14ac:dyDescent="0.15">
      <c r="A726" s="79"/>
      <c r="B726" s="79"/>
      <c r="K726" s="56"/>
      <c r="L726" s="79"/>
      <c r="O726" s="56"/>
    </row>
    <row r="727" spans="1:15" ht="13" x14ac:dyDescent="0.15">
      <c r="A727" s="79"/>
      <c r="B727" s="79"/>
      <c r="K727" s="56"/>
      <c r="L727" s="79"/>
      <c r="O727" s="56"/>
    </row>
    <row r="728" spans="1:15" ht="13" x14ac:dyDescent="0.15">
      <c r="A728" s="79"/>
      <c r="B728" s="79"/>
      <c r="K728" s="56"/>
      <c r="L728" s="79"/>
      <c r="O728" s="56"/>
    </row>
    <row r="729" spans="1:15" ht="13" x14ac:dyDescent="0.15">
      <c r="A729" s="79"/>
      <c r="B729" s="79"/>
      <c r="K729" s="56"/>
      <c r="L729" s="79"/>
      <c r="O729" s="56"/>
    </row>
    <row r="730" spans="1:15" ht="13" x14ac:dyDescent="0.15">
      <c r="A730" s="79"/>
      <c r="B730" s="79"/>
      <c r="K730" s="56"/>
      <c r="L730" s="79"/>
      <c r="O730" s="56"/>
    </row>
    <row r="731" spans="1:15" ht="13" x14ac:dyDescent="0.15">
      <c r="A731" s="79"/>
      <c r="B731" s="79"/>
      <c r="K731" s="56"/>
      <c r="L731" s="79"/>
      <c r="O731" s="56"/>
    </row>
    <row r="732" spans="1:15" ht="13" x14ac:dyDescent="0.15">
      <c r="A732" s="79"/>
      <c r="B732" s="79"/>
      <c r="K732" s="56"/>
      <c r="L732" s="79"/>
      <c r="O732" s="56"/>
    </row>
    <row r="733" spans="1:15" ht="13" x14ac:dyDescent="0.15">
      <c r="A733" s="79"/>
      <c r="B733" s="79"/>
      <c r="K733" s="56"/>
      <c r="L733" s="79"/>
      <c r="O733" s="56"/>
    </row>
    <row r="734" spans="1:15" ht="13" x14ac:dyDescent="0.15">
      <c r="A734" s="79"/>
      <c r="B734" s="79"/>
      <c r="K734" s="56"/>
      <c r="L734" s="79"/>
      <c r="O734" s="56"/>
    </row>
    <row r="735" spans="1:15" ht="13" x14ac:dyDescent="0.15">
      <c r="A735" s="79"/>
      <c r="B735" s="79"/>
      <c r="K735" s="56"/>
      <c r="L735" s="79"/>
      <c r="O735" s="56"/>
    </row>
    <row r="736" spans="1:15" ht="13" x14ac:dyDescent="0.15">
      <c r="A736" s="79"/>
      <c r="B736" s="79"/>
      <c r="K736" s="56"/>
      <c r="L736" s="79"/>
      <c r="O736" s="56"/>
    </row>
    <row r="737" spans="1:15" ht="13" x14ac:dyDescent="0.15">
      <c r="A737" s="79"/>
      <c r="B737" s="79"/>
      <c r="K737" s="56"/>
      <c r="L737" s="79"/>
      <c r="O737" s="56"/>
    </row>
    <row r="738" spans="1:15" ht="13" x14ac:dyDescent="0.15">
      <c r="A738" s="79"/>
      <c r="B738" s="79"/>
      <c r="K738" s="56"/>
      <c r="L738" s="79"/>
      <c r="O738" s="56"/>
    </row>
    <row r="739" spans="1:15" ht="13" x14ac:dyDescent="0.15">
      <c r="A739" s="79"/>
      <c r="B739" s="79"/>
      <c r="K739" s="56"/>
      <c r="L739" s="79"/>
      <c r="O739" s="56"/>
    </row>
    <row r="740" spans="1:15" ht="13" x14ac:dyDescent="0.15">
      <c r="A740" s="79"/>
      <c r="B740" s="79"/>
      <c r="K740" s="56"/>
      <c r="L740" s="79"/>
      <c r="O740" s="56"/>
    </row>
    <row r="741" spans="1:15" ht="13" x14ac:dyDescent="0.15">
      <c r="A741" s="79"/>
      <c r="B741" s="79"/>
      <c r="K741" s="56"/>
      <c r="L741" s="79"/>
      <c r="O741" s="56"/>
    </row>
    <row r="742" spans="1:15" ht="13" x14ac:dyDescent="0.15">
      <c r="A742" s="79"/>
      <c r="B742" s="79"/>
      <c r="K742" s="56"/>
      <c r="L742" s="79"/>
      <c r="O742" s="56"/>
    </row>
    <row r="743" spans="1:15" ht="13" x14ac:dyDescent="0.15">
      <c r="A743" s="79"/>
      <c r="B743" s="79"/>
      <c r="K743" s="56"/>
      <c r="L743" s="79"/>
      <c r="O743" s="56"/>
    </row>
    <row r="744" spans="1:15" ht="13" x14ac:dyDescent="0.15">
      <c r="A744" s="79"/>
      <c r="B744" s="79"/>
      <c r="K744" s="56"/>
      <c r="L744" s="79"/>
      <c r="O744" s="56"/>
    </row>
    <row r="745" spans="1:15" ht="13" x14ac:dyDescent="0.15">
      <c r="A745" s="79"/>
      <c r="B745" s="79"/>
      <c r="K745" s="56"/>
      <c r="L745" s="79"/>
      <c r="O745" s="56"/>
    </row>
    <row r="746" spans="1:15" ht="13" x14ac:dyDescent="0.15">
      <c r="A746" s="79"/>
      <c r="B746" s="79"/>
      <c r="K746" s="56"/>
      <c r="L746" s="79"/>
      <c r="O746" s="56"/>
    </row>
    <row r="747" spans="1:15" ht="13" x14ac:dyDescent="0.15">
      <c r="A747" s="79"/>
      <c r="B747" s="79"/>
      <c r="K747" s="56"/>
      <c r="L747" s="79"/>
      <c r="O747" s="56"/>
    </row>
    <row r="748" spans="1:15" ht="13" x14ac:dyDescent="0.15">
      <c r="A748" s="79"/>
      <c r="B748" s="79"/>
      <c r="K748" s="56"/>
      <c r="L748" s="79"/>
      <c r="O748" s="56"/>
    </row>
    <row r="749" spans="1:15" ht="13" x14ac:dyDescent="0.15">
      <c r="A749" s="79"/>
      <c r="B749" s="79"/>
      <c r="K749" s="56"/>
      <c r="L749" s="79"/>
      <c r="O749" s="56"/>
    </row>
    <row r="750" spans="1:15" ht="13" x14ac:dyDescent="0.15">
      <c r="A750" s="79"/>
      <c r="B750" s="79"/>
      <c r="K750" s="56"/>
      <c r="L750" s="79"/>
      <c r="O750" s="56"/>
    </row>
    <row r="751" spans="1:15" ht="13" x14ac:dyDescent="0.15">
      <c r="A751" s="79"/>
      <c r="B751" s="79"/>
      <c r="K751" s="56"/>
      <c r="L751" s="79"/>
      <c r="O751" s="56"/>
    </row>
    <row r="752" spans="1:15" ht="13" x14ac:dyDescent="0.15">
      <c r="A752" s="79"/>
      <c r="B752" s="79"/>
      <c r="K752" s="56"/>
      <c r="L752" s="79"/>
      <c r="O752" s="56"/>
    </row>
    <row r="753" spans="1:15" ht="13" x14ac:dyDescent="0.15">
      <c r="A753" s="79"/>
      <c r="B753" s="79"/>
      <c r="K753" s="56"/>
      <c r="L753" s="79"/>
      <c r="O753" s="56"/>
    </row>
    <row r="754" spans="1:15" ht="13" x14ac:dyDescent="0.15">
      <c r="A754" s="79"/>
      <c r="B754" s="79"/>
      <c r="K754" s="56"/>
      <c r="L754" s="79"/>
      <c r="O754" s="56"/>
    </row>
    <row r="755" spans="1:15" ht="13" x14ac:dyDescent="0.15">
      <c r="A755" s="79"/>
      <c r="B755" s="79"/>
      <c r="K755" s="56"/>
      <c r="L755" s="79"/>
      <c r="O755" s="56"/>
    </row>
    <row r="756" spans="1:15" ht="13" x14ac:dyDescent="0.15">
      <c r="A756" s="79"/>
      <c r="B756" s="79"/>
      <c r="K756" s="56"/>
      <c r="L756" s="79"/>
      <c r="O756" s="56"/>
    </row>
    <row r="757" spans="1:15" ht="13" x14ac:dyDescent="0.15">
      <c r="A757" s="79"/>
      <c r="B757" s="79"/>
      <c r="K757" s="56"/>
      <c r="L757" s="79"/>
      <c r="O757" s="56"/>
    </row>
    <row r="758" spans="1:15" ht="13" x14ac:dyDescent="0.15">
      <c r="A758" s="79"/>
      <c r="B758" s="79"/>
      <c r="K758" s="56"/>
      <c r="L758" s="79"/>
      <c r="O758" s="56"/>
    </row>
    <row r="759" spans="1:15" ht="13" x14ac:dyDescent="0.15">
      <c r="A759" s="79"/>
      <c r="B759" s="79"/>
      <c r="K759" s="56"/>
      <c r="L759" s="79"/>
      <c r="O759" s="56"/>
    </row>
    <row r="760" spans="1:15" ht="13" x14ac:dyDescent="0.15">
      <c r="A760" s="79"/>
      <c r="B760" s="79"/>
      <c r="K760" s="56"/>
      <c r="L760" s="79"/>
      <c r="O760" s="56"/>
    </row>
    <row r="761" spans="1:15" ht="13" x14ac:dyDescent="0.15">
      <c r="A761" s="79"/>
      <c r="B761" s="79"/>
      <c r="K761" s="56"/>
      <c r="L761" s="79"/>
      <c r="O761" s="56"/>
    </row>
    <row r="762" spans="1:15" ht="13" x14ac:dyDescent="0.15">
      <c r="A762" s="79"/>
      <c r="B762" s="79"/>
      <c r="K762" s="56"/>
      <c r="L762" s="79"/>
      <c r="O762" s="56"/>
    </row>
    <row r="763" spans="1:15" ht="13" x14ac:dyDescent="0.15">
      <c r="A763" s="79"/>
      <c r="B763" s="79"/>
      <c r="K763" s="56"/>
      <c r="L763" s="79"/>
      <c r="O763" s="56"/>
    </row>
    <row r="764" spans="1:15" ht="13" x14ac:dyDescent="0.15">
      <c r="A764" s="79"/>
      <c r="B764" s="79"/>
      <c r="K764" s="56"/>
      <c r="L764" s="79"/>
      <c r="O764" s="56"/>
    </row>
    <row r="765" spans="1:15" ht="13" x14ac:dyDescent="0.15">
      <c r="A765" s="79"/>
      <c r="B765" s="79"/>
      <c r="K765" s="56"/>
      <c r="L765" s="79"/>
      <c r="O765" s="56"/>
    </row>
    <row r="766" spans="1:15" ht="13" x14ac:dyDescent="0.15">
      <c r="A766" s="79"/>
      <c r="B766" s="79"/>
      <c r="K766" s="56"/>
      <c r="L766" s="79"/>
      <c r="O766" s="56"/>
    </row>
    <row r="767" spans="1:15" ht="13" x14ac:dyDescent="0.15">
      <c r="A767" s="79"/>
      <c r="B767" s="79"/>
      <c r="K767" s="56"/>
      <c r="L767" s="79"/>
      <c r="O767" s="56"/>
    </row>
    <row r="768" spans="1:15" ht="13" x14ac:dyDescent="0.15">
      <c r="A768" s="79"/>
      <c r="B768" s="79"/>
      <c r="K768" s="56"/>
      <c r="L768" s="79"/>
      <c r="O768" s="56"/>
    </row>
    <row r="769" spans="1:15" ht="13" x14ac:dyDescent="0.15">
      <c r="A769" s="79"/>
      <c r="B769" s="79"/>
      <c r="K769" s="56"/>
      <c r="L769" s="79"/>
      <c r="O769" s="56"/>
    </row>
    <row r="770" spans="1:15" ht="13" x14ac:dyDescent="0.15">
      <c r="A770" s="79"/>
      <c r="B770" s="79"/>
      <c r="K770" s="56"/>
      <c r="L770" s="79"/>
      <c r="O770" s="56"/>
    </row>
    <row r="771" spans="1:15" ht="13" x14ac:dyDescent="0.15">
      <c r="A771" s="79"/>
      <c r="B771" s="79"/>
      <c r="K771" s="56"/>
      <c r="L771" s="79"/>
      <c r="O771" s="56"/>
    </row>
    <row r="772" spans="1:15" ht="13" x14ac:dyDescent="0.15">
      <c r="A772" s="79"/>
      <c r="B772" s="79"/>
      <c r="K772" s="56"/>
      <c r="L772" s="79"/>
      <c r="O772" s="56"/>
    </row>
    <row r="773" spans="1:15" ht="13" x14ac:dyDescent="0.15">
      <c r="A773" s="79"/>
      <c r="B773" s="79"/>
      <c r="K773" s="56"/>
      <c r="L773" s="79"/>
      <c r="O773" s="56"/>
    </row>
    <row r="774" spans="1:15" ht="13" x14ac:dyDescent="0.15">
      <c r="A774" s="79"/>
      <c r="B774" s="79"/>
      <c r="K774" s="56"/>
      <c r="L774" s="79"/>
      <c r="O774" s="56"/>
    </row>
    <row r="775" spans="1:15" ht="13" x14ac:dyDescent="0.15">
      <c r="A775" s="79"/>
      <c r="B775" s="79"/>
      <c r="K775" s="56"/>
      <c r="L775" s="79"/>
      <c r="O775" s="56"/>
    </row>
    <row r="776" spans="1:15" ht="13" x14ac:dyDescent="0.15">
      <c r="A776" s="79"/>
      <c r="B776" s="79"/>
      <c r="K776" s="56"/>
      <c r="L776" s="79"/>
      <c r="O776" s="56"/>
    </row>
    <row r="777" spans="1:15" ht="13" x14ac:dyDescent="0.15">
      <c r="A777" s="79"/>
      <c r="B777" s="79"/>
      <c r="K777" s="56"/>
      <c r="L777" s="79"/>
      <c r="O777" s="56"/>
    </row>
    <row r="778" spans="1:15" ht="13" x14ac:dyDescent="0.15">
      <c r="A778" s="79"/>
      <c r="B778" s="79"/>
      <c r="K778" s="56"/>
      <c r="L778" s="79"/>
      <c r="O778" s="56"/>
    </row>
    <row r="779" spans="1:15" ht="13" x14ac:dyDescent="0.15">
      <c r="A779" s="79"/>
      <c r="B779" s="79"/>
      <c r="K779" s="56"/>
      <c r="L779" s="79"/>
      <c r="O779" s="56"/>
    </row>
    <row r="780" spans="1:15" ht="13" x14ac:dyDescent="0.15">
      <c r="A780" s="79"/>
      <c r="B780" s="79"/>
      <c r="K780" s="56"/>
      <c r="L780" s="79"/>
      <c r="O780" s="56"/>
    </row>
    <row r="781" spans="1:15" ht="13" x14ac:dyDescent="0.15">
      <c r="A781" s="79"/>
      <c r="B781" s="79"/>
      <c r="K781" s="56"/>
      <c r="L781" s="79"/>
      <c r="O781" s="56"/>
    </row>
    <row r="782" spans="1:15" ht="13" x14ac:dyDescent="0.15">
      <c r="A782" s="79"/>
      <c r="B782" s="79"/>
      <c r="K782" s="56"/>
      <c r="L782" s="79"/>
      <c r="O782" s="56"/>
    </row>
    <row r="783" spans="1:15" ht="13" x14ac:dyDescent="0.15">
      <c r="A783" s="79"/>
      <c r="B783" s="79"/>
      <c r="K783" s="56"/>
      <c r="L783" s="79"/>
      <c r="O783" s="56"/>
    </row>
    <row r="784" spans="1:15" ht="13" x14ac:dyDescent="0.15">
      <c r="A784" s="79"/>
      <c r="B784" s="79"/>
      <c r="K784" s="56"/>
      <c r="L784" s="79"/>
      <c r="O784" s="56"/>
    </row>
    <row r="785" spans="1:15" ht="13" x14ac:dyDescent="0.15">
      <c r="A785" s="79"/>
      <c r="B785" s="79"/>
      <c r="K785" s="56"/>
      <c r="L785" s="79"/>
      <c r="O785" s="56"/>
    </row>
    <row r="786" spans="1:15" ht="13" x14ac:dyDescent="0.15">
      <c r="A786" s="79"/>
      <c r="B786" s="79"/>
      <c r="K786" s="56"/>
      <c r="L786" s="79"/>
      <c r="O786" s="56"/>
    </row>
    <row r="787" spans="1:15" ht="13" x14ac:dyDescent="0.15">
      <c r="A787" s="79"/>
      <c r="B787" s="79"/>
      <c r="K787" s="56"/>
      <c r="L787" s="79"/>
      <c r="O787" s="56"/>
    </row>
    <row r="788" spans="1:15" ht="13" x14ac:dyDescent="0.15">
      <c r="A788" s="79"/>
      <c r="B788" s="79"/>
      <c r="K788" s="56"/>
      <c r="L788" s="79"/>
      <c r="O788" s="56"/>
    </row>
    <row r="789" spans="1:15" ht="13" x14ac:dyDescent="0.15">
      <c r="A789" s="79"/>
      <c r="B789" s="79"/>
      <c r="K789" s="56"/>
      <c r="L789" s="79"/>
      <c r="O789" s="56"/>
    </row>
    <row r="790" spans="1:15" ht="13" x14ac:dyDescent="0.15">
      <c r="A790" s="79"/>
      <c r="B790" s="79"/>
      <c r="K790" s="56"/>
      <c r="L790" s="79"/>
      <c r="O790" s="56"/>
    </row>
    <row r="791" spans="1:15" ht="13" x14ac:dyDescent="0.15">
      <c r="A791" s="79"/>
      <c r="B791" s="79"/>
      <c r="K791" s="56"/>
      <c r="L791" s="79"/>
      <c r="O791" s="56"/>
    </row>
    <row r="792" spans="1:15" ht="13" x14ac:dyDescent="0.15">
      <c r="A792" s="79"/>
      <c r="B792" s="79"/>
      <c r="K792" s="56"/>
      <c r="L792" s="79"/>
      <c r="O792" s="56"/>
    </row>
    <row r="793" spans="1:15" ht="13" x14ac:dyDescent="0.15">
      <c r="A793" s="79"/>
      <c r="B793" s="79"/>
      <c r="K793" s="56"/>
      <c r="L793" s="79"/>
      <c r="O793" s="56"/>
    </row>
    <row r="794" spans="1:15" ht="13" x14ac:dyDescent="0.15">
      <c r="A794" s="79"/>
      <c r="B794" s="79"/>
      <c r="K794" s="56"/>
      <c r="L794" s="79"/>
      <c r="O794" s="56"/>
    </row>
    <row r="795" spans="1:15" ht="13" x14ac:dyDescent="0.15">
      <c r="A795" s="79"/>
      <c r="B795" s="79"/>
      <c r="K795" s="56"/>
      <c r="L795" s="79"/>
      <c r="O795" s="56"/>
    </row>
    <row r="796" spans="1:15" ht="13" x14ac:dyDescent="0.15">
      <c r="A796" s="79"/>
      <c r="B796" s="79"/>
      <c r="K796" s="56"/>
      <c r="L796" s="79"/>
      <c r="O796" s="56"/>
    </row>
    <row r="797" spans="1:15" ht="13" x14ac:dyDescent="0.15">
      <c r="A797" s="79"/>
      <c r="B797" s="79"/>
      <c r="K797" s="56"/>
      <c r="L797" s="79"/>
      <c r="O797" s="56"/>
    </row>
    <row r="798" spans="1:15" ht="13" x14ac:dyDescent="0.15">
      <c r="A798" s="79"/>
      <c r="B798" s="79"/>
      <c r="K798" s="56"/>
      <c r="L798" s="79"/>
      <c r="O798" s="56"/>
    </row>
    <row r="799" spans="1:15" ht="13" x14ac:dyDescent="0.15">
      <c r="A799" s="79"/>
      <c r="B799" s="79"/>
      <c r="K799" s="56"/>
      <c r="L799" s="79"/>
      <c r="O799" s="56"/>
    </row>
    <row r="800" spans="1:15" ht="13" x14ac:dyDescent="0.15">
      <c r="A800" s="79"/>
      <c r="B800" s="79"/>
      <c r="K800" s="56"/>
      <c r="L800" s="79"/>
      <c r="O800" s="56"/>
    </row>
    <row r="801" spans="1:15" ht="13" x14ac:dyDescent="0.15">
      <c r="A801" s="79"/>
      <c r="B801" s="79"/>
      <c r="K801" s="56"/>
      <c r="L801" s="79"/>
      <c r="O801" s="56"/>
    </row>
    <row r="802" spans="1:15" ht="13" x14ac:dyDescent="0.15">
      <c r="A802" s="79"/>
      <c r="B802" s="79"/>
      <c r="K802" s="56"/>
      <c r="L802" s="79"/>
      <c r="O802" s="56"/>
    </row>
    <row r="803" spans="1:15" ht="13" x14ac:dyDescent="0.15">
      <c r="A803" s="79"/>
      <c r="B803" s="79"/>
      <c r="K803" s="56"/>
      <c r="L803" s="79"/>
      <c r="O803" s="56"/>
    </row>
    <row r="804" spans="1:15" ht="13" x14ac:dyDescent="0.15">
      <c r="A804" s="79"/>
      <c r="B804" s="79"/>
      <c r="K804" s="56"/>
      <c r="L804" s="79"/>
      <c r="O804" s="56"/>
    </row>
    <row r="805" spans="1:15" ht="13" x14ac:dyDescent="0.15">
      <c r="A805" s="79"/>
      <c r="B805" s="79"/>
      <c r="K805" s="56"/>
      <c r="L805" s="79"/>
      <c r="O805" s="56"/>
    </row>
    <row r="806" spans="1:15" ht="13" x14ac:dyDescent="0.15">
      <c r="A806" s="79"/>
      <c r="B806" s="79"/>
      <c r="K806" s="56"/>
      <c r="L806" s="79"/>
      <c r="O806" s="56"/>
    </row>
    <row r="807" spans="1:15" ht="13" x14ac:dyDescent="0.15">
      <c r="A807" s="79"/>
      <c r="B807" s="79"/>
      <c r="K807" s="56"/>
      <c r="L807" s="79"/>
      <c r="O807" s="56"/>
    </row>
    <row r="808" spans="1:15" ht="13" x14ac:dyDescent="0.15">
      <c r="A808" s="79"/>
      <c r="B808" s="79"/>
      <c r="K808" s="56"/>
      <c r="L808" s="79"/>
      <c r="O808" s="56"/>
    </row>
    <row r="809" spans="1:15" ht="13" x14ac:dyDescent="0.15">
      <c r="A809" s="79"/>
      <c r="B809" s="79"/>
      <c r="K809" s="56"/>
      <c r="L809" s="79"/>
      <c r="O809" s="56"/>
    </row>
    <row r="810" spans="1:15" ht="13" x14ac:dyDescent="0.15">
      <c r="A810" s="79"/>
      <c r="B810" s="79"/>
      <c r="K810" s="56"/>
      <c r="L810" s="79"/>
      <c r="O810" s="56"/>
    </row>
    <row r="811" spans="1:15" ht="13" x14ac:dyDescent="0.15">
      <c r="A811" s="79"/>
      <c r="B811" s="79"/>
      <c r="K811" s="56"/>
      <c r="L811" s="79"/>
      <c r="O811" s="56"/>
    </row>
    <row r="812" spans="1:15" ht="13" x14ac:dyDescent="0.15">
      <c r="A812" s="79"/>
      <c r="B812" s="79"/>
      <c r="K812" s="56"/>
      <c r="L812" s="79"/>
      <c r="O812" s="56"/>
    </row>
    <row r="813" spans="1:15" ht="13" x14ac:dyDescent="0.15">
      <c r="A813" s="79"/>
      <c r="B813" s="79"/>
      <c r="K813" s="56"/>
      <c r="L813" s="79"/>
      <c r="O813" s="56"/>
    </row>
    <row r="814" spans="1:15" ht="13" x14ac:dyDescent="0.15">
      <c r="A814" s="79"/>
      <c r="B814" s="79"/>
      <c r="K814" s="56"/>
      <c r="L814" s="79"/>
      <c r="O814" s="56"/>
    </row>
    <row r="815" spans="1:15" ht="13" x14ac:dyDescent="0.15">
      <c r="A815" s="79"/>
      <c r="B815" s="79"/>
      <c r="K815" s="56"/>
      <c r="L815" s="79"/>
      <c r="O815" s="56"/>
    </row>
    <row r="816" spans="1:15" ht="13" x14ac:dyDescent="0.15">
      <c r="A816" s="79"/>
      <c r="B816" s="79"/>
      <c r="K816" s="56"/>
      <c r="L816" s="79"/>
      <c r="O816" s="56"/>
    </row>
    <row r="817" spans="1:15" ht="13" x14ac:dyDescent="0.15">
      <c r="A817" s="79"/>
      <c r="B817" s="79"/>
      <c r="K817" s="56"/>
      <c r="L817" s="79"/>
      <c r="O817" s="56"/>
    </row>
    <row r="818" spans="1:15" ht="13" x14ac:dyDescent="0.15">
      <c r="A818" s="79"/>
      <c r="B818" s="79"/>
      <c r="K818" s="56"/>
      <c r="L818" s="79"/>
      <c r="O818" s="56"/>
    </row>
    <row r="819" spans="1:15" ht="13" x14ac:dyDescent="0.15">
      <c r="A819" s="79"/>
      <c r="B819" s="79"/>
      <c r="K819" s="56"/>
      <c r="L819" s="79"/>
      <c r="O819" s="56"/>
    </row>
    <row r="820" spans="1:15" ht="13" x14ac:dyDescent="0.15">
      <c r="A820" s="79"/>
      <c r="B820" s="79"/>
      <c r="K820" s="56"/>
      <c r="L820" s="79"/>
      <c r="O820" s="56"/>
    </row>
    <row r="821" spans="1:15" ht="13" x14ac:dyDescent="0.15">
      <c r="A821" s="79"/>
      <c r="B821" s="79"/>
      <c r="K821" s="56"/>
      <c r="L821" s="79"/>
      <c r="O821" s="56"/>
    </row>
    <row r="822" spans="1:15" ht="13" x14ac:dyDescent="0.15">
      <c r="A822" s="79"/>
      <c r="B822" s="79"/>
      <c r="K822" s="56"/>
      <c r="L822" s="79"/>
      <c r="O822" s="56"/>
    </row>
    <row r="823" spans="1:15" ht="13" x14ac:dyDescent="0.15">
      <c r="A823" s="79"/>
      <c r="B823" s="79"/>
      <c r="K823" s="56"/>
      <c r="L823" s="79"/>
      <c r="O823" s="56"/>
    </row>
    <row r="824" spans="1:15" ht="13" x14ac:dyDescent="0.15">
      <c r="A824" s="79"/>
      <c r="B824" s="79"/>
      <c r="K824" s="56"/>
      <c r="L824" s="79"/>
      <c r="O824" s="56"/>
    </row>
    <row r="825" spans="1:15" ht="13" x14ac:dyDescent="0.15">
      <c r="A825" s="79"/>
      <c r="B825" s="79"/>
      <c r="K825" s="56"/>
      <c r="L825" s="79"/>
      <c r="O825" s="56"/>
    </row>
    <row r="826" spans="1:15" ht="13" x14ac:dyDescent="0.15">
      <c r="A826" s="79"/>
      <c r="B826" s="79"/>
      <c r="K826" s="56"/>
      <c r="L826" s="79"/>
      <c r="O826" s="56"/>
    </row>
    <row r="827" spans="1:15" ht="13" x14ac:dyDescent="0.15">
      <c r="A827" s="79"/>
      <c r="B827" s="79"/>
      <c r="K827" s="56"/>
      <c r="L827" s="79"/>
      <c r="O827" s="56"/>
    </row>
    <row r="828" spans="1:15" ht="13" x14ac:dyDescent="0.15">
      <c r="A828" s="79"/>
      <c r="B828" s="79"/>
      <c r="K828" s="56"/>
      <c r="L828" s="79"/>
      <c r="O828" s="56"/>
    </row>
    <row r="829" spans="1:15" ht="13" x14ac:dyDescent="0.15">
      <c r="A829" s="79"/>
      <c r="B829" s="79"/>
      <c r="K829" s="56"/>
      <c r="L829" s="79"/>
      <c r="O829" s="56"/>
    </row>
    <row r="830" spans="1:15" ht="13" x14ac:dyDescent="0.15">
      <c r="A830" s="79"/>
      <c r="B830" s="79"/>
      <c r="K830" s="56"/>
      <c r="L830" s="79"/>
      <c r="O830" s="56"/>
    </row>
    <row r="831" spans="1:15" ht="13" x14ac:dyDescent="0.15">
      <c r="A831" s="79"/>
      <c r="B831" s="79"/>
      <c r="K831" s="56"/>
      <c r="L831" s="79"/>
      <c r="O831" s="56"/>
    </row>
    <row r="832" spans="1:15" ht="13" x14ac:dyDescent="0.15">
      <c r="A832" s="79"/>
      <c r="B832" s="79"/>
      <c r="K832" s="56"/>
      <c r="L832" s="79"/>
      <c r="O832" s="56"/>
    </row>
    <row r="833" spans="1:15" ht="13" x14ac:dyDescent="0.15">
      <c r="A833" s="79"/>
      <c r="B833" s="79"/>
      <c r="K833" s="56"/>
      <c r="L833" s="79"/>
      <c r="O833" s="56"/>
    </row>
    <row r="834" spans="1:15" ht="13" x14ac:dyDescent="0.15">
      <c r="A834" s="79"/>
      <c r="B834" s="79"/>
      <c r="K834" s="56"/>
      <c r="L834" s="79"/>
      <c r="O834" s="56"/>
    </row>
    <row r="835" spans="1:15" ht="13" x14ac:dyDescent="0.15">
      <c r="A835" s="79"/>
      <c r="B835" s="79"/>
      <c r="K835" s="56"/>
      <c r="L835" s="79"/>
      <c r="O835" s="56"/>
    </row>
    <row r="836" spans="1:15" ht="13" x14ac:dyDescent="0.15">
      <c r="A836" s="79"/>
      <c r="B836" s="79"/>
      <c r="K836" s="56"/>
      <c r="L836" s="79"/>
      <c r="O836" s="56"/>
    </row>
    <row r="837" spans="1:15" ht="13" x14ac:dyDescent="0.15">
      <c r="A837" s="79"/>
      <c r="B837" s="79"/>
      <c r="K837" s="56"/>
      <c r="L837" s="79"/>
      <c r="O837" s="56"/>
    </row>
    <row r="838" spans="1:15" ht="13" x14ac:dyDescent="0.15">
      <c r="A838" s="79"/>
      <c r="B838" s="79"/>
      <c r="K838" s="56"/>
      <c r="L838" s="79"/>
      <c r="O838" s="56"/>
    </row>
    <row r="839" spans="1:15" ht="13" x14ac:dyDescent="0.15">
      <c r="A839" s="79"/>
      <c r="B839" s="79"/>
      <c r="K839" s="56"/>
      <c r="L839" s="79"/>
      <c r="O839" s="56"/>
    </row>
    <row r="840" spans="1:15" ht="13" x14ac:dyDescent="0.15">
      <c r="A840" s="79"/>
      <c r="B840" s="79"/>
      <c r="K840" s="56"/>
      <c r="L840" s="79"/>
      <c r="O840" s="56"/>
    </row>
    <row r="841" spans="1:15" ht="13" x14ac:dyDescent="0.15">
      <c r="A841" s="79"/>
      <c r="B841" s="79"/>
      <c r="K841" s="56"/>
      <c r="L841" s="79"/>
      <c r="O841" s="56"/>
    </row>
    <row r="842" spans="1:15" ht="13" x14ac:dyDescent="0.15">
      <c r="A842" s="79"/>
      <c r="B842" s="79"/>
      <c r="K842" s="56"/>
      <c r="L842" s="79"/>
      <c r="O842" s="56"/>
    </row>
    <row r="843" spans="1:15" ht="13" x14ac:dyDescent="0.15">
      <c r="A843" s="79"/>
      <c r="B843" s="79"/>
      <c r="K843" s="56"/>
      <c r="L843" s="79"/>
      <c r="O843" s="56"/>
    </row>
    <row r="844" spans="1:15" ht="13" x14ac:dyDescent="0.15">
      <c r="A844" s="79"/>
      <c r="B844" s="79"/>
      <c r="K844" s="56"/>
      <c r="L844" s="79"/>
      <c r="O844" s="56"/>
    </row>
    <row r="845" spans="1:15" ht="13" x14ac:dyDescent="0.15">
      <c r="A845" s="79"/>
      <c r="B845" s="79"/>
      <c r="K845" s="56"/>
      <c r="L845" s="79"/>
      <c r="O845" s="56"/>
    </row>
    <row r="846" spans="1:15" ht="13" x14ac:dyDescent="0.15">
      <c r="A846" s="79"/>
      <c r="B846" s="79"/>
      <c r="K846" s="56"/>
      <c r="L846" s="79"/>
      <c r="O846" s="56"/>
    </row>
    <row r="847" spans="1:15" ht="13" x14ac:dyDescent="0.15">
      <c r="A847" s="79"/>
      <c r="B847" s="79"/>
      <c r="K847" s="56"/>
      <c r="L847" s="79"/>
      <c r="O847" s="56"/>
    </row>
    <row r="848" spans="1:15" ht="13" x14ac:dyDescent="0.15">
      <c r="A848" s="79"/>
      <c r="B848" s="79"/>
      <c r="K848" s="56"/>
      <c r="L848" s="79"/>
      <c r="O848" s="56"/>
    </row>
    <row r="849" spans="1:15" ht="13" x14ac:dyDescent="0.15">
      <c r="A849" s="79"/>
      <c r="B849" s="79"/>
      <c r="K849" s="56"/>
      <c r="L849" s="79"/>
      <c r="O849" s="56"/>
    </row>
    <row r="850" spans="1:15" ht="13" x14ac:dyDescent="0.15">
      <c r="A850" s="79"/>
      <c r="B850" s="79"/>
      <c r="K850" s="56"/>
      <c r="L850" s="79"/>
      <c r="O850" s="56"/>
    </row>
    <row r="851" spans="1:15" ht="13" x14ac:dyDescent="0.15">
      <c r="A851" s="79"/>
      <c r="B851" s="79"/>
      <c r="K851" s="56"/>
      <c r="L851" s="79"/>
      <c r="O851" s="56"/>
    </row>
    <row r="852" spans="1:15" ht="13" x14ac:dyDescent="0.15">
      <c r="A852" s="79"/>
      <c r="B852" s="79"/>
      <c r="K852" s="56"/>
      <c r="L852" s="79"/>
      <c r="O852" s="56"/>
    </row>
    <row r="853" spans="1:15" ht="13" x14ac:dyDescent="0.15">
      <c r="A853" s="79"/>
      <c r="B853" s="79"/>
      <c r="K853" s="56"/>
      <c r="L853" s="79"/>
      <c r="O853" s="56"/>
    </row>
    <row r="854" spans="1:15" ht="13" x14ac:dyDescent="0.15">
      <c r="A854" s="79"/>
      <c r="B854" s="79"/>
      <c r="K854" s="56"/>
      <c r="L854" s="79"/>
      <c r="O854" s="56"/>
    </row>
    <row r="855" spans="1:15" ht="13" x14ac:dyDescent="0.15">
      <c r="A855" s="79"/>
      <c r="B855" s="79"/>
      <c r="K855" s="56"/>
      <c r="L855" s="79"/>
      <c r="O855" s="56"/>
    </row>
    <row r="856" spans="1:15" ht="13" x14ac:dyDescent="0.15">
      <c r="A856" s="79"/>
      <c r="B856" s="79"/>
      <c r="K856" s="56"/>
      <c r="L856" s="79"/>
      <c r="O856" s="56"/>
    </row>
    <row r="857" spans="1:15" ht="13" x14ac:dyDescent="0.15">
      <c r="A857" s="79"/>
      <c r="B857" s="79"/>
      <c r="K857" s="56"/>
      <c r="L857" s="79"/>
      <c r="O857" s="56"/>
    </row>
    <row r="858" spans="1:15" ht="13" x14ac:dyDescent="0.15">
      <c r="A858" s="79"/>
      <c r="B858" s="79"/>
      <c r="K858" s="56"/>
      <c r="L858" s="79"/>
      <c r="O858" s="56"/>
    </row>
    <row r="859" spans="1:15" ht="13" x14ac:dyDescent="0.15">
      <c r="A859" s="79"/>
      <c r="B859" s="79"/>
      <c r="K859" s="56"/>
      <c r="L859" s="79"/>
      <c r="O859" s="56"/>
    </row>
    <row r="860" spans="1:15" ht="13" x14ac:dyDescent="0.15">
      <c r="A860" s="79"/>
      <c r="B860" s="79"/>
      <c r="K860" s="56"/>
      <c r="L860" s="79"/>
      <c r="O860" s="56"/>
    </row>
    <row r="861" spans="1:15" ht="13" x14ac:dyDescent="0.15">
      <c r="A861" s="79"/>
      <c r="B861" s="79"/>
      <c r="K861" s="56"/>
      <c r="L861" s="79"/>
      <c r="O861" s="56"/>
    </row>
    <row r="862" spans="1:15" ht="13" x14ac:dyDescent="0.15">
      <c r="A862" s="79"/>
      <c r="B862" s="79"/>
      <c r="K862" s="56"/>
      <c r="L862" s="79"/>
      <c r="O862" s="56"/>
    </row>
    <row r="863" spans="1:15" ht="13" x14ac:dyDescent="0.15">
      <c r="A863" s="79"/>
      <c r="B863" s="79"/>
      <c r="K863" s="56"/>
      <c r="L863" s="79"/>
      <c r="O863" s="56"/>
    </row>
    <row r="864" spans="1:15" ht="13" x14ac:dyDescent="0.15">
      <c r="A864" s="79"/>
      <c r="B864" s="79"/>
      <c r="K864" s="56"/>
      <c r="L864" s="79"/>
      <c r="O864" s="56"/>
    </row>
    <row r="865" spans="1:15" ht="13" x14ac:dyDescent="0.15">
      <c r="A865" s="79"/>
      <c r="B865" s="79"/>
      <c r="K865" s="56"/>
      <c r="L865" s="79"/>
      <c r="O865" s="56"/>
    </row>
    <row r="866" spans="1:15" ht="13" x14ac:dyDescent="0.15">
      <c r="A866" s="79"/>
      <c r="B866" s="79"/>
      <c r="K866" s="56"/>
      <c r="L866" s="79"/>
      <c r="O866" s="56"/>
    </row>
    <row r="867" spans="1:15" ht="13" x14ac:dyDescent="0.15">
      <c r="A867" s="79"/>
      <c r="B867" s="79"/>
      <c r="K867" s="56"/>
      <c r="L867" s="79"/>
      <c r="O867" s="56"/>
    </row>
    <row r="868" spans="1:15" ht="13" x14ac:dyDescent="0.15">
      <c r="A868" s="79"/>
      <c r="B868" s="79"/>
      <c r="K868" s="56"/>
      <c r="L868" s="79"/>
      <c r="O868" s="56"/>
    </row>
    <row r="869" spans="1:15" ht="13" x14ac:dyDescent="0.15">
      <c r="A869" s="79"/>
      <c r="B869" s="79"/>
      <c r="K869" s="56"/>
      <c r="L869" s="79"/>
      <c r="O869" s="56"/>
    </row>
    <row r="870" spans="1:15" ht="13" x14ac:dyDescent="0.15">
      <c r="A870" s="79"/>
      <c r="B870" s="79"/>
      <c r="K870" s="56"/>
      <c r="L870" s="79"/>
      <c r="O870" s="56"/>
    </row>
    <row r="871" spans="1:15" ht="13" x14ac:dyDescent="0.15">
      <c r="A871" s="79"/>
      <c r="B871" s="79"/>
      <c r="K871" s="56"/>
      <c r="L871" s="79"/>
      <c r="O871" s="56"/>
    </row>
    <row r="872" spans="1:15" ht="13" x14ac:dyDescent="0.15">
      <c r="A872" s="79"/>
      <c r="B872" s="79"/>
      <c r="K872" s="56"/>
      <c r="L872" s="79"/>
      <c r="O872" s="56"/>
    </row>
    <row r="873" spans="1:15" ht="13" x14ac:dyDescent="0.15">
      <c r="A873" s="79"/>
      <c r="B873" s="79"/>
      <c r="K873" s="56"/>
      <c r="L873" s="79"/>
      <c r="O873" s="56"/>
    </row>
    <row r="874" spans="1:15" ht="13" x14ac:dyDescent="0.15">
      <c r="A874" s="79"/>
      <c r="B874" s="79"/>
      <c r="K874" s="56"/>
      <c r="L874" s="79"/>
      <c r="O874" s="56"/>
    </row>
    <row r="875" spans="1:15" ht="13" x14ac:dyDescent="0.15">
      <c r="A875" s="79"/>
      <c r="B875" s="79"/>
      <c r="K875" s="56"/>
      <c r="L875" s="79"/>
      <c r="O875" s="56"/>
    </row>
    <row r="876" spans="1:15" ht="13" x14ac:dyDescent="0.15">
      <c r="A876" s="79"/>
      <c r="B876" s="79"/>
      <c r="K876" s="56"/>
      <c r="L876" s="79"/>
      <c r="O876" s="56"/>
    </row>
    <row r="877" spans="1:15" ht="13" x14ac:dyDescent="0.15">
      <c r="A877" s="79"/>
      <c r="B877" s="79"/>
      <c r="K877" s="56"/>
      <c r="L877" s="79"/>
      <c r="O877" s="56"/>
    </row>
    <row r="878" spans="1:15" ht="13" x14ac:dyDescent="0.15">
      <c r="A878" s="79"/>
      <c r="B878" s="79"/>
      <c r="K878" s="56"/>
      <c r="L878" s="79"/>
      <c r="O878" s="56"/>
    </row>
    <row r="879" spans="1:15" ht="13" x14ac:dyDescent="0.15">
      <c r="A879" s="79"/>
      <c r="B879" s="79"/>
      <c r="K879" s="56"/>
      <c r="L879" s="79"/>
      <c r="O879" s="56"/>
    </row>
    <row r="880" spans="1:15" ht="13" x14ac:dyDescent="0.15">
      <c r="A880" s="79"/>
      <c r="B880" s="79"/>
      <c r="K880" s="56"/>
      <c r="L880" s="79"/>
      <c r="O880" s="56"/>
    </row>
    <row r="881" spans="1:15" ht="13" x14ac:dyDescent="0.15">
      <c r="A881" s="79"/>
      <c r="B881" s="79"/>
      <c r="K881" s="56"/>
      <c r="L881" s="79"/>
      <c r="O881" s="56"/>
    </row>
    <row r="882" spans="1:15" ht="13" x14ac:dyDescent="0.15">
      <c r="A882" s="79"/>
      <c r="B882" s="79"/>
      <c r="K882" s="56"/>
      <c r="L882" s="79"/>
      <c r="O882" s="56"/>
    </row>
    <row r="883" spans="1:15" ht="13" x14ac:dyDescent="0.15">
      <c r="A883" s="79"/>
      <c r="B883" s="79"/>
      <c r="K883" s="56"/>
      <c r="L883" s="79"/>
      <c r="O883" s="56"/>
    </row>
    <row r="884" spans="1:15" ht="13" x14ac:dyDescent="0.15">
      <c r="A884" s="79"/>
      <c r="B884" s="79"/>
      <c r="K884" s="56"/>
      <c r="L884" s="79"/>
      <c r="O884" s="56"/>
    </row>
    <row r="885" spans="1:15" ht="13" x14ac:dyDescent="0.15">
      <c r="A885" s="79"/>
      <c r="B885" s="79"/>
      <c r="K885" s="56"/>
      <c r="L885" s="79"/>
      <c r="O885" s="56"/>
    </row>
    <row r="886" spans="1:15" ht="13" x14ac:dyDescent="0.15">
      <c r="A886" s="79"/>
      <c r="B886" s="79"/>
      <c r="K886" s="56"/>
      <c r="L886" s="79"/>
      <c r="O886" s="56"/>
    </row>
    <row r="887" spans="1:15" ht="13" x14ac:dyDescent="0.15">
      <c r="A887" s="79"/>
      <c r="B887" s="79"/>
      <c r="K887" s="56"/>
      <c r="L887" s="79"/>
      <c r="O887" s="56"/>
    </row>
    <row r="888" spans="1:15" ht="13" x14ac:dyDescent="0.15">
      <c r="A888" s="79"/>
      <c r="B888" s="79"/>
      <c r="K888" s="56"/>
      <c r="L888" s="79"/>
      <c r="O888" s="56"/>
    </row>
    <row r="889" spans="1:15" ht="13" x14ac:dyDescent="0.15">
      <c r="A889" s="79"/>
      <c r="B889" s="79"/>
      <c r="K889" s="56"/>
      <c r="L889" s="79"/>
      <c r="O889" s="56"/>
    </row>
    <row r="890" spans="1:15" ht="13" x14ac:dyDescent="0.15">
      <c r="A890" s="79"/>
      <c r="B890" s="79"/>
      <c r="K890" s="56"/>
      <c r="L890" s="79"/>
      <c r="O890" s="56"/>
    </row>
    <row r="891" spans="1:15" ht="13" x14ac:dyDescent="0.15">
      <c r="A891" s="79"/>
      <c r="B891" s="79"/>
      <c r="K891" s="56"/>
      <c r="L891" s="79"/>
      <c r="O891" s="56"/>
    </row>
    <row r="892" spans="1:15" ht="13" x14ac:dyDescent="0.15">
      <c r="A892" s="79"/>
      <c r="B892" s="79"/>
      <c r="K892" s="56"/>
      <c r="L892" s="79"/>
      <c r="O892" s="56"/>
    </row>
    <row r="893" spans="1:15" ht="13" x14ac:dyDescent="0.15">
      <c r="A893" s="79"/>
      <c r="B893" s="79"/>
      <c r="K893" s="56"/>
      <c r="L893" s="79"/>
      <c r="O893" s="56"/>
    </row>
    <row r="894" spans="1:15" ht="13" x14ac:dyDescent="0.15">
      <c r="A894" s="79"/>
      <c r="B894" s="79"/>
      <c r="K894" s="56"/>
      <c r="L894" s="79"/>
      <c r="O894" s="56"/>
    </row>
    <row r="895" spans="1:15" ht="13" x14ac:dyDescent="0.15">
      <c r="A895" s="79"/>
      <c r="B895" s="79"/>
      <c r="K895" s="56"/>
      <c r="L895" s="79"/>
      <c r="O895" s="56"/>
    </row>
    <row r="896" spans="1:15" ht="13" x14ac:dyDescent="0.15">
      <c r="A896" s="79"/>
      <c r="B896" s="79"/>
      <c r="K896" s="56"/>
      <c r="L896" s="79"/>
      <c r="O896" s="56"/>
    </row>
    <row r="897" spans="1:15" ht="13" x14ac:dyDescent="0.15">
      <c r="A897" s="79"/>
      <c r="B897" s="79"/>
      <c r="K897" s="56"/>
      <c r="L897" s="79"/>
      <c r="O897" s="56"/>
    </row>
    <row r="898" spans="1:15" ht="13" x14ac:dyDescent="0.15">
      <c r="A898" s="79"/>
      <c r="B898" s="79"/>
      <c r="K898" s="56"/>
      <c r="L898" s="79"/>
      <c r="O898" s="56"/>
    </row>
    <row r="899" spans="1:15" ht="13" x14ac:dyDescent="0.15">
      <c r="A899" s="79"/>
      <c r="B899" s="79"/>
      <c r="K899" s="56"/>
      <c r="L899" s="79"/>
      <c r="O899" s="56"/>
    </row>
    <row r="900" spans="1:15" ht="13" x14ac:dyDescent="0.15">
      <c r="A900" s="79"/>
      <c r="B900" s="79"/>
      <c r="K900" s="56"/>
      <c r="L900" s="79"/>
      <c r="O900" s="56"/>
    </row>
    <row r="901" spans="1:15" ht="13" x14ac:dyDescent="0.15">
      <c r="A901" s="79"/>
      <c r="B901" s="79"/>
      <c r="K901" s="56"/>
      <c r="L901" s="79"/>
      <c r="O901" s="56"/>
    </row>
    <row r="902" spans="1:15" ht="13" x14ac:dyDescent="0.15">
      <c r="A902" s="79"/>
      <c r="B902" s="79"/>
      <c r="K902" s="56"/>
      <c r="L902" s="79"/>
      <c r="O902" s="56"/>
    </row>
    <row r="903" spans="1:15" ht="13" x14ac:dyDescent="0.15">
      <c r="A903" s="79"/>
      <c r="B903" s="79"/>
      <c r="K903" s="56"/>
      <c r="L903" s="79"/>
      <c r="O903" s="56"/>
    </row>
    <row r="904" spans="1:15" ht="13" x14ac:dyDescent="0.15">
      <c r="A904" s="79"/>
      <c r="B904" s="79"/>
      <c r="K904" s="56"/>
      <c r="L904" s="79"/>
      <c r="O904" s="56"/>
    </row>
    <row r="905" spans="1:15" ht="13" x14ac:dyDescent="0.15">
      <c r="A905" s="79"/>
      <c r="B905" s="79"/>
      <c r="K905" s="56"/>
      <c r="L905" s="79"/>
      <c r="O905" s="56"/>
    </row>
    <row r="906" spans="1:15" ht="13" x14ac:dyDescent="0.15">
      <c r="A906" s="79"/>
      <c r="B906" s="79"/>
      <c r="K906" s="56"/>
      <c r="L906" s="79"/>
      <c r="O906" s="56"/>
    </row>
    <row r="907" spans="1:15" ht="13" x14ac:dyDescent="0.15">
      <c r="A907" s="79"/>
      <c r="B907" s="79"/>
      <c r="K907" s="56"/>
      <c r="L907" s="79"/>
      <c r="O907" s="56"/>
    </row>
    <row r="908" spans="1:15" ht="13" x14ac:dyDescent="0.15">
      <c r="A908" s="79"/>
      <c r="B908" s="79"/>
      <c r="K908" s="56"/>
      <c r="L908" s="79"/>
      <c r="O908" s="56"/>
    </row>
    <row r="909" spans="1:15" ht="13" x14ac:dyDescent="0.15">
      <c r="A909" s="79"/>
      <c r="B909" s="79"/>
      <c r="K909" s="56"/>
      <c r="L909" s="79"/>
      <c r="O909" s="56"/>
    </row>
    <row r="910" spans="1:15" ht="13" x14ac:dyDescent="0.15">
      <c r="A910" s="79"/>
      <c r="B910" s="79"/>
      <c r="K910" s="56"/>
      <c r="L910" s="79"/>
      <c r="O910" s="56"/>
    </row>
    <row r="911" spans="1:15" ht="13" x14ac:dyDescent="0.15">
      <c r="A911" s="79"/>
      <c r="B911" s="79"/>
      <c r="K911" s="56"/>
      <c r="L911" s="79"/>
      <c r="O911" s="56"/>
    </row>
    <row r="912" spans="1:15" ht="13" x14ac:dyDescent="0.15">
      <c r="A912" s="79"/>
      <c r="B912" s="79"/>
      <c r="K912" s="56"/>
      <c r="L912" s="79"/>
      <c r="O912" s="56"/>
    </row>
    <row r="913" spans="1:15" ht="13" x14ac:dyDescent="0.15">
      <c r="A913" s="79"/>
      <c r="B913" s="79"/>
      <c r="K913" s="56"/>
      <c r="L913" s="79"/>
      <c r="O913" s="56"/>
    </row>
    <row r="914" spans="1:15" ht="13" x14ac:dyDescent="0.15">
      <c r="A914" s="79"/>
      <c r="B914" s="79"/>
      <c r="K914" s="56"/>
      <c r="L914" s="79"/>
      <c r="O914" s="56"/>
    </row>
    <row r="915" spans="1:15" ht="13" x14ac:dyDescent="0.15">
      <c r="A915" s="79"/>
      <c r="B915" s="79"/>
      <c r="K915" s="56"/>
      <c r="L915" s="79"/>
      <c r="O915" s="56"/>
    </row>
    <row r="916" spans="1:15" ht="13" x14ac:dyDescent="0.15">
      <c r="A916" s="79"/>
      <c r="B916" s="79"/>
      <c r="K916" s="56"/>
      <c r="L916" s="79"/>
      <c r="O916" s="56"/>
    </row>
    <row r="917" spans="1:15" ht="13" x14ac:dyDescent="0.15">
      <c r="A917" s="79"/>
      <c r="B917" s="79"/>
      <c r="K917" s="56"/>
      <c r="L917" s="79"/>
      <c r="O917" s="56"/>
    </row>
    <row r="918" spans="1:15" ht="13" x14ac:dyDescent="0.15">
      <c r="A918" s="79"/>
      <c r="B918" s="79"/>
      <c r="K918" s="56"/>
      <c r="L918" s="79"/>
      <c r="O918" s="56"/>
    </row>
    <row r="919" spans="1:15" ht="13" x14ac:dyDescent="0.15">
      <c r="A919" s="79"/>
      <c r="B919" s="79"/>
      <c r="K919" s="56"/>
      <c r="L919" s="79"/>
      <c r="O919" s="56"/>
    </row>
    <row r="920" spans="1:15" ht="13" x14ac:dyDescent="0.15">
      <c r="A920" s="79"/>
      <c r="B920" s="79"/>
      <c r="K920" s="56"/>
      <c r="L920" s="79"/>
      <c r="O920" s="56"/>
    </row>
    <row r="921" spans="1:15" ht="13" x14ac:dyDescent="0.15">
      <c r="A921" s="79"/>
      <c r="B921" s="79"/>
      <c r="K921" s="56"/>
      <c r="L921" s="79"/>
      <c r="O921" s="56"/>
    </row>
    <row r="922" spans="1:15" ht="13" x14ac:dyDescent="0.15">
      <c r="A922" s="79"/>
      <c r="B922" s="79"/>
      <c r="K922" s="56"/>
      <c r="L922" s="79"/>
      <c r="O922" s="56"/>
    </row>
    <row r="923" spans="1:15" ht="13" x14ac:dyDescent="0.15">
      <c r="A923" s="79"/>
      <c r="B923" s="79"/>
      <c r="K923" s="56"/>
      <c r="L923" s="79"/>
      <c r="O923" s="56"/>
    </row>
    <row r="924" spans="1:15" ht="13" x14ac:dyDescent="0.15">
      <c r="A924" s="79"/>
      <c r="B924" s="79"/>
      <c r="K924" s="56"/>
      <c r="L924" s="79"/>
      <c r="O924" s="56"/>
    </row>
    <row r="925" spans="1:15" ht="13" x14ac:dyDescent="0.15">
      <c r="A925" s="79"/>
      <c r="B925" s="79"/>
      <c r="K925" s="56"/>
      <c r="L925" s="79"/>
      <c r="O925" s="56"/>
    </row>
    <row r="926" spans="1:15" ht="13" x14ac:dyDescent="0.15">
      <c r="A926" s="79"/>
      <c r="B926" s="79"/>
      <c r="K926" s="56"/>
      <c r="L926" s="79"/>
      <c r="O926" s="56"/>
    </row>
    <row r="927" spans="1:15" ht="13" x14ac:dyDescent="0.15">
      <c r="A927" s="79"/>
      <c r="B927" s="79"/>
      <c r="K927" s="56"/>
      <c r="L927" s="79"/>
      <c r="O927" s="56"/>
    </row>
    <row r="928" spans="1:15" ht="13" x14ac:dyDescent="0.15">
      <c r="A928" s="79"/>
      <c r="B928" s="79"/>
      <c r="K928" s="56"/>
      <c r="L928" s="79"/>
      <c r="O928" s="56"/>
    </row>
    <row r="929" spans="1:15" ht="13" x14ac:dyDescent="0.15">
      <c r="A929" s="79"/>
      <c r="B929" s="79"/>
      <c r="K929" s="56"/>
      <c r="L929" s="79"/>
      <c r="O929" s="56"/>
    </row>
    <row r="930" spans="1:15" ht="13" x14ac:dyDescent="0.15">
      <c r="A930" s="79"/>
      <c r="B930" s="79"/>
      <c r="K930" s="56"/>
      <c r="L930" s="79"/>
      <c r="O930" s="56"/>
    </row>
    <row r="931" spans="1:15" ht="13" x14ac:dyDescent="0.15">
      <c r="A931" s="79"/>
      <c r="B931" s="79"/>
      <c r="K931" s="56"/>
      <c r="L931" s="79"/>
      <c r="O931" s="56"/>
    </row>
    <row r="932" spans="1:15" ht="13" x14ac:dyDescent="0.15">
      <c r="A932" s="79"/>
      <c r="B932" s="79"/>
      <c r="K932" s="56"/>
      <c r="L932" s="79"/>
      <c r="O932" s="56"/>
    </row>
    <row r="933" spans="1:15" ht="13" x14ac:dyDescent="0.15">
      <c r="A933" s="79"/>
      <c r="B933" s="79"/>
      <c r="K933" s="56"/>
      <c r="L933" s="79"/>
      <c r="O933" s="56"/>
    </row>
    <row r="934" spans="1:15" ht="13" x14ac:dyDescent="0.15">
      <c r="A934" s="79"/>
      <c r="B934" s="79"/>
      <c r="K934" s="56"/>
      <c r="L934" s="79"/>
      <c r="O934" s="56"/>
    </row>
    <row r="935" spans="1:15" ht="13" x14ac:dyDescent="0.15">
      <c r="A935" s="79"/>
      <c r="B935" s="79"/>
      <c r="K935" s="56"/>
      <c r="L935" s="79"/>
      <c r="O935" s="56"/>
    </row>
    <row r="936" spans="1:15" ht="13" x14ac:dyDescent="0.15">
      <c r="A936" s="79"/>
      <c r="B936" s="79"/>
      <c r="K936" s="56"/>
      <c r="L936" s="79"/>
      <c r="O936" s="56"/>
    </row>
    <row r="937" spans="1:15" ht="13" x14ac:dyDescent="0.15">
      <c r="A937" s="79"/>
      <c r="B937" s="79"/>
      <c r="K937" s="56"/>
      <c r="L937" s="79"/>
      <c r="O937" s="56"/>
    </row>
    <row r="938" spans="1:15" ht="13" x14ac:dyDescent="0.15">
      <c r="A938" s="79"/>
      <c r="B938" s="79"/>
      <c r="K938" s="56"/>
      <c r="L938" s="79"/>
      <c r="O938" s="56"/>
    </row>
    <row r="939" spans="1:15" ht="13" x14ac:dyDescent="0.15">
      <c r="A939" s="79"/>
      <c r="B939" s="79"/>
      <c r="K939" s="56"/>
      <c r="L939" s="79"/>
      <c r="O939" s="56"/>
    </row>
    <row r="940" spans="1:15" ht="13" x14ac:dyDescent="0.15">
      <c r="A940" s="79"/>
      <c r="B940" s="79"/>
      <c r="K940" s="56"/>
      <c r="L940" s="79"/>
      <c r="O940" s="56"/>
    </row>
    <row r="941" spans="1:15" ht="13" x14ac:dyDescent="0.15">
      <c r="A941" s="79"/>
      <c r="B941" s="79"/>
      <c r="K941" s="56"/>
      <c r="L941" s="79"/>
      <c r="O941" s="56"/>
    </row>
    <row r="942" spans="1:15" ht="13" x14ac:dyDescent="0.15">
      <c r="A942" s="79"/>
      <c r="B942" s="79"/>
      <c r="K942" s="56"/>
      <c r="L942" s="79"/>
      <c r="O942" s="56"/>
    </row>
    <row r="943" spans="1:15" ht="13" x14ac:dyDescent="0.15">
      <c r="A943" s="79"/>
      <c r="B943" s="79"/>
      <c r="K943" s="56"/>
      <c r="L943" s="79"/>
      <c r="O943" s="56"/>
    </row>
    <row r="944" spans="1:15" ht="13" x14ac:dyDescent="0.15">
      <c r="A944" s="79"/>
      <c r="B944" s="79"/>
      <c r="K944" s="56"/>
      <c r="L944" s="79"/>
      <c r="O944" s="56"/>
    </row>
    <row r="945" spans="1:15" ht="13" x14ac:dyDescent="0.15">
      <c r="A945" s="79"/>
      <c r="B945" s="79"/>
      <c r="K945" s="56"/>
      <c r="L945" s="79"/>
      <c r="O945" s="56"/>
    </row>
    <row r="946" spans="1:15" ht="13" x14ac:dyDescent="0.15">
      <c r="A946" s="79"/>
      <c r="B946" s="79"/>
      <c r="K946" s="56"/>
      <c r="L946" s="79"/>
      <c r="O946" s="56"/>
    </row>
    <row r="947" spans="1:15" ht="13" x14ac:dyDescent="0.15">
      <c r="A947" s="79"/>
      <c r="B947" s="79"/>
      <c r="K947" s="56"/>
      <c r="L947" s="79"/>
      <c r="O947" s="56"/>
    </row>
    <row r="948" spans="1:15" ht="13" x14ac:dyDescent="0.15">
      <c r="A948" s="79"/>
      <c r="B948" s="79"/>
      <c r="K948" s="56"/>
      <c r="L948" s="79"/>
      <c r="O948" s="56"/>
    </row>
    <row r="949" spans="1:15" ht="13" x14ac:dyDescent="0.15">
      <c r="A949" s="79"/>
      <c r="B949" s="79"/>
      <c r="K949" s="56"/>
      <c r="L949" s="79"/>
      <c r="O949" s="56"/>
    </row>
    <row r="950" spans="1:15" ht="13" x14ac:dyDescent="0.15">
      <c r="A950" s="79"/>
      <c r="B950" s="79"/>
      <c r="K950" s="56"/>
      <c r="L950" s="79"/>
      <c r="O950" s="56"/>
    </row>
    <row r="951" spans="1:15" ht="13" x14ac:dyDescent="0.15">
      <c r="A951" s="79"/>
      <c r="B951" s="79"/>
      <c r="K951" s="56"/>
      <c r="L951" s="79"/>
      <c r="O951" s="56"/>
    </row>
    <row r="952" spans="1:15" ht="13" x14ac:dyDescent="0.15">
      <c r="A952" s="79"/>
      <c r="B952" s="79"/>
      <c r="K952" s="56"/>
      <c r="L952" s="79"/>
      <c r="O952" s="56"/>
    </row>
    <row r="953" spans="1:15" ht="13" x14ac:dyDescent="0.15">
      <c r="A953" s="79"/>
      <c r="B953" s="79"/>
      <c r="K953" s="56"/>
      <c r="L953" s="79"/>
      <c r="O953" s="56"/>
    </row>
    <row r="954" spans="1:15" ht="13" x14ac:dyDescent="0.15">
      <c r="A954" s="79"/>
      <c r="B954" s="79"/>
      <c r="K954" s="56"/>
      <c r="L954" s="79"/>
      <c r="O954" s="56"/>
    </row>
    <row r="955" spans="1:15" ht="13" x14ac:dyDescent="0.15">
      <c r="A955" s="79"/>
      <c r="B955" s="79"/>
      <c r="K955" s="56"/>
      <c r="L955" s="79"/>
      <c r="O955" s="56"/>
    </row>
    <row r="956" spans="1:15" ht="13" x14ac:dyDescent="0.15">
      <c r="A956" s="79"/>
      <c r="B956" s="79"/>
      <c r="K956" s="56"/>
      <c r="L956" s="79"/>
      <c r="O956" s="56"/>
    </row>
    <row r="957" spans="1:15" ht="13" x14ac:dyDescent="0.15">
      <c r="A957" s="79"/>
      <c r="B957" s="79"/>
      <c r="K957" s="56"/>
      <c r="L957" s="79"/>
      <c r="O957" s="56"/>
    </row>
    <row r="958" spans="1:15" ht="13" x14ac:dyDescent="0.15">
      <c r="A958" s="79"/>
      <c r="B958" s="79"/>
      <c r="K958" s="56"/>
      <c r="L958" s="79"/>
      <c r="O958" s="56"/>
    </row>
    <row r="959" spans="1:15" ht="13" x14ac:dyDescent="0.15">
      <c r="A959" s="79"/>
      <c r="B959" s="79"/>
      <c r="K959" s="56"/>
      <c r="L959" s="79"/>
      <c r="O959" s="56"/>
    </row>
    <row r="960" spans="1:15" ht="13" x14ac:dyDescent="0.15">
      <c r="A960" s="79"/>
      <c r="B960" s="79"/>
      <c r="K960" s="56"/>
      <c r="L960" s="79"/>
      <c r="O960" s="56"/>
    </row>
    <row r="961" spans="1:15" ht="13" x14ac:dyDescent="0.15">
      <c r="A961" s="79"/>
      <c r="B961" s="79"/>
      <c r="K961" s="56"/>
      <c r="L961" s="79"/>
      <c r="O961" s="56"/>
    </row>
    <row r="962" spans="1:15" ht="13" x14ac:dyDescent="0.15">
      <c r="A962" s="79"/>
      <c r="B962" s="79"/>
      <c r="K962" s="56"/>
      <c r="L962" s="79"/>
      <c r="O962" s="56"/>
    </row>
    <row r="963" spans="1:15" ht="13" x14ac:dyDescent="0.15">
      <c r="A963" s="79"/>
      <c r="B963" s="79"/>
      <c r="K963" s="56"/>
      <c r="L963" s="79"/>
      <c r="O963" s="56"/>
    </row>
    <row r="964" spans="1:15" ht="13" x14ac:dyDescent="0.15">
      <c r="A964" s="79"/>
      <c r="B964" s="79"/>
      <c r="K964" s="56"/>
      <c r="L964" s="79"/>
      <c r="O964" s="56"/>
    </row>
    <row r="965" spans="1:15" ht="13" x14ac:dyDescent="0.15">
      <c r="A965" s="79"/>
      <c r="B965" s="79"/>
      <c r="K965" s="56"/>
      <c r="L965" s="79"/>
      <c r="O965" s="56"/>
    </row>
    <row r="966" spans="1:15" ht="13" x14ac:dyDescent="0.15">
      <c r="A966" s="79"/>
      <c r="B966" s="79"/>
      <c r="K966" s="56"/>
      <c r="L966" s="79"/>
      <c r="O966" s="56"/>
    </row>
    <row r="967" spans="1:15" ht="13" x14ac:dyDescent="0.15">
      <c r="A967" s="79"/>
      <c r="B967" s="79"/>
      <c r="K967" s="56"/>
      <c r="L967" s="79"/>
      <c r="O967" s="56"/>
    </row>
    <row r="968" spans="1:15" ht="13" x14ac:dyDescent="0.15">
      <c r="A968" s="79"/>
      <c r="B968" s="79"/>
      <c r="K968" s="56"/>
      <c r="L968" s="79"/>
      <c r="O968" s="56"/>
    </row>
    <row r="969" spans="1:15" ht="13" x14ac:dyDescent="0.15">
      <c r="A969" s="79"/>
      <c r="B969" s="79"/>
      <c r="K969" s="56"/>
      <c r="L969" s="79"/>
      <c r="O969" s="56"/>
    </row>
    <row r="970" spans="1:15" ht="13" x14ac:dyDescent="0.15">
      <c r="A970" s="79"/>
      <c r="B970" s="79"/>
      <c r="K970" s="56"/>
      <c r="L970" s="79"/>
      <c r="O970" s="56"/>
    </row>
    <row r="971" spans="1:15" ht="13" x14ac:dyDescent="0.15">
      <c r="A971" s="79"/>
      <c r="B971" s="79"/>
      <c r="K971" s="56"/>
      <c r="L971" s="79"/>
      <c r="O971" s="56"/>
    </row>
    <row r="972" spans="1:15" ht="13" x14ac:dyDescent="0.15">
      <c r="A972" s="79"/>
      <c r="B972" s="79"/>
      <c r="K972" s="56"/>
      <c r="L972" s="79"/>
      <c r="O972" s="56"/>
    </row>
    <row r="973" spans="1:15" ht="13" x14ac:dyDescent="0.15">
      <c r="A973" s="79"/>
      <c r="B973" s="79"/>
      <c r="K973" s="56"/>
      <c r="L973" s="79"/>
      <c r="O973" s="56"/>
    </row>
    <row r="974" spans="1:15" ht="13" x14ac:dyDescent="0.15">
      <c r="A974" s="79"/>
      <c r="B974" s="79"/>
      <c r="K974" s="56"/>
      <c r="L974" s="79"/>
      <c r="O974" s="56"/>
    </row>
    <row r="975" spans="1:15" ht="13" x14ac:dyDescent="0.15">
      <c r="A975" s="79"/>
      <c r="B975" s="79"/>
      <c r="K975" s="56"/>
      <c r="L975" s="79"/>
      <c r="O975" s="56"/>
    </row>
    <row r="976" spans="1:15" ht="13" x14ac:dyDescent="0.15">
      <c r="A976" s="79"/>
      <c r="B976" s="79"/>
      <c r="K976" s="56"/>
      <c r="L976" s="79"/>
      <c r="O976" s="56"/>
    </row>
    <row r="977" spans="1:15" ht="13" x14ac:dyDescent="0.15">
      <c r="A977" s="79"/>
      <c r="B977" s="79"/>
      <c r="K977" s="56"/>
      <c r="L977" s="79"/>
      <c r="O977" s="56"/>
    </row>
    <row r="978" spans="1:15" ht="13" x14ac:dyDescent="0.15">
      <c r="A978" s="79"/>
      <c r="B978" s="79"/>
      <c r="K978" s="56"/>
      <c r="L978" s="79"/>
      <c r="O978" s="56"/>
    </row>
    <row r="979" spans="1:15" ht="13" x14ac:dyDescent="0.15">
      <c r="A979" s="79"/>
      <c r="B979" s="79"/>
      <c r="K979" s="56"/>
      <c r="L979" s="79"/>
      <c r="O979" s="56"/>
    </row>
    <row r="980" spans="1:15" ht="13" x14ac:dyDescent="0.15">
      <c r="A980" s="79"/>
      <c r="B980" s="79"/>
      <c r="K980" s="56"/>
      <c r="L980" s="79"/>
      <c r="O980" s="56"/>
    </row>
    <row r="981" spans="1:15" ht="13" x14ac:dyDescent="0.15">
      <c r="A981" s="79"/>
      <c r="B981" s="79"/>
      <c r="K981" s="56"/>
      <c r="L981" s="79"/>
      <c r="O981" s="56"/>
    </row>
    <row r="982" spans="1:15" ht="13" x14ac:dyDescent="0.15">
      <c r="A982" s="79"/>
      <c r="B982" s="79"/>
      <c r="K982" s="56"/>
      <c r="L982" s="79"/>
      <c r="O982" s="56"/>
    </row>
    <row r="983" spans="1:15" ht="13" x14ac:dyDescent="0.15">
      <c r="A983" s="79"/>
      <c r="B983" s="79"/>
      <c r="K983" s="56"/>
      <c r="L983" s="79"/>
      <c r="O983" s="56"/>
    </row>
    <row r="984" spans="1:15" ht="13" x14ac:dyDescent="0.15">
      <c r="A984" s="79"/>
      <c r="B984" s="79"/>
      <c r="K984" s="56"/>
      <c r="L984" s="79"/>
      <c r="O984" s="56"/>
    </row>
    <row r="985" spans="1:15" ht="13" x14ac:dyDescent="0.15">
      <c r="A985" s="79"/>
      <c r="B985" s="79"/>
      <c r="K985" s="56"/>
      <c r="L985" s="79"/>
      <c r="O985" s="56"/>
    </row>
    <row r="986" spans="1:15" ht="13" x14ac:dyDescent="0.15">
      <c r="A986" s="79"/>
      <c r="B986" s="79"/>
      <c r="K986" s="56"/>
      <c r="L986" s="79"/>
      <c r="O986" s="56"/>
    </row>
    <row r="987" spans="1:15" ht="13" x14ac:dyDescent="0.15">
      <c r="A987" s="79"/>
      <c r="B987" s="79"/>
      <c r="K987" s="56"/>
      <c r="L987" s="79"/>
      <c r="O987" s="56"/>
    </row>
    <row r="988" spans="1:15" ht="13" x14ac:dyDescent="0.15">
      <c r="A988" s="79"/>
      <c r="B988" s="79"/>
      <c r="K988" s="56"/>
      <c r="L988" s="79"/>
      <c r="O988" s="56"/>
    </row>
    <row r="989" spans="1:15" ht="13" x14ac:dyDescent="0.15">
      <c r="A989" s="79"/>
      <c r="B989" s="79"/>
      <c r="K989" s="56"/>
      <c r="L989" s="79"/>
      <c r="O989" s="56"/>
    </row>
    <row r="990" spans="1:15" ht="13" x14ac:dyDescent="0.15">
      <c r="A990" s="79"/>
      <c r="B990" s="79"/>
      <c r="K990" s="56"/>
      <c r="L990" s="79"/>
      <c r="O990" s="56"/>
    </row>
    <row r="991" spans="1:15" ht="13" x14ac:dyDescent="0.15">
      <c r="A991" s="79"/>
      <c r="B991" s="79"/>
      <c r="K991" s="56"/>
      <c r="L991" s="79"/>
      <c r="O991" s="56"/>
    </row>
    <row r="992" spans="1:15" ht="13" x14ac:dyDescent="0.15">
      <c r="A992" s="79"/>
      <c r="B992" s="79"/>
      <c r="K992" s="56"/>
      <c r="L992" s="79"/>
      <c r="O992" s="56"/>
    </row>
    <row r="993" spans="1:15" ht="13" x14ac:dyDescent="0.15">
      <c r="A993" s="79"/>
      <c r="B993" s="79"/>
      <c r="K993" s="56"/>
      <c r="L993" s="79"/>
      <c r="O993" s="56"/>
    </row>
    <row r="994" spans="1:15" ht="13" x14ac:dyDescent="0.15">
      <c r="A994" s="79"/>
      <c r="B994" s="79"/>
      <c r="K994" s="56"/>
      <c r="L994" s="79"/>
      <c r="O994" s="56"/>
    </row>
  </sheetData>
  <hyperlinks>
    <hyperlink ref="M2" r:id="rId1" xr:uid="{00000000-0004-0000-0400-000000000000}"/>
    <hyperlink ref="M3" r:id="rId2" xr:uid="{00000000-0004-0000-0400-000001000000}"/>
    <hyperlink ref="M4" r:id="rId3" xr:uid="{00000000-0004-0000-0400-000002000000}"/>
    <hyperlink ref="M5" r:id="rId4" xr:uid="{00000000-0004-0000-0400-000003000000}"/>
    <hyperlink ref="M6" r:id="rId5" xr:uid="{00000000-0004-0000-0400-000004000000}"/>
    <hyperlink ref="M7" r:id="rId6" xr:uid="{00000000-0004-0000-0400-000005000000}"/>
    <hyperlink ref="M8" r:id="rId7" xr:uid="{00000000-0004-0000-0400-000006000000}"/>
    <hyperlink ref="M9" r:id="rId8" xr:uid="{00000000-0004-0000-0400-000007000000}"/>
    <hyperlink ref="M10" r:id="rId9" xr:uid="{00000000-0004-0000-0400-000008000000}"/>
    <hyperlink ref="M11" r:id="rId10" xr:uid="{00000000-0004-0000-0400-000009000000}"/>
    <hyperlink ref="M12" r:id="rId11" xr:uid="{00000000-0004-0000-0400-00000A000000}"/>
    <hyperlink ref="M13" r:id="rId12" xr:uid="{00000000-0004-0000-0400-00000B000000}"/>
    <hyperlink ref="M16" r:id="rId13" xr:uid="{00000000-0004-0000-0400-00000C000000}"/>
    <hyperlink ref="M18" r:id="rId14" xr:uid="{00000000-0004-0000-0400-00000D000000}"/>
    <hyperlink ref="N46" r:id="rId15" xr:uid="{00000000-0004-0000-0400-00000E000000}"/>
  </hyperlinks>
  <pageMargins left="0.7" right="0.7" top="0.3" bottom="0.3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998"/>
  <sheetViews>
    <sheetView workbookViewId="0"/>
  </sheetViews>
  <sheetFormatPr baseColWidth="10" defaultColWidth="12.6640625" defaultRowHeight="15.75" customHeight="1" x14ac:dyDescent="0.15"/>
  <cols>
    <col min="1" max="2" width="17.83203125" customWidth="1"/>
    <col min="3" max="4" width="12.1640625" customWidth="1"/>
    <col min="5" max="5" width="50" customWidth="1"/>
    <col min="6" max="6" width="114.1640625" customWidth="1"/>
    <col min="7" max="7" width="29.1640625" customWidth="1"/>
    <col min="8" max="8" width="33" customWidth="1"/>
    <col min="9" max="9" width="32.6640625" customWidth="1"/>
    <col min="10" max="10" width="24.33203125" customWidth="1"/>
    <col min="11" max="11" width="30.6640625" customWidth="1"/>
    <col min="12" max="12" width="16.33203125" customWidth="1"/>
    <col min="13" max="13" width="48.6640625" customWidth="1"/>
    <col min="14" max="14" width="43.6640625" customWidth="1"/>
    <col min="15" max="15" width="17.6640625" customWidth="1"/>
    <col min="16" max="18" width="8.6640625" customWidth="1"/>
    <col min="19" max="19" width="23.6640625" customWidth="1"/>
    <col min="20" max="20" width="21.33203125" customWidth="1"/>
    <col min="21" max="27" width="8.6640625" customWidth="1"/>
  </cols>
  <sheetData>
    <row r="1" spans="1:27" ht="15.75" customHeight="1" x14ac:dyDescent="0.2">
      <c r="A1" s="97" t="s">
        <v>36</v>
      </c>
      <c r="B1" s="97" t="s">
        <v>37</v>
      </c>
      <c r="C1" s="132" t="s">
        <v>38</v>
      </c>
      <c r="D1" s="133"/>
      <c r="E1" s="133" t="s">
        <v>39</v>
      </c>
      <c r="F1" s="133" t="s">
        <v>40</v>
      </c>
      <c r="G1" s="133" t="s">
        <v>41</v>
      </c>
      <c r="H1" s="133" t="s">
        <v>42</v>
      </c>
      <c r="I1" s="133" t="s">
        <v>43</v>
      </c>
      <c r="J1" s="133" t="s">
        <v>44</v>
      </c>
      <c r="K1" s="133" t="s">
        <v>45</v>
      </c>
      <c r="L1" s="133" t="s">
        <v>46</v>
      </c>
      <c r="M1" s="133" t="s">
        <v>47</v>
      </c>
      <c r="N1" s="133" t="s">
        <v>48</v>
      </c>
      <c r="O1" s="133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22</v>
      </c>
      <c r="B2" s="61" t="s">
        <v>763</v>
      </c>
      <c r="C2" s="62" t="s">
        <v>51</v>
      </c>
      <c r="D2" s="62" t="str">
        <f t="shared" ref="D2:D29" si="0">A2&amp;B2&amp;C2</f>
        <v>2205001</v>
      </c>
      <c r="E2" s="67" t="s">
        <v>1618</v>
      </c>
      <c r="F2" s="67"/>
      <c r="G2" s="67"/>
      <c r="H2" s="67"/>
      <c r="I2" s="67"/>
      <c r="J2" s="67"/>
      <c r="K2" s="134"/>
      <c r="L2" s="61"/>
      <c r="M2" s="67"/>
      <c r="N2" s="67"/>
      <c r="O2" s="6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21</v>
      </c>
      <c r="B3" s="61" t="s">
        <v>763</v>
      </c>
      <c r="C3" s="62" t="s">
        <v>60</v>
      </c>
      <c r="D3" s="62" t="str">
        <f t="shared" si="0"/>
        <v>2105002</v>
      </c>
      <c r="E3" s="63" t="s">
        <v>1619</v>
      </c>
      <c r="F3" s="63" t="s">
        <v>1620</v>
      </c>
      <c r="G3" s="69" t="s">
        <v>1621</v>
      </c>
      <c r="H3" s="63" t="s">
        <v>1622</v>
      </c>
      <c r="I3" s="63" t="s">
        <v>1623</v>
      </c>
      <c r="J3" s="63"/>
      <c r="K3" s="135">
        <v>85730620995</v>
      </c>
      <c r="L3" s="62"/>
      <c r="M3" s="65" t="s">
        <v>1624</v>
      </c>
      <c r="N3" s="63"/>
      <c r="O3" s="6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21</v>
      </c>
      <c r="B4" s="61" t="s">
        <v>763</v>
      </c>
      <c r="C4" s="62" t="s">
        <v>68</v>
      </c>
      <c r="D4" s="62" t="str">
        <f t="shared" si="0"/>
        <v>2105003</v>
      </c>
      <c r="E4" s="63" t="s">
        <v>1625</v>
      </c>
      <c r="F4" s="63" t="s">
        <v>1626</v>
      </c>
      <c r="G4" s="69" t="s">
        <v>1621</v>
      </c>
      <c r="H4" s="63" t="s">
        <v>1627</v>
      </c>
      <c r="I4" s="63" t="s">
        <v>1628</v>
      </c>
      <c r="J4" s="63" t="s">
        <v>1629</v>
      </c>
      <c r="K4" s="135">
        <v>87783313324</v>
      </c>
      <c r="L4" s="62">
        <v>87852714311</v>
      </c>
      <c r="M4" s="65" t="s">
        <v>1630</v>
      </c>
      <c r="N4" s="63" t="s">
        <v>1631</v>
      </c>
      <c r="O4" s="61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21</v>
      </c>
      <c r="B5" s="61" t="s">
        <v>763</v>
      </c>
      <c r="C5" s="62" t="s">
        <v>76</v>
      </c>
      <c r="D5" s="62" t="str">
        <f t="shared" si="0"/>
        <v>2105004</v>
      </c>
      <c r="E5" s="63" t="s">
        <v>1632</v>
      </c>
      <c r="F5" s="63" t="s">
        <v>1633</v>
      </c>
      <c r="G5" s="69" t="s">
        <v>1621</v>
      </c>
      <c r="H5" s="63" t="s">
        <v>1634</v>
      </c>
      <c r="I5" s="63" t="s">
        <v>1635</v>
      </c>
      <c r="J5" s="63" t="s">
        <v>1636</v>
      </c>
      <c r="K5" s="135">
        <v>83110565546</v>
      </c>
      <c r="L5" s="62">
        <v>87766917020</v>
      </c>
      <c r="M5" s="65" t="s">
        <v>1637</v>
      </c>
      <c r="N5" s="63" t="s">
        <v>1638</v>
      </c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21</v>
      </c>
      <c r="B6" s="61" t="s">
        <v>763</v>
      </c>
      <c r="C6" s="62" t="s">
        <v>84</v>
      </c>
      <c r="D6" s="62" t="str">
        <f t="shared" si="0"/>
        <v>2105005</v>
      </c>
      <c r="E6" s="63" t="s">
        <v>1639</v>
      </c>
      <c r="F6" s="63" t="s">
        <v>1640</v>
      </c>
      <c r="G6" s="69" t="s">
        <v>1621</v>
      </c>
      <c r="H6" s="63" t="s">
        <v>1641</v>
      </c>
      <c r="I6" s="63" t="s">
        <v>1642</v>
      </c>
      <c r="J6" s="63" t="s">
        <v>1643</v>
      </c>
      <c r="K6" s="135">
        <v>85236858164</v>
      </c>
      <c r="L6" s="62">
        <v>82336651775</v>
      </c>
      <c r="M6" s="65" t="s">
        <v>1644</v>
      </c>
      <c r="N6" s="63" t="s">
        <v>1645</v>
      </c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21</v>
      </c>
      <c r="B7" s="61" t="s">
        <v>763</v>
      </c>
      <c r="C7" s="62" t="s">
        <v>92</v>
      </c>
      <c r="D7" s="62" t="str">
        <f t="shared" si="0"/>
        <v>2105006</v>
      </c>
      <c r="E7" s="63" t="s">
        <v>1646</v>
      </c>
      <c r="F7" s="63" t="s">
        <v>1647</v>
      </c>
      <c r="G7" s="69" t="s">
        <v>1621</v>
      </c>
      <c r="H7" s="63" t="s">
        <v>1648</v>
      </c>
      <c r="I7" s="63" t="s">
        <v>1649</v>
      </c>
      <c r="J7" s="63"/>
      <c r="K7" s="135">
        <v>82139300641</v>
      </c>
      <c r="L7" s="62"/>
      <c r="M7" s="63"/>
      <c r="N7" s="63" t="s">
        <v>1650</v>
      </c>
      <c r="O7" s="6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21</v>
      </c>
      <c r="B8" s="61" t="s">
        <v>763</v>
      </c>
      <c r="C8" s="62" t="s">
        <v>100</v>
      </c>
      <c r="D8" s="62" t="str">
        <f t="shared" si="0"/>
        <v>2105007</v>
      </c>
      <c r="E8" s="63" t="s">
        <v>1651</v>
      </c>
      <c r="F8" s="63" t="s">
        <v>1652</v>
      </c>
      <c r="G8" s="69" t="s">
        <v>1621</v>
      </c>
      <c r="H8" s="63" t="s">
        <v>1653</v>
      </c>
      <c r="I8" s="63" t="s">
        <v>1654</v>
      </c>
      <c r="J8" s="63" t="s">
        <v>1655</v>
      </c>
      <c r="K8" s="135">
        <v>85282483912</v>
      </c>
      <c r="L8" s="62">
        <v>81973202529</v>
      </c>
      <c r="M8" s="65" t="s">
        <v>1656</v>
      </c>
      <c r="N8" s="63" t="s">
        <v>1657</v>
      </c>
      <c r="O8" s="61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21</v>
      </c>
      <c r="B9" s="61" t="s">
        <v>763</v>
      </c>
      <c r="C9" s="62" t="s">
        <v>108</v>
      </c>
      <c r="D9" s="62" t="str">
        <f t="shared" si="0"/>
        <v>2105008</v>
      </c>
      <c r="E9" s="63" t="s">
        <v>1658</v>
      </c>
      <c r="F9" s="63" t="s">
        <v>1659</v>
      </c>
      <c r="G9" s="69" t="s">
        <v>1621</v>
      </c>
      <c r="H9" s="63" t="s">
        <v>1660</v>
      </c>
      <c r="I9" s="63" t="s">
        <v>1629</v>
      </c>
      <c r="J9" s="63" t="s">
        <v>1628</v>
      </c>
      <c r="K9" s="135">
        <v>87777007796</v>
      </c>
      <c r="L9" s="136" t="s">
        <v>1661</v>
      </c>
      <c r="M9" s="65" t="s">
        <v>1662</v>
      </c>
      <c r="N9" s="63" t="s">
        <v>1631</v>
      </c>
      <c r="O9" s="6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22</v>
      </c>
      <c r="B10" s="61" t="s">
        <v>763</v>
      </c>
      <c r="C10" s="62" t="s">
        <v>116</v>
      </c>
      <c r="D10" s="62" t="str">
        <f t="shared" si="0"/>
        <v>2205009</v>
      </c>
      <c r="E10" s="63" t="s">
        <v>1658</v>
      </c>
      <c r="F10" s="63" t="s">
        <v>1663</v>
      </c>
      <c r="G10" s="69" t="s">
        <v>1621</v>
      </c>
      <c r="H10" s="63" t="s">
        <v>1664</v>
      </c>
      <c r="I10" s="63" t="s">
        <v>1665</v>
      </c>
      <c r="J10" s="63" t="s">
        <v>1666</v>
      </c>
      <c r="K10" s="135">
        <v>82135350408</v>
      </c>
      <c r="L10" s="62">
        <v>859180576090</v>
      </c>
      <c r="M10" s="65" t="s">
        <v>1667</v>
      </c>
      <c r="N10" s="63" t="s">
        <v>1668</v>
      </c>
      <c r="O10" s="6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22</v>
      </c>
      <c r="B11" s="61" t="s">
        <v>763</v>
      </c>
      <c r="C11" s="62" t="s">
        <v>124</v>
      </c>
      <c r="D11" s="62" t="str">
        <f t="shared" si="0"/>
        <v>2205010</v>
      </c>
      <c r="E11" s="67" t="s">
        <v>1669</v>
      </c>
      <c r="F11" s="67" t="s">
        <v>1670</v>
      </c>
      <c r="G11" s="69" t="s">
        <v>1621</v>
      </c>
      <c r="H11" s="67" t="s">
        <v>1671</v>
      </c>
      <c r="I11" s="67" t="s">
        <v>1672</v>
      </c>
      <c r="J11" s="63"/>
      <c r="K11" s="134">
        <v>85546386429</v>
      </c>
      <c r="L11" s="62"/>
      <c r="M11" s="63"/>
      <c r="N11" s="63"/>
      <c r="O11" s="68">
        <v>5</v>
      </c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23"/>
    </row>
    <row r="12" spans="1:27" ht="15.75" customHeight="1" x14ac:dyDescent="0.2">
      <c r="A12" s="61">
        <v>22</v>
      </c>
      <c r="B12" s="61" t="s">
        <v>763</v>
      </c>
      <c r="C12" s="62" t="s">
        <v>132</v>
      </c>
      <c r="D12" s="62" t="str">
        <f t="shared" si="0"/>
        <v>2205011</v>
      </c>
      <c r="E12" s="67" t="s">
        <v>1673</v>
      </c>
      <c r="F12" s="67" t="s">
        <v>1674</v>
      </c>
      <c r="G12" s="69" t="s">
        <v>1621</v>
      </c>
      <c r="H12" s="67" t="s">
        <v>1675</v>
      </c>
      <c r="I12" s="67" t="s">
        <v>1676</v>
      </c>
      <c r="J12" s="137" t="s">
        <v>1677</v>
      </c>
      <c r="K12" s="134">
        <v>81332445350</v>
      </c>
      <c r="L12" s="138">
        <v>81332445350</v>
      </c>
      <c r="M12" s="63"/>
      <c r="N12" s="137" t="s">
        <v>1678</v>
      </c>
      <c r="O12" s="68">
        <v>4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22</v>
      </c>
      <c r="B13" s="61" t="s">
        <v>763</v>
      </c>
      <c r="C13" s="62" t="s">
        <v>140</v>
      </c>
      <c r="D13" s="62" t="str">
        <f t="shared" si="0"/>
        <v>2205012</v>
      </c>
      <c r="E13" s="67" t="s">
        <v>1679</v>
      </c>
      <c r="F13" s="67" t="s">
        <v>1680</v>
      </c>
      <c r="G13" s="69" t="s">
        <v>1621</v>
      </c>
      <c r="H13" s="67" t="s">
        <v>1681</v>
      </c>
      <c r="I13" s="67" t="s">
        <v>1682</v>
      </c>
      <c r="J13" s="63"/>
      <c r="K13" s="134" t="s">
        <v>1683</v>
      </c>
      <c r="L13" s="62"/>
      <c r="M13" s="63"/>
      <c r="N13" s="63"/>
      <c r="O13" s="68">
        <v>8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22</v>
      </c>
      <c r="B14" s="61" t="s">
        <v>763</v>
      </c>
      <c r="C14" s="62" t="s">
        <v>148</v>
      </c>
      <c r="D14" s="62" t="str">
        <f t="shared" si="0"/>
        <v>2205013</v>
      </c>
      <c r="E14" s="67" t="s">
        <v>1684</v>
      </c>
      <c r="F14" s="67" t="s">
        <v>1685</v>
      </c>
      <c r="G14" s="69" t="s">
        <v>1621</v>
      </c>
      <c r="H14" s="67" t="s">
        <v>1686</v>
      </c>
      <c r="I14" s="67" t="s">
        <v>1687</v>
      </c>
      <c r="J14" s="63"/>
      <c r="K14" s="134" t="s">
        <v>1688</v>
      </c>
      <c r="L14" s="62"/>
      <c r="M14" s="63"/>
      <c r="N14" s="63"/>
      <c r="O14" s="68">
        <v>3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22</v>
      </c>
      <c r="B15" s="61" t="s">
        <v>763</v>
      </c>
      <c r="C15" s="62" t="s">
        <v>156</v>
      </c>
      <c r="D15" s="62" t="str">
        <f t="shared" si="0"/>
        <v>2205014</v>
      </c>
      <c r="E15" s="69" t="s">
        <v>1689</v>
      </c>
      <c r="F15" s="69" t="s">
        <v>1690</v>
      </c>
      <c r="G15" s="69" t="s">
        <v>1621</v>
      </c>
      <c r="H15" s="69" t="s">
        <v>1691</v>
      </c>
      <c r="I15" s="69" t="s">
        <v>1692</v>
      </c>
      <c r="J15" s="67"/>
      <c r="K15" s="139" t="s">
        <v>1693</v>
      </c>
      <c r="L15" s="61"/>
      <c r="M15" s="67"/>
      <c r="N15" s="67"/>
      <c r="O15" s="68">
        <v>5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22</v>
      </c>
      <c r="B16" s="61" t="s">
        <v>763</v>
      </c>
      <c r="C16" s="62" t="s">
        <v>164</v>
      </c>
      <c r="D16" s="62" t="str">
        <f t="shared" si="0"/>
        <v>2205015</v>
      </c>
      <c r="E16" s="69" t="s">
        <v>1694</v>
      </c>
      <c r="F16" s="69" t="s">
        <v>1695</v>
      </c>
      <c r="G16" s="69" t="s">
        <v>1621</v>
      </c>
      <c r="H16" s="69" t="s">
        <v>1696</v>
      </c>
      <c r="I16" s="69" t="s">
        <v>1697</v>
      </c>
      <c r="J16" s="67"/>
      <c r="K16" s="139" t="s">
        <v>1698</v>
      </c>
      <c r="L16" s="61"/>
      <c r="M16" s="67"/>
      <c r="N16" s="67"/>
      <c r="O16" s="68">
        <v>5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763</v>
      </c>
      <c r="C17" s="62" t="s">
        <v>173</v>
      </c>
      <c r="D17" s="62" t="str">
        <f t="shared" si="0"/>
        <v>2205016</v>
      </c>
      <c r="E17" s="69" t="s">
        <v>1699</v>
      </c>
      <c r="F17" s="69" t="s">
        <v>1700</v>
      </c>
      <c r="G17" s="69" t="s">
        <v>1621</v>
      </c>
      <c r="H17" s="69" t="s">
        <v>1701</v>
      </c>
      <c r="I17" s="69" t="s">
        <v>1702</v>
      </c>
      <c r="J17" s="67"/>
      <c r="K17" s="139" t="s">
        <v>1703</v>
      </c>
      <c r="L17" s="61"/>
      <c r="M17" s="67"/>
      <c r="N17" s="67"/>
      <c r="O17" s="68">
        <v>5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22</v>
      </c>
      <c r="B18" s="61" t="s">
        <v>763</v>
      </c>
      <c r="C18" s="62" t="s">
        <v>180</v>
      </c>
      <c r="D18" s="62" t="str">
        <f t="shared" si="0"/>
        <v>2205017</v>
      </c>
      <c r="E18" s="69" t="s">
        <v>1704</v>
      </c>
      <c r="F18" s="69" t="s">
        <v>1705</v>
      </c>
      <c r="G18" s="69" t="s">
        <v>1621</v>
      </c>
      <c r="H18" s="69" t="s">
        <v>1706</v>
      </c>
      <c r="I18" s="69" t="s">
        <v>1707</v>
      </c>
      <c r="J18" s="67"/>
      <c r="K18" s="139" t="s">
        <v>1708</v>
      </c>
      <c r="L18" s="61"/>
      <c r="M18" s="67"/>
      <c r="N18" s="137" t="s">
        <v>1709</v>
      </c>
      <c r="O18" s="68">
        <v>1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22</v>
      </c>
      <c r="B19" s="61" t="s">
        <v>763</v>
      </c>
      <c r="C19" s="62" t="s">
        <v>188</v>
      </c>
      <c r="D19" s="62" t="str">
        <f t="shared" si="0"/>
        <v>2205018</v>
      </c>
      <c r="E19" s="69" t="s">
        <v>1710</v>
      </c>
      <c r="F19" s="69" t="s">
        <v>1711</v>
      </c>
      <c r="G19" s="69" t="s">
        <v>1621</v>
      </c>
      <c r="H19" s="69" t="s">
        <v>1712</v>
      </c>
      <c r="I19" s="69" t="s">
        <v>1713</v>
      </c>
      <c r="J19" s="67"/>
      <c r="K19" s="139" t="s">
        <v>1714</v>
      </c>
      <c r="L19" s="61"/>
      <c r="M19" s="67"/>
      <c r="N19" s="67"/>
      <c r="O19" s="68">
        <v>5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23</v>
      </c>
      <c r="B20" s="61" t="s">
        <v>763</v>
      </c>
      <c r="C20" s="62" t="s">
        <v>196</v>
      </c>
      <c r="D20" s="62" t="str">
        <f t="shared" si="0"/>
        <v>2305019</v>
      </c>
      <c r="E20" s="69" t="s">
        <v>1715</v>
      </c>
      <c r="F20" s="69" t="s">
        <v>1716</v>
      </c>
      <c r="G20" s="69" t="s">
        <v>1621</v>
      </c>
      <c r="H20" s="69" t="s">
        <v>1717</v>
      </c>
      <c r="I20" s="69" t="s">
        <v>1718</v>
      </c>
      <c r="J20" s="67"/>
      <c r="K20" s="139" t="s">
        <v>1719</v>
      </c>
      <c r="L20" s="61"/>
      <c r="M20" s="67"/>
      <c r="N20" s="67"/>
      <c r="O20" s="6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24</v>
      </c>
      <c r="B21" s="61" t="s">
        <v>763</v>
      </c>
      <c r="C21" s="62" t="s">
        <v>204</v>
      </c>
      <c r="D21" s="62" t="str">
        <f t="shared" si="0"/>
        <v>2405020</v>
      </c>
      <c r="E21" s="69" t="s">
        <v>1720</v>
      </c>
      <c r="F21" s="73" t="s">
        <v>1721</v>
      </c>
      <c r="G21" s="69" t="s">
        <v>1621</v>
      </c>
      <c r="H21" s="69" t="s">
        <v>1722</v>
      </c>
      <c r="I21" s="69" t="s">
        <v>1723</v>
      </c>
      <c r="J21" s="67"/>
      <c r="K21" s="139" t="s">
        <v>1724</v>
      </c>
      <c r="L21" s="61"/>
      <c r="M21" s="67"/>
      <c r="N21" s="73" t="s">
        <v>1725</v>
      </c>
      <c r="O21" s="140">
        <v>5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24</v>
      </c>
      <c r="B22" s="61" t="s">
        <v>763</v>
      </c>
      <c r="C22" s="62" t="s">
        <v>212</v>
      </c>
      <c r="D22" s="62" t="str">
        <f t="shared" si="0"/>
        <v>2405021</v>
      </c>
      <c r="E22" s="69" t="s">
        <v>1726</v>
      </c>
      <c r="F22" s="73" t="s">
        <v>1727</v>
      </c>
      <c r="G22" s="69" t="s">
        <v>1621</v>
      </c>
      <c r="H22" s="69" t="s">
        <v>1728</v>
      </c>
      <c r="I22" s="69" t="s">
        <v>1729</v>
      </c>
      <c r="J22" s="67"/>
      <c r="K22" s="139" t="s">
        <v>1730</v>
      </c>
      <c r="L22" s="61"/>
      <c r="M22" s="67"/>
      <c r="N22" s="73" t="s">
        <v>1731</v>
      </c>
      <c r="O22" s="68">
        <v>7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24</v>
      </c>
      <c r="B23" s="61" t="s">
        <v>763</v>
      </c>
      <c r="C23" s="62" t="s">
        <v>219</v>
      </c>
      <c r="D23" s="62" t="str">
        <f t="shared" si="0"/>
        <v>2405022</v>
      </c>
      <c r="E23" s="69" t="s">
        <v>1732</v>
      </c>
      <c r="F23" s="73" t="s">
        <v>1733</v>
      </c>
      <c r="G23" s="69" t="s">
        <v>1621</v>
      </c>
      <c r="H23" s="69" t="s">
        <v>1734</v>
      </c>
      <c r="I23" s="69" t="s">
        <v>1735</v>
      </c>
      <c r="J23" s="67"/>
      <c r="K23" s="139" t="s">
        <v>1736</v>
      </c>
      <c r="L23" s="61"/>
      <c r="M23" s="67"/>
      <c r="N23" s="73" t="s">
        <v>1737</v>
      </c>
      <c r="O23" s="140">
        <v>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24</v>
      </c>
      <c r="B24" s="61" t="s">
        <v>763</v>
      </c>
      <c r="C24" s="62" t="s">
        <v>226</v>
      </c>
      <c r="D24" s="62" t="str">
        <f t="shared" si="0"/>
        <v>2405023</v>
      </c>
      <c r="E24" s="75" t="s">
        <v>1738</v>
      </c>
      <c r="F24" s="75" t="s">
        <v>1739</v>
      </c>
      <c r="G24" s="75" t="s">
        <v>1621</v>
      </c>
      <c r="H24" s="75" t="s">
        <v>1740</v>
      </c>
      <c r="I24" s="75" t="s">
        <v>1741</v>
      </c>
      <c r="J24" s="67"/>
      <c r="K24" s="74" t="s">
        <v>1742</v>
      </c>
      <c r="L24" s="61"/>
      <c r="M24" s="67"/>
      <c r="N24" s="77" t="s">
        <v>1743</v>
      </c>
      <c r="O24" s="76">
        <v>6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24</v>
      </c>
      <c r="B25" s="61" t="s">
        <v>763</v>
      </c>
      <c r="C25" s="62" t="s">
        <v>234</v>
      </c>
      <c r="D25" s="62" t="str">
        <f t="shared" si="0"/>
        <v>2405024</v>
      </c>
      <c r="E25" s="75" t="s">
        <v>1744</v>
      </c>
      <c r="F25" s="75" t="s">
        <v>1745</v>
      </c>
      <c r="G25" s="75" t="s">
        <v>1621</v>
      </c>
      <c r="H25" s="75" t="s">
        <v>1746</v>
      </c>
      <c r="I25" s="75" t="s">
        <v>1747</v>
      </c>
      <c r="J25" s="67"/>
      <c r="K25" s="74" t="s">
        <v>1748</v>
      </c>
      <c r="L25" s="61"/>
      <c r="M25" s="67"/>
      <c r="N25" s="141"/>
      <c r="O25" s="76">
        <v>3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24</v>
      </c>
      <c r="B26" s="61" t="s">
        <v>763</v>
      </c>
      <c r="C26" s="62" t="s">
        <v>240</v>
      </c>
      <c r="D26" s="62" t="str">
        <f t="shared" si="0"/>
        <v>2405025</v>
      </c>
      <c r="E26" s="75" t="s">
        <v>1749</v>
      </c>
      <c r="F26" s="75" t="s">
        <v>1750</v>
      </c>
      <c r="G26" s="75" t="s">
        <v>1621</v>
      </c>
      <c r="H26" s="75" t="s">
        <v>1751</v>
      </c>
      <c r="I26" s="75" t="s">
        <v>1752</v>
      </c>
      <c r="J26" s="67"/>
      <c r="K26" s="74" t="s">
        <v>1753</v>
      </c>
      <c r="L26" s="61"/>
      <c r="M26" s="67"/>
      <c r="N26" s="77" t="s">
        <v>1754</v>
      </c>
      <c r="O26" s="76">
        <v>6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24</v>
      </c>
      <c r="B27" s="61" t="s">
        <v>763</v>
      </c>
      <c r="C27" s="62" t="s">
        <v>246</v>
      </c>
      <c r="D27" s="62" t="str">
        <f t="shared" si="0"/>
        <v>2405026</v>
      </c>
      <c r="E27" s="75" t="s">
        <v>1755</v>
      </c>
      <c r="F27" s="75" t="s">
        <v>1756</v>
      </c>
      <c r="G27" s="75" t="s">
        <v>1621</v>
      </c>
      <c r="H27" s="75" t="s">
        <v>1757</v>
      </c>
      <c r="I27" s="75" t="s">
        <v>1758</v>
      </c>
      <c r="J27" s="67"/>
      <c r="K27" s="74" t="s">
        <v>1759</v>
      </c>
      <c r="L27" s="61"/>
      <c r="M27" s="67"/>
      <c r="N27" s="77" t="s">
        <v>1760</v>
      </c>
      <c r="O27" s="76">
        <v>4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24</v>
      </c>
      <c r="B28" s="61" t="s">
        <v>763</v>
      </c>
      <c r="C28" s="62" t="s">
        <v>251</v>
      </c>
      <c r="D28" s="62" t="str">
        <f t="shared" si="0"/>
        <v>2405027</v>
      </c>
      <c r="E28" s="73" t="s">
        <v>1761</v>
      </c>
      <c r="F28" s="73" t="s">
        <v>1762</v>
      </c>
      <c r="G28" s="75" t="s">
        <v>1621</v>
      </c>
      <c r="H28" s="73" t="s">
        <v>1763</v>
      </c>
      <c r="I28" s="73" t="s">
        <v>1764</v>
      </c>
      <c r="J28" s="67"/>
      <c r="K28" s="142" t="s">
        <v>1765</v>
      </c>
      <c r="L28" s="61"/>
      <c r="M28" s="67"/>
      <c r="N28" s="73" t="s">
        <v>1766</v>
      </c>
      <c r="O28" s="61">
        <v>5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143">
        <v>25</v>
      </c>
      <c r="B29" s="143" t="s">
        <v>763</v>
      </c>
      <c r="C29" s="144" t="s">
        <v>256</v>
      </c>
      <c r="D29" s="144" t="str">
        <f t="shared" si="0"/>
        <v>2505028</v>
      </c>
      <c r="E29" s="54" t="s">
        <v>1767</v>
      </c>
      <c r="F29" s="145" t="s">
        <v>1768</v>
      </c>
      <c r="G29" s="145" t="s">
        <v>1621</v>
      </c>
      <c r="H29" s="145" t="s">
        <v>1769</v>
      </c>
      <c r="I29" s="145" t="s">
        <v>1770</v>
      </c>
      <c r="J29" s="145"/>
      <c r="K29" s="146" t="s">
        <v>1771</v>
      </c>
      <c r="L29" s="145"/>
      <c r="M29" s="145"/>
      <c r="N29" s="54" t="s">
        <v>1772</v>
      </c>
      <c r="O29" s="147">
        <v>2</v>
      </c>
      <c r="P29" s="148"/>
      <c r="Q29" s="149"/>
      <c r="R29" s="149"/>
      <c r="S29" s="149"/>
      <c r="T29" s="148"/>
      <c r="U29" s="148"/>
      <c r="V29" s="150"/>
      <c r="W29" s="150"/>
      <c r="X29" s="150"/>
      <c r="Y29" s="150"/>
      <c r="Z29" s="150"/>
      <c r="AA29" s="150"/>
    </row>
    <row r="30" spans="1:27" ht="15.75" customHeight="1" x14ac:dyDescent="0.15">
      <c r="A30" s="56"/>
      <c r="B30" s="56"/>
      <c r="C30" s="23"/>
      <c r="D30" s="23"/>
      <c r="E30" s="23"/>
      <c r="F30" s="23"/>
      <c r="G30" s="23"/>
      <c r="H30" s="23"/>
      <c r="I30" s="23"/>
      <c r="J30" s="23"/>
      <c r="K30" s="56"/>
      <c r="L30" s="56"/>
      <c r="M30" s="23"/>
      <c r="N30" s="23"/>
      <c r="O30" s="56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15">
      <c r="A31" s="56"/>
      <c r="B31" s="56"/>
      <c r="C31" s="23"/>
      <c r="D31" s="23"/>
      <c r="E31" s="23"/>
      <c r="F31" s="23"/>
      <c r="G31" s="23"/>
      <c r="H31" s="23"/>
      <c r="I31" s="23"/>
      <c r="J31" s="23"/>
      <c r="K31" s="56"/>
      <c r="L31" s="56"/>
      <c r="M31" s="23"/>
      <c r="N31" s="23"/>
      <c r="O31" s="56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15">
      <c r="A32" s="56"/>
      <c r="B32" s="56"/>
      <c r="C32" s="23"/>
      <c r="D32" s="23"/>
      <c r="E32" s="23"/>
      <c r="F32" s="23"/>
      <c r="G32" s="23"/>
      <c r="H32" s="23"/>
      <c r="I32" s="23"/>
      <c r="J32" s="23"/>
      <c r="K32" s="56"/>
      <c r="L32" s="56"/>
      <c r="M32" s="23"/>
      <c r="N32" s="23"/>
      <c r="O32" s="5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15">
      <c r="A33" s="56"/>
      <c r="B33" s="56"/>
      <c r="C33" s="23"/>
      <c r="D33" s="23"/>
      <c r="E33" s="23"/>
      <c r="F33" s="23"/>
      <c r="G33" s="23"/>
      <c r="H33" s="23"/>
      <c r="I33" s="23"/>
      <c r="J33" s="23"/>
      <c r="K33" s="56"/>
      <c r="L33" s="56"/>
      <c r="M33" s="23"/>
      <c r="N33" s="23"/>
      <c r="O33" s="5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15">
      <c r="A34" s="56"/>
      <c r="B34" s="56"/>
      <c r="C34" s="23"/>
      <c r="D34" s="23"/>
      <c r="E34" s="23"/>
      <c r="F34" s="23"/>
      <c r="G34" s="23"/>
      <c r="H34" s="23"/>
      <c r="I34" s="23"/>
      <c r="J34" s="23"/>
      <c r="K34" s="56"/>
      <c r="L34" s="56"/>
      <c r="M34" s="23"/>
      <c r="N34" s="23"/>
      <c r="O34" s="5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15">
      <c r="A35" s="56"/>
      <c r="B35" s="56"/>
      <c r="C35" s="23"/>
      <c r="D35" s="23"/>
      <c r="E35" s="23"/>
      <c r="F35" s="23"/>
      <c r="G35" s="23"/>
      <c r="H35" s="23"/>
      <c r="I35" s="23"/>
      <c r="J35" s="23"/>
      <c r="K35" s="56"/>
      <c r="L35" s="56"/>
      <c r="M35" s="23"/>
      <c r="N35" s="23"/>
      <c r="O35" s="56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15">
      <c r="A36" s="56"/>
      <c r="B36" s="56"/>
      <c r="C36" s="23"/>
      <c r="D36" s="23"/>
      <c r="E36" s="23"/>
      <c r="F36" s="23"/>
      <c r="G36" s="23"/>
      <c r="H36" s="23"/>
      <c r="I36" s="23"/>
      <c r="J36" s="23"/>
      <c r="K36" s="56"/>
      <c r="L36" s="56"/>
      <c r="M36" s="23"/>
      <c r="N36" s="23"/>
      <c r="O36" s="56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15">
      <c r="A37" s="56"/>
      <c r="B37" s="56"/>
      <c r="C37" s="23"/>
      <c r="D37" s="23"/>
      <c r="E37" s="23"/>
      <c r="F37" s="23"/>
      <c r="G37" s="23"/>
      <c r="H37" s="23"/>
      <c r="I37" s="23"/>
      <c r="J37" s="23"/>
      <c r="K37" s="56"/>
      <c r="L37" s="56"/>
      <c r="M37" s="23"/>
      <c r="N37" s="23"/>
      <c r="O37" s="56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15">
      <c r="A38" s="56"/>
      <c r="B38" s="56"/>
      <c r="C38" s="23"/>
      <c r="D38" s="23"/>
      <c r="E38" s="23"/>
      <c r="F38" s="23"/>
      <c r="G38" s="23"/>
      <c r="H38" s="23"/>
      <c r="I38" s="23"/>
      <c r="J38" s="23"/>
      <c r="K38" s="56"/>
      <c r="L38" s="56"/>
      <c r="M38" s="23"/>
      <c r="N38" s="23"/>
      <c r="O38" s="56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15">
      <c r="A39" s="56"/>
      <c r="B39" s="56"/>
      <c r="C39" s="23"/>
      <c r="D39" s="23"/>
      <c r="E39" s="23"/>
      <c r="F39" s="23"/>
      <c r="G39" s="23"/>
      <c r="H39" s="23"/>
      <c r="I39" s="23"/>
      <c r="J39" s="23"/>
      <c r="K39" s="56"/>
      <c r="L39" s="56"/>
      <c r="M39" s="23"/>
      <c r="N39" s="23"/>
      <c r="O39" s="56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15">
      <c r="A40" s="56"/>
      <c r="B40" s="56"/>
      <c r="C40" s="23"/>
      <c r="D40" s="23"/>
      <c r="E40" s="23"/>
      <c r="F40" s="23"/>
      <c r="G40" s="23"/>
      <c r="H40" s="23"/>
      <c r="I40" s="23"/>
      <c r="J40" s="23"/>
      <c r="K40" s="56"/>
      <c r="L40" s="56"/>
      <c r="M40" s="23"/>
      <c r="N40" s="23"/>
      <c r="O40" s="56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15">
      <c r="A41" s="56"/>
      <c r="B41" s="56"/>
      <c r="C41" s="23"/>
      <c r="D41" s="23"/>
      <c r="E41" s="23"/>
      <c r="F41" s="23"/>
      <c r="G41" s="23"/>
      <c r="H41" s="23"/>
      <c r="I41" s="23"/>
      <c r="J41" s="23"/>
      <c r="K41" s="56"/>
      <c r="L41" s="56"/>
      <c r="M41" s="23"/>
      <c r="N41" s="23"/>
      <c r="O41" s="56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15">
      <c r="A42" s="56"/>
      <c r="B42" s="56"/>
      <c r="C42" s="23"/>
      <c r="D42" s="23"/>
      <c r="E42" s="23"/>
      <c r="F42" s="23"/>
      <c r="G42" s="23"/>
      <c r="H42" s="23"/>
      <c r="I42" s="23"/>
      <c r="J42" s="23"/>
      <c r="K42" s="56"/>
      <c r="L42" s="56"/>
      <c r="M42" s="23"/>
      <c r="N42" s="23"/>
      <c r="O42" s="56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15">
      <c r="A43" s="56"/>
      <c r="B43" s="56"/>
      <c r="C43" s="23"/>
      <c r="D43" s="23"/>
      <c r="E43" s="23"/>
      <c r="F43" s="23"/>
      <c r="G43" s="23"/>
      <c r="H43" s="23"/>
      <c r="I43" s="23"/>
      <c r="J43" s="23"/>
      <c r="K43" s="56"/>
      <c r="L43" s="56"/>
      <c r="M43" s="23"/>
      <c r="N43" s="23"/>
      <c r="O43" s="56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15">
      <c r="A44" s="56"/>
      <c r="B44" s="56"/>
      <c r="C44" s="23"/>
      <c r="D44" s="23"/>
      <c r="E44" s="23"/>
      <c r="F44" s="23"/>
      <c r="G44" s="23"/>
      <c r="H44" s="23"/>
      <c r="I44" s="23"/>
      <c r="J44" s="23"/>
      <c r="K44" s="56"/>
      <c r="L44" s="56"/>
      <c r="M44" s="23"/>
      <c r="N44" s="23"/>
      <c r="O44" s="56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15">
      <c r="A45" s="56"/>
      <c r="B45" s="56"/>
      <c r="C45" s="23"/>
      <c r="D45" s="23"/>
      <c r="E45" s="23"/>
      <c r="F45" s="23"/>
      <c r="G45" s="23"/>
      <c r="H45" s="23"/>
      <c r="I45" s="23"/>
      <c r="J45" s="23"/>
      <c r="K45" s="56"/>
      <c r="L45" s="56"/>
      <c r="M45" s="23"/>
      <c r="N45" s="23"/>
      <c r="O45" s="56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15">
      <c r="A46" s="56"/>
      <c r="B46" s="56"/>
      <c r="C46" s="23"/>
      <c r="D46" s="23"/>
      <c r="E46" s="23"/>
      <c r="F46" s="23"/>
      <c r="G46" s="23"/>
      <c r="H46" s="23"/>
      <c r="I46" s="23"/>
      <c r="J46" s="23"/>
      <c r="K46" s="56"/>
      <c r="L46" s="56"/>
      <c r="M46" s="23"/>
      <c r="N46" s="23"/>
      <c r="O46" s="56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15">
      <c r="A47" s="56"/>
      <c r="B47" s="56"/>
      <c r="C47" s="23"/>
      <c r="D47" s="23"/>
      <c r="E47" s="23"/>
      <c r="F47" s="23"/>
      <c r="G47" s="23"/>
      <c r="H47" s="23"/>
      <c r="I47" s="23"/>
      <c r="J47" s="23"/>
      <c r="K47" s="56"/>
      <c r="L47" s="56"/>
      <c r="M47" s="23"/>
      <c r="N47" s="23"/>
      <c r="O47" s="56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15">
      <c r="A48" s="56"/>
      <c r="B48" s="56"/>
      <c r="C48" s="23"/>
      <c r="D48" s="23"/>
      <c r="E48" s="23"/>
      <c r="F48" s="23"/>
      <c r="G48" s="23"/>
      <c r="H48" s="23"/>
      <c r="I48" s="23"/>
      <c r="J48" s="23"/>
      <c r="K48" s="56"/>
      <c r="L48" s="56"/>
      <c r="M48" s="23"/>
      <c r="N48" s="23"/>
      <c r="O48" s="5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15">
      <c r="A49" s="56"/>
      <c r="B49" s="56"/>
      <c r="C49" s="23"/>
      <c r="D49" s="23"/>
      <c r="E49" s="23"/>
      <c r="F49" s="23"/>
      <c r="G49" s="23"/>
      <c r="H49" s="23"/>
      <c r="I49" s="23"/>
      <c r="J49" s="23"/>
      <c r="K49" s="56"/>
      <c r="L49" s="56"/>
      <c r="M49" s="23"/>
      <c r="N49" s="23"/>
      <c r="O49" s="56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15">
      <c r="A50" s="56"/>
      <c r="B50" s="56"/>
      <c r="C50" s="23"/>
      <c r="D50" s="23"/>
      <c r="E50" s="23"/>
      <c r="F50" s="23"/>
      <c r="G50" s="23"/>
      <c r="H50" s="23"/>
      <c r="I50" s="23"/>
      <c r="J50" s="23"/>
      <c r="K50" s="56"/>
      <c r="L50" s="56"/>
      <c r="M50" s="23"/>
      <c r="N50" s="23"/>
      <c r="O50" s="56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15">
      <c r="A51" s="56"/>
      <c r="B51" s="56"/>
      <c r="C51" s="23"/>
      <c r="D51" s="23"/>
      <c r="E51" s="23"/>
      <c r="F51" s="23"/>
      <c r="G51" s="23"/>
      <c r="H51" s="23"/>
      <c r="I51" s="23"/>
      <c r="J51" s="23"/>
      <c r="K51" s="56"/>
      <c r="L51" s="56"/>
      <c r="M51" s="23"/>
      <c r="N51" s="23"/>
      <c r="O51" s="56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15">
      <c r="A52" s="56"/>
      <c r="B52" s="56"/>
      <c r="C52" s="23"/>
      <c r="D52" s="23"/>
      <c r="E52" s="23"/>
      <c r="F52" s="23"/>
      <c r="G52" s="23"/>
      <c r="H52" s="23"/>
      <c r="I52" s="23"/>
      <c r="J52" s="23"/>
      <c r="K52" s="56"/>
      <c r="L52" s="56"/>
      <c r="M52" s="23"/>
      <c r="N52" s="23"/>
      <c r="O52" s="5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15">
      <c r="A53" s="56"/>
      <c r="B53" s="56"/>
      <c r="C53" s="23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3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3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3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3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3" x14ac:dyDescent="0.15">
      <c r="A227" s="56"/>
      <c r="B227" s="56"/>
      <c r="K227" s="56"/>
      <c r="L227" s="79"/>
      <c r="O227" s="56"/>
    </row>
    <row r="228" spans="1:27" ht="13" x14ac:dyDescent="0.15">
      <c r="A228" s="56"/>
      <c r="B228" s="56"/>
      <c r="K228" s="56"/>
      <c r="L228" s="79"/>
      <c r="O228" s="56"/>
    </row>
    <row r="229" spans="1:27" ht="13" x14ac:dyDescent="0.15">
      <c r="A229" s="56"/>
      <c r="B229" s="56"/>
      <c r="K229" s="56"/>
      <c r="L229" s="79"/>
      <c r="O229" s="56"/>
    </row>
    <row r="230" spans="1:27" ht="13" x14ac:dyDescent="0.15">
      <c r="A230" s="56"/>
      <c r="B230" s="56"/>
      <c r="K230" s="56"/>
      <c r="L230" s="79"/>
      <c r="O230" s="56"/>
    </row>
    <row r="231" spans="1:27" ht="13" x14ac:dyDescent="0.15">
      <c r="A231" s="56"/>
      <c r="B231" s="56"/>
      <c r="K231" s="56"/>
      <c r="L231" s="79"/>
      <c r="O231" s="56"/>
    </row>
    <row r="232" spans="1:27" ht="13" x14ac:dyDescent="0.15">
      <c r="A232" s="56"/>
      <c r="B232" s="56"/>
      <c r="K232" s="56"/>
      <c r="L232" s="79"/>
      <c r="O232" s="56"/>
    </row>
    <row r="233" spans="1:27" ht="13" x14ac:dyDescent="0.15">
      <c r="A233" s="56"/>
      <c r="B233" s="56"/>
      <c r="K233" s="56"/>
      <c r="L233" s="79"/>
      <c r="O233" s="56"/>
    </row>
    <row r="234" spans="1:27" ht="13" x14ac:dyDescent="0.15">
      <c r="A234" s="56"/>
      <c r="B234" s="56"/>
      <c r="K234" s="56"/>
      <c r="L234" s="79"/>
      <c r="O234" s="56"/>
    </row>
    <row r="235" spans="1:27" ht="13" x14ac:dyDescent="0.15">
      <c r="A235" s="56"/>
      <c r="B235" s="56"/>
      <c r="K235" s="56"/>
      <c r="L235" s="79"/>
      <c r="O235" s="56"/>
    </row>
    <row r="236" spans="1:27" ht="13" x14ac:dyDescent="0.15">
      <c r="A236" s="56"/>
      <c r="B236" s="56"/>
      <c r="K236" s="56"/>
      <c r="L236" s="79"/>
      <c r="O236" s="56"/>
    </row>
    <row r="237" spans="1:27" ht="13" x14ac:dyDescent="0.15">
      <c r="A237" s="56"/>
      <c r="B237" s="56"/>
      <c r="K237" s="56"/>
      <c r="L237" s="79"/>
      <c r="O237" s="56"/>
    </row>
    <row r="238" spans="1:27" ht="13" x14ac:dyDescent="0.15">
      <c r="A238" s="56"/>
      <c r="B238" s="56"/>
      <c r="K238" s="56"/>
      <c r="L238" s="79"/>
      <c r="O238" s="56"/>
    </row>
    <row r="239" spans="1:27" ht="13" x14ac:dyDescent="0.15">
      <c r="A239" s="56"/>
      <c r="B239" s="56"/>
      <c r="K239" s="56"/>
      <c r="L239" s="79"/>
      <c r="O239" s="56"/>
    </row>
    <row r="240" spans="1:27" ht="13" x14ac:dyDescent="0.15">
      <c r="A240" s="56"/>
      <c r="B240" s="56"/>
      <c r="K240" s="56"/>
      <c r="L240" s="79"/>
      <c r="O240" s="56"/>
    </row>
    <row r="241" spans="1:15" ht="13" x14ac:dyDescent="0.15">
      <c r="A241" s="56"/>
      <c r="B241" s="56"/>
      <c r="K241" s="56"/>
      <c r="L241" s="79"/>
      <c r="O241" s="56"/>
    </row>
    <row r="242" spans="1:15" ht="13" x14ac:dyDescent="0.15">
      <c r="A242" s="56"/>
      <c r="B242" s="56"/>
      <c r="K242" s="56"/>
      <c r="L242" s="79"/>
      <c r="O242" s="56"/>
    </row>
    <row r="243" spans="1:15" ht="13" x14ac:dyDescent="0.15">
      <c r="A243" s="56"/>
      <c r="B243" s="56"/>
      <c r="K243" s="56"/>
      <c r="L243" s="79"/>
      <c r="O243" s="56"/>
    </row>
    <row r="244" spans="1:15" ht="13" x14ac:dyDescent="0.15">
      <c r="A244" s="56"/>
      <c r="B244" s="56"/>
      <c r="K244" s="56"/>
      <c r="L244" s="79"/>
      <c r="O244" s="56"/>
    </row>
    <row r="245" spans="1:15" ht="13" x14ac:dyDescent="0.15">
      <c r="A245" s="56"/>
      <c r="B245" s="56"/>
      <c r="K245" s="56"/>
      <c r="L245" s="79"/>
      <c r="O245" s="56"/>
    </row>
    <row r="246" spans="1:15" ht="13" x14ac:dyDescent="0.15">
      <c r="A246" s="56"/>
      <c r="B246" s="56"/>
      <c r="K246" s="56"/>
      <c r="L246" s="79"/>
      <c r="O246" s="56"/>
    </row>
    <row r="247" spans="1:15" ht="13" x14ac:dyDescent="0.15">
      <c r="A247" s="56"/>
      <c r="B247" s="56"/>
      <c r="K247" s="56"/>
      <c r="L247" s="79"/>
      <c r="O247" s="56"/>
    </row>
    <row r="248" spans="1:15" ht="13" x14ac:dyDescent="0.15">
      <c r="A248" s="56"/>
      <c r="B248" s="56"/>
      <c r="K248" s="56"/>
      <c r="L248" s="79"/>
      <c r="O248" s="56"/>
    </row>
    <row r="249" spans="1:15" ht="13" x14ac:dyDescent="0.15">
      <c r="A249" s="56"/>
      <c r="B249" s="56"/>
      <c r="K249" s="56"/>
      <c r="L249" s="79"/>
      <c r="O249" s="56"/>
    </row>
    <row r="250" spans="1:15" ht="13" x14ac:dyDescent="0.15">
      <c r="A250" s="56"/>
      <c r="B250" s="56"/>
      <c r="K250" s="56"/>
      <c r="L250" s="79"/>
      <c r="O250" s="56"/>
    </row>
    <row r="251" spans="1:15" ht="13" x14ac:dyDescent="0.15">
      <c r="A251" s="56"/>
      <c r="B251" s="56"/>
      <c r="K251" s="56"/>
      <c r="L251" s="79"/>
      <c r="O251" s="56"/>
    </row>
    <row r="252" spans="1:15" ht="13" x14ac:dyDescent="0.15">
      <c r="A252" s="56"/>
      <c r="B252" s="56"/>
      <c r="K252" s="56"/>
      <c r="L252" s="79"/>
      <c r="O252" s="56"/>
    </row>
    <row r="253" spans="1:15" ht="13" x14ac:dyDescent="0.15">
      <c r="A253" s="56"/>
      <c r="B253" s="56"/>
      <c r="K253" s="56"/>
      <c r="L253" s="79"/>
      <c r="O253" s="56"/>
    </row>
    <row r="254" spans="1:15" ht="13" x14ac:dyDescent="0.15">
      <c r="A254" s="56"/>
      <c r="B254" s="56"/>
      <c r="K254" s="56"/>
      <c r="L254" s="79"/>
      <c r="O254" s="56"/>
    </row>
    <row r="255" spans="1:15" ht="13" x14ac:dyDescent="0.15">
      <c r="A255" s="56"/>
      <c r="B255" s="56"/>
      <c r="K255" s="56"/>
      <c r="L255" s="79"/>
      <c r="O255" s="56"/>
    </row>
    <row r="256" spans="1:15" ht="13" x14ac:dyDescent="0.15">
      <c r="A256" s="56"/>
      <c r="B256" s="56"/>
      <c r="K256" s="56"/>
      <c r="L256" s="79"/>
      <c r="O256" s="56"/>
    </row>
    <row r="257" spans="1:15" ht="13" x14ac:dyDescent="0.15">
      <c r="A257" s="56"/>
      <c r="B257" s="56"/>
      <c r="K257" s="56"/>
      <c r="L257" s="79"/>
      <c r="O257" s="56"/>
    </row>
    <row r="258" spans="1:15" ht="13" x14ac:dyDescent="0.15">
      <c r="A258" s="56"/>
      <c r="B258" s="56"/>
      <c r="K258" s="56"/>
      <c r="L258" s="79"/>
      <c r="O258" s="56"/>
    </row>
    <row r="259" spans="1:15" ht="13" x14ac:dyDescent="0.15">
      <c r="A259" s="56"/>
      <c r="B259" s="56"/>
      <c r="K259" s="56"/>
      <c r="L259" s="79"/>
      <c r="O259" s="56"/>
    </row>
    <row r="260" spans="1:15" ht="13" x14ac:dyDescent="0.15">
      <c r="A260" s="56"/>
      <c r="B260" s="56"/>
      <c r="K260" s="56"/>
      <c r="L260" s="79"/>
      <c r="O260" s="56"/>
    </row>
    <row r="261" spans="1:15" ht="13" x14ac:dyDescent="0.15">
      <c r="A261" s="56"/>
      <c r="B261" s="56"/>
      <c r="K261" s="56"/>
      <c r="L261" s="79"/>
      <c r="O261" s="56"/>
    </row>
    <row r="262" spans="1:15" ht="13" x14ac:dyDescent="0.15">
      <c r="A262" s="56"/>
      <c r="B262" s="56"/>
      <c r="K262" s="56"/>
      <c r="L262" s="79"/>
      <c r="O262" s="56"/>
    </row>
    <row r="263" spans="1:15" ht="13" x14ac:dyDescent="0.15">
      <c r="A263" s="56"/>
      <c r="B263" s="56"/>
      <c r="K263" s="56"/>
      <c r="L263" s="79"/>
      <c r="O263" s="56"/>
    </row>
    <row r="264" spans="1:15" ht="13" x14ac:dyDescent="0.15">
      <c r="A264" s="56"/>
      <c r="B264" s="56"/>
      <c r="K264" s="56"/>
      <c r="L264" s="79"/>
      <c r="O264" s="56"/>
    </row>
    <row r="265" spans="1:15" ht="13" x14ac:dyDescent="0.15">
      <c r="A265" s="56"/>
      <c r="B265" s="56"/>
      <c r="K265" s="56"/>
      <c r="L265" s="79"/>
      <c r="O265" s="56"/>
    </row>
    <row r="266" spans="1:15" ht="13" x14ac:dyDescent="0.15">
      <c r="A266" s="56"/>
      <c r="B266" s="56"/>
      <c r="K266" s="56"/>
      <c r="L266" s="79"/>
      <c r="O266" s="56"/>
    </row>
    <row r="267" spans="1:15" ht="13" x14ac:dyDescent="0.15">
      <c r="A267" s="56"/>
      <c r="B267" s="56"/>
      <c r="K267" s="56"/>
      <c r="L267" s="79"/>
      <c r="O267" s="56"/>
    </row>
    <row r="268" spans="1:15" ht="13" x14ac:dyDescent="0.15">
      <c r="A268" s="56"/>
      <c r="B268" s="56"/>
      <c r="K268" s="56"/>
      <c r="L268" s="79"/>
      <c r="O268" s="56"/>
    </row>
    <row r="269" spans="1:15" ht="13" x14ac:dyDescent="0.15">
      <c r="A269" s="56"/>
      <c r="B269" s="56"/>
      <c r="K269" s="56"/>
      <c r="L269" s="79"/>
      <c r="O269" s="56"/>
    </row>
    <row r="270" spans="1:15" ht="13" x14ac:dyDescent="0.15">
      <c r="A270" s="56"/>
      <c r="B270" s="56"/>
      <c r="K270" s="56"/>
      <c r="L270" s="79"/>
      <c r="O270" s="56"/>
    </row>
    <row r="271" spans="1:15" ht="13" x14ac:dyDescent="0.15">
      <c r="A271" s="56"/>
      <c r="B271" s="56"/>
      <c r="K271" s="56"/>
      <c r="L271" s="79"/>
      <c r="O271" s="56"/>
    </row>
    <row r="272" spans="1:15" ht="13" x14ac:dyDescent="0.15">
      <c r="A272" s="56"/>
      <c r="B272" s="56"/>
      <c r="K272" s="56"/>
      <c r="L272" s="79"/>
      <c r="O272" s="56"/>
    </row>
    <row r="273" spans="1:15" ht="13" x14ac:dyDescent="0.15">
      <c r="A273" s="56"/>
      <c r="B273" s="56"/>
      <c r="K273" s="56"/>
      <c r="L273" s="79"/>
      <c r="O273" s="56"/>
    </row>
    <row r="274" spans="1:15" ht="13" x14ac:dyDescent="0.15">
      <c r="A274" s="56"/>
      <c r="B274" s="56"/>
      <c r="K274" s="56"/>
      <c r="L274" s="79"/>
      <c r="O274" s="56"/>
    </row>
    <row r="275" spans="1:15" ht="13" x14ac:dyDescent="0.15">
      <c r="A275" s="56"/>
      <c r="B275" s="56"/>
      <c r="K275" s="56"/>
      <c r="L275" s="79"/>
      <c r="O275" s="56"/>
    </row>
    <row r="276" spans="1:15" ht="13" x14ac:dyDescent="0.15">
      <c r="A276" s="56"/>
      <c r="B276" s="56"/>
      <c r="K276" s="56"/>
      <c r="L276" s="79"/>
      <c r="O276" s="56"/>
    </row>
    <row r="277" spans="1:15" ht="13" x14ac:dyDescent="0.15">
      <c r="A277" s="56"/>
      <c r="B277" s="56"/>
      <c r="K277" s="56"/>
      <c r="L277" s="79"/>
      <c r="O277" s="56"/>
    </row>
    <row r="278" spans="1:15" ht="13" x14ac:dyDescent="0.15">
      <c r="A278" s="56"/>
      <c r="B278" s="56"/>
      <c r="K278" s="56"/>
      <c r="L278" s="79"/>
      <c r="O278" s="56"/>
    </row>
    <row r="279" spans="1:15" ht="13" x14ac:dyDescent="0.15">
      <c r="A279" s="56"/>
      <c r="B279" s="56"/>
      <c r="K279" s="56"/>
      <c r="L279" s="79"/>
      <c r="O279" s="56"/>
    </row>
    <row r="280" spans="1:15" ht="13" x14ac:dyDescent="0.15">
      <c r="A280" s="56"/>
      <c r="B280" s="56"/>
      <c r="K280" s="56"/>
      <c r="L280" s="79"/>
      <c r="O280" s="56"/>
    </row>
    <row r="281" spans="1:15" ht="13" x14ac:dyDescent="0.15">
      <c r="A281" s="56"/>
      <c r="B281" s="56"/>
      <c r="K281" s="56"/>
      <c r="L281" s="79"/>
      <c r="O281" s="56"/>
    </row>
    <row r="282" spans="1:15" ht="13" x14ac:dyDescent="0.15">
      <c r="A282" s="56"/>
      <c r="B282" s="56"/>
      <c r="K282" s="56"/>
      <c r="L282" s="79"/>
      <c r="O282" s="56"/>
    </row>
    <row r="283" spans="1:15" ht="13" x14ac:dyDescent="0.15">
      <c r="A283" s="56"/>
      <c r="B283" s="56"/>
      <c r="K283" s="56"/>
      <c r="L283" s="79"/>
      <c r="O283" s="56"/>
    </row>
    <row r="284" spans="1:15" ht="13" x14ac:dyDescent="0.15">
      <c r="A284" s="56"/>
      <c r="B284" s="56"/>
      <c r="K284" s="56"/>
      <c r="L284" s="79"/>
      <c r="O284" s="56"/>
    </row>
    <row r="285" spans="1:15" ht="13" x14ac:dyDescent="0.15">
      <c r="A285" s="56"/>
      <c r="B285" s="56"/>
      <c r="K285" s="56"/>
      <c r="L285" s="79"/>
      <c r="O285" s="56"/>
    </row>
    <row r="286" spans="1:15" ht="13" x14ac:dyDescent="0.15">
      <c r="A286" s="56"/>
      <c r="B286" s="56"/>
      <c r="K286" s="56"/>
      <c r="L286" s="79"/>
      <c r="O286" s="56"/>
    </row>
    <row r="287" spans="1:15" ht="13" x14ac:dyDescent="0.15">
      <c r="A287" s="56"/>
      <c r="B287" s="56"/>
      <c r="K287" s="56"/>
      <c r="L287" s="79"/>
      <c r="O287" s="56"/>
    </row>
    <row r="288" spans="1:15" ht="13" x14ac:dyDescent="0.15">
      <c r="A288" s="56"/>
      <c r="B288" s="56"/>
      <c r="K288" s="56"/>
      <c r="L288" s="79"/>
      <c r="O288" s="56"/>
    </row>
    <row r="289" spans="1:15" ht="13" x14ac:dyDescent="0.15">
      <c r="A289" s="56"/>
      <c r="B289" s="56"/>
      <c r="K289" s="56"/>
      <c r="L289" s="79"/>
      <c r="O289" s="56"/>
    </row>
    <row r="290" spans="1:15" ht="13" x14ac:dyDescent="0.15">
      <c r="A290" s="56"/>
      <c r="B290" s="56"/>
      <c r="K290" s="56"/>
      <c r="L290" s="79"/>
      <c r="O290" s="56"/>
    </row>
    <row r="291" spans="1:15" ht="13" x14ac:dyDescent="0.15">
      <c r="A291" s="56"/>
      <c r="B291" s="56"/>
      <c r="K291" s="56"/>
      <c r="L291" s="79"/>
      <c r="O291" s="56"/>
    </row>
    <row r="292" spans="1:15" ht="13" x14ac:dyDescent="0.15">
      <c r="A292" s="56"/>
      <c r="B292" s="56"/>
      <c r="K292" s="56"/>
      <c r="L292" s="79"/>
      <c r="O292" s="56"/>
    </row>
    <row r="293" spans="1:15" ht="13" x14ac:dyDescent="0.15">
      <c r="A293" s="56"/>
      <c r="B293" s="56"/>
      <c r="K293" s="56"/>
      <c r="L293" s="79"/>
      <c r="O293" s="56"/>
    </row>
    <row r="294" spans="1:15" ht="13" x14ac:dyDescent="0.15">
      <c r="A294" s="56"/>
      <c r="B294" s="56"/>
      <c r="K294" s="56"/>
      <c r="L294" s="79"/>
      <c r="O294" s="56"/>
    </row>
    <row r="295" spans="1:15" ht="13" x14ac:dyDescent="0.15">
      <c r="A295" s="56"/>
      <c r="B295" s="56"/>
      <c r="K295" s="56"/>
      <c r="L295" s="79"/>
      <c r="O295" s="56"/>
    </row>
    <row r="296" spans="1:15" ht="13" x14ac:dyDescent="0.15">
      <c r="A296" s="56"/>
      <c r="B296" s="56"/>
      <c r="K296" s="56"/>
      <c r="L296" s="79"/>
      <c r="O296" s="56"/>
    </row>
    <row r="297" spans="1:15" ht="13" x14ac:dyDescent="0.15">
      <c r="A297" s="56"/>
      <c r="B297" s="56"/>
      <c r="K297" s="56"/>
      <c r="L297" s="79"/>
      <c r="O297" s="56"/>
    </row>
    <row r="298" spans="1:15" ht="13" x14ac:dyDescent="0.15">
      <c r="A298" s="56"/>
      <c r="B298" s="56"/>
      <c r="K298" s="56"/>
      <c r="L298" s="79"/>
      <c r="O298" s="56"/>
    </row>
    <row r="299" spans="1:15" ht="13" x14ac:dyDescent="0.15">
      <c r="A299" s="56"/>
      <c r="B299" s="56"/>
      <c r="K299" s="56"/>
      <c r="L299" s="79"/>
      <c r="O299" s="56"/>
    </row>
    <row r="300" spans="1:15" ht="13" x14ac:dyDescent="0.15">
      <c r="A300" s="56"/>
      <c r="B300" s="56"/>
      <c r="K300" s="56"/>
      <c r="L300" s="79"/>
      <c r="O300" s="56"/>
    </row>
    <row r="301" spans="1:15" ht="13" x14ac:dyDescent="0.15">
      <c r="A301" s="56"/>
      <c r="B301" s="56"/>
      <c r="K301" s="56"/>
      <c r="L301" s="79"/>
      <c r="O301" s="56"/>
    </row>
    <row r="302" spans="1:15" ht="13" x14ac:dyDescent="0.15">
      <c r="A302" s="56"/>
      <c r="B302" s="56"/>
      <c r="K302" s="56"/>
      <c r="L302" s="79"/>
      <c r="O302" s="56"/>
    </row>
    <row r="303" spans="1:15" ht="13" x14ac:dyDescent="0.15">
      <c r="A303" s="56"/>
      <c r="B303" s="56"/>
      <c r="K303" s="56"/>
      <c r="L303" s="79"/>
      <c r="O303" s="56"/>
    </row>
    <row r="304" spans="1:15" ht="13" x14ac:dyDescent="0.15">
      <c r="A304" s="56"/>
      <c r="B304" s="56"/>
      <c r="K304" s="56"/>
      <c r="L304" s="79"/>
      <c r="O304" s="56"/>
    </row>
    <row r="305" spans="1:15" ht="13" x14ac:dyDescent="0.15">
      <c r="A305" s="56"/>
      <c r="B305" s="56"/>
      <c r="K305" s="56"/>
      <c r="L305" s="79"/>
      <c r="O305" s="56"/>
    </row>
    <row r="306" spans="1:15" ht="13" x14ac:dyDescent="0.15">
      <c r="A306" s="56"/>
      <c r="B306" s="56"/>
      <c r="K306" s="56"/>
      <c r="L306" s="79"/>
      <c r="O306" s="56"/>
    </row>
    <row r="307" spans="1:15" ht="13" x14ac:dyDescent="0.15">
      <c r="A307" s="56"/>
      <c r="B307" s="56"/>
      <c r="K307" s="56"/>
      <c r="L307" s="79"/>
      <c r="O307" s="56"/>
    </row>
    <row r="308" spans="1:15" ht="13" x14ac:dyDescent="0.15">
      <c r="A308" s="56"/>
      <c r="B308" s="56"/>
      <c r="K308" s="56"/>
      <c r="L308" s="79"/>
      <c r="O308" s="56"/>
    </row>
    <row r="309" spans="1:15" ht="13" x14ac:dyDescent="0.15">
      <c r="A309" s="56"/>
      <c r="B309" s="56"/>
      <c r="K309" s="56"/>
      <c r="L309" s="79"/>
      <c r="O309" s="56"/>
    </row>
    <row r="310" spans="1:15" ht="13" x14ac:dyDescent="0.15">
      <c r="A310" s="56"/>
      <c r="B310" s="56"/>
      <c r="K310" s="56"/>
      <c r="L310" s="79"/>
      <c r="O310" s="56"/>
    </row>
    <row r="311" spans="1:15" ht="13" x14ac:dyDescent="0.15">
      <c r="A311" s="56"/>
      <c r="B311" s="56"/>
      <c r="K311" s="56"/>
      <c r="L311" s="79"/>
      <c r="O311" s="56"/>
    </row>
    <row r="312" spans="1:15" ht="13" x14ac:dyDescent="0.15">
      <c r="A312" s="56"/>
      <c r="B312" s="56"/>
      <c r="K312" s="56"/>
      <c r="L312" s="79"/>
      <c r="O312" s="56"/>
    </row>
    <row r="313" spans="1:15" ht="13" x14ac:dyDescent="0.15">
      <c r="A313" s="56"/>
      <c r="B313" s="56"/>
      <c r="K313" s="56"/>
      <c r="L313" s="79"/>
      <c r="O313" s="56"/>
    </row>
    <row r="314" spans="1:15" ht="13" x14ac:dyDescent="0.15">
      <c r="A314" s="56"/>
      <c r="B314" s="56"/>
      <c r="K314" s="56"/>
      <c r="L314" s="79"/>
      <c r="O314" s="56"/>
    </row>
    <row r="315" spans="1:15" ht="13" x14ac:dyDescent="0.15">
      <c r="A315" s="56"/>
      <c r="B315" s="56"/>
      <c r="K315" s="56"/>
      <c r="L315" s="79"/>
      <c r="O315" s="56"/>
    </row>
    <row r="316" spans="1:15" ht="13" x14ac:dyDescent="0.15">
      <c r="A316" s="56"/>
      <c r="B316" s="56"/>
      <c r="K316" s="56"/>
      <c r="L316" s="79"/>
      <c r="O316" s="56"/>
    </row>
    <row r="317" spans="1:15" ht="13" x14ac:dyDescent="0.15">
      <c r="A317" s="56"/>
      <c r="B317" s="56"/>
      <c r="K317" s="56"/>
      <c r="L317" s="79"/>
      <c r="O317" s="56"/>
    </row>
    <row r="318" spans="1:15" ht="13" x14ac:dyDescent="0.15">
      <c r="A318" s="56"/>
      <c r="B318" s="56"/>
      <c r="K318" s="56"/>
      <c r="L318" s="79"/>
      <c r="O318" s="56"/>
    </row>
    <row r="319" spans="1:15" ht="13" x14ac:dyDescent="0.15">
      <c r="A319" s="56"/>
      <c r="B319" s="56"/>
      <c r="K319" s="56"/>
      <c r="L319" s="79"/>
      <c r="O319" s="56"/>
    </row>
    <row r="320" spans="1:15" ht="13" x14ac:dyDescent="0.15">
      <c r="A320" s="56"/>
      <c r="B320" s="56"/>
      <c r="K320" s="56"/>
      <c r="L320" s="79"/>
      <c r="O320" s="56"/>
    </row>
    <row r="321" spans="1:15" ht="13" x14ac:dyDescent="0.15">
      <c r="A321" s="56"/>
      <c r="B321" s="56"/>
      <c r="K321" s="56"/>
      <c r="L321" s="79"/>
      <c r="O321" s="56"/>
    </row>
    <row r="322" spans="1:15" ht="13" x14ac:dyDescent="0.15">
      <c r="A322" s="56"/>
      <c r="B322" s="56"/>
      <c r="K322" s="56"/>
      <c r="L322" s="79"/>
      <c r="O322" s="56"/>
    </row>
    <row r="323" spans="1:15" ht="13" x14ac:dyDescent="0.15">
      <c r="A323" s="56"/>
      <c r="B323" s="56"/>
      <c r="K323" s="56"/>
      <c r="L323" s="79"/>
      <c r="O323" s="56"/>
    </row>
    <row r="324" spans="1:15" ht="13" x14ac:dyDescent="0.15">
      <c r="A324" s="56"/>
      <c r="B324" s="56"/>
      <c r="K324" s="56"/>
      <c r="L324" s="79"/>
      <c r="O324" s="56"/>
    </row>
    <row r="325" spans="1:15" ht="13" x14ac:dyDescent="0.15">
      <c r="A325" s="56"/>
      <c r="B325" s="56"/>
      <c r="K325" s="56"/>
      <c r="L325" s="79"/>
      <c r="O325" s="56"/>
    </row>
    <row r="326" spans="1:15" ht="13" x14ac:dyDescent="0.15">
      <c r="A326" s="56"/>
      <c r="B326" s="56"/>
      <c r="K326" s="56"/>
      <c r="L326" s="79"/>
      <c r="O326" s="56"/>
    </row>
    <row r="327" spans="1:15" ht="13" x14ac:dyDescent="0.15">
      <c r="A327" s="56"/>
      <c r="B327" s="56"/>
      <c r="K327" s="56"/>
      <c r="L327" s="79"/>
      <c r="O327" s="56"/>
    </row>
    <row r="328" spans="1:15" ht="13" x14ac:dyDescent="0.15">
      <c r="A328" s="56"/>
      <c r="B328" s="56"/>
      <c r="K328" s="56"/>
      <c r="L328" s="79"/>
      <c r="O328" s="56"/>
    </row>
    <row r="329" spans="1:15" ht="13" x14ac:dyDescent="0.15">
      <c r="A329" s="56"/>
      <c r="B329" s="56"/>
      <c r="K329" s="56"/>
      <c r="L329" s="79"/>
      <c r="O329" s="56"/>
    </row>
    <row r="330" spans="1:15" ht="13" x14ac:dyDescent="0.15">
      <c r="A330" s="56"/>
      <c r="B330" s="56"/>
      <c r="K330" s="56"/>
      <c r="L330" s="79"/>
      <c r="O330" s="56"/>
    </row>
    <row r="331" spans="1:15" ht="13" x14ac:dyDescent="0.15">
      <c r="A331" s="56"/>
      <c r="B331" s="56"/>
      <c r="K331" s="56"/>
      <c r="L331" s="79"/>
      <c r="O331" s="56"/>
    </row>
    <row r="332" spans="1:15" ht="13" x14ac:dyDescent="0.15">
      <c r="A332" s="56"/>
      <c r="B332" s="56"/>
      <c r="K332" s="56"/>
      <c r="L332" s="79"/>
      <c r="O332" s="56"/>
    </row>
    <row r="333" spans="1:15" ht="13" x14ac:dyDescent="0.15">
      <c r="A333" s="56"/>
      <c r="B333" s="56"/>
      <c r="K333" s="56"/>
      <c r="L333" s="79"/>
      <c r="O333" s="56"/>
    </row>
    <row r="334" spans="1:15" ht="13" x14ac:dyDescent="0.15">
      <c r="A334" s="56"/>
      <c r="B334" s="56"/>
      <c r="K334" s="56"/>
      <c r="L334" s="79"/>
      <c r="O334" s="56"/>
    </row>
    <row r="335" spans="1:15" ht="13" x14ac:dyDescent="0.15">
      <c r="A335" s="56"/>
      <c r="B335" s="56"/>
      <c r="K335" s="56"/>
      <c r="L335" s="79"/>
      <c r="O335" s="56"/>
    </row>
    <row r="336" spans="1:15" ht="13" x14ac:dyDescent="0.15">
      <c r="A336" s="56"/>
      <c r="B336" s="56"/>
      <c r="K336" s="56"/>
      <c r="L336" s="79"/>
      <c r="O336" s="56"/>
    </row>
    <row r="337" spans="1:15" ht="13" x14ac:dyDescent="0.15">
      <c r="A337" s="56"/>
      <c r="B337" s="56"/>
      <c r="K337" s="56"/>
      <c r="L337" s="79"/>
      <c r="O337" s="56"/>
    </row>
    <row r="338" spans="1:15" ht="13" x14ac:dyDescent="0.15">
      <c r="A338" s="56"/>
      <c r="B338" s="56"/>
      <c r="K338" s="56"/>
      <c r="L338" s="79"/>
      <c r="O338" s="56"/>
    </row>
    <row r="339" spans="1:15" ht="13" x14ac:dyDescent="0.15">
      <c r="A339" s="56"/>
      <c r="B339" s="56"/>
      <c r="K339" s="56"/>
      <c r="L339" s="79"/>
      <c r="O339" s="56"/>
    </row>
    <row r="340" spans="1:15" ht="13" x14ac:dyDescent="0.15">
      <c r="A340" s="56"/>
      <c r="B340" s="56"/>
      <c r="K340" s="56"/>
      <c r="L340" s="79"/>
      <c r="O340" s="56"/>
    </row>
    <row r="341" spans="1:15" ht="13" x14ac:dyDescent="0.15">
      <c r="A341" s="56"/>
      <c r="B341" s="56"/>
      <c r="K341" s="56"/>
      <c r="L341" s="79"/>
      <c r="O341" s="56"/>
    </row>
    <row r="342" spans="1:15" ht="13" x14ac:dyDescent="0.15">
      <c r="A342" s="56"/>
      <c r="B342" s="56"/>
      <c r="K342" s="56"/>
      <c r="L342" s="79"/>
      <c r="O342" s="56"/>
    </row>
    <row r="343" spans="1:15" ht="13" x14ac:dyDescent="0.15">
      <c r="A343" s="56"/>
      <c r="B343" s="56"/>
      <c r="K343" s="56"/>
      <c r="L343" s="79"/>
      <c r="O343" s="56"/>
    </row>
    <row r="344" spans="1:15" ht="13" x14ac:dyDescent="0.15">
      <c r="A344" s="56"/>
      <c r="B344" s="56"/>
      <c r="K344" s="56"/>
      <c r="L344" s="79"/>
      <c r="O344" s="56"/>
    </row>
    <row r="345" spans="1:15" ht="13" x14ac:dyDescent="0.15">
      <c r="A345" s="56"/>
      <c r="B345" s="56"/>
      <c r="K345" s="56"/>
      <c r="L345" s="79"/>
      <c r="O345" s="56"/>
    </row>
    <row r="346" spans="1:15" ht="13" x14ac:dyDescent="0.15">
      <c r="A346" s="56"/>
      <c r="B346" s="56"/>
      <c r="K346" s="56"/>
      <c r="L346" s="79"/>
      <c r="O346" s="56"/>
    </row>
    <row r="347" spans="1:15" ht="13" x14ac:dyDescent="0.15">
      <c r="A347" s="56"/>
      <c r="B347" s="56"/>
      <c r="K347" s="56"/>
      <c r="L347" s="79"/>
      <c r="O347" s="56"/>
    </row>
    <row r="348" spans="1:15" ht="13" x14ac:dyDescent="0.15">
      <c r="A348" s="56"/>
      <c r="B348" s="56"/>
      <c r="K348" s="56"/>
      <c r="L348" s="79"/>
      <c r="O348" s="56"/>
    </row>
    <row r="349" spans="1:15" ht="13" x14ac:dyDescent="0.15">
      <c r="A349" s="56"/>
      <c r="B349" s="56"/>
      <c r="K349" s="56"/>
      <c r="L349" s="79"/>
      <c r="O349" s="56"/>
    </row>
    <row r="350" spans="1:15" ht="13" x14ac:dyDescent="0.15">
      <c r="A350" s="56"/>
      <c r="B350" s="56"/>
      <c r="K350" s="56"/>
      <c r="L350" s="79"/>
      <c r="O350" s="56"/>
    </row>
    <row r="351" spans="1:15" ht="13" x14ac:dyDescent="0.15">
      <c r="A351" s="56"/>
      <c r="B351" s="56"/>
      <c r="K351" s="56"/>
      <c r="L351" s="79"/>
      <c r="O351" s="56"/>
    </row>
    <row r="352" spans="1:15" ht="13" x14ac:dyDescent="0.15">
      <c r="A352" s="56"/>
      <c r="B352" s="56"/>
      <c r="K352" s="56"/>
      <c r="L352" s="79"/>
      <c r="O352" s="56"/>
    </row>
    <row r="353" spans="1:15" ht="13" x14ac:dyDescent="0.15">
      <c r="A353" s="56"/>
      <c r="B353" s="56"/>
      <c r="K353" s="56"/>
      <c r="L353" s="79"/>
      <c r="O353" s="56"/>
    </row>
    <row r="354" spans="1:15" ht="13" x14ac:dyDescent="0.15">
      <c r="A354" s="56"/>
      <c r="B354" s="56"/>
      <c r="K354" s="56"/>
      <c r="L354" s="79"/>
      <c r="O354" s="56"/>
    </row>
    <row r="355" spans="1:15" ht="13" x14ac:dyDescent="0.15">
      <c r="A355" s="56"/>
      <c r="B355" s="56"/>
      <c r="K355" s="56"/>
      <c r="L355" s="79"/>
      <c r="O355" s="56"/>
    </row>
    <row r="356" spans="1:15" ht="13" x14ac:dyDescent="0.15">
      <c r="A356" s="56"/>
      <c r="B356" s="56"/>
      <c r="K356" s="56"/>
      <c r="L356" s="79"/>
      <c r="O356" s="56"/>
    </row>
    <row r="357" spans="1:15" ht="13" x14ac:dyDescent="0.15">
      <c r="A357" s="56"/>
      <c r="B357" s="56"/>
      <c r="K357" s="56"/>
      <c r="L357" s="79"/>
      <c r="O357" s="56"/>
    </row>
    <row r="358" spans="1:15" ht="13" x14ac:dyDescent="0.15">
      <c r="A358" s="56"/>
      <c r="B358" s="56"/>
      <c r="K358" s="56"/>
      <c r="L358" s="79"/>
      <c r="O358" s="56"/>
    </row>
    <row r="359" spans="1:15" ht="13" x14ac:dyDescent="0.15">
      <c r="A359" s="56"/>
      <c r="B359" s="56"/>
      <c r="K359" s="56"/>
      <c r="L359" s="79"/>
      <c r="O359" s="56"/>
    </row>
    <row r="360" spans="1:15" ht="13" x14ac:dyDescent="0.15">
      <c r="A360" s="56"/>
      <c r="B360" s="56"/>
      <c r="K360" s="56"/>
      <c r="L360" s="79"/>
      <c r="O360" s="56"/>
    </row>
    <row r="361" spans="1:15" ht="13" x14ac:dyDescent="0.15">
      <c r="A361" s="56"/>
      <c r="B361" s="56"/>
      <c r="K361" s="56"/>
      <c r="L361" s="79"/>
      <c r="O361" s="56"/>
    </row>
    <row r="362" spans="1:15" ht="13" x14ac:dyDescent="0.15">
      <c r="A362" s="56"/>
      <c r="B362" s="56"/>
      <c r="K362" s="56"/>
      <c r="L362" s="79"/>
      <c r="O362" s="56"/>
    </row>
    <row r="363" spans="1:15" ht="13" x14ac:dyDescent="0.15">
      <c r="A363" s="56"/>
      <c r="B363" s="56"/>
      <c r="K363" s="56"/>
      <c r="L363" s="79"/>
      <c r="O363" s="56"/>
    </row>
    <row r="364" spans="1:15" ht="13" x14ac:dyDescent="0.15">
      <c r="A364" s="56"/>
      <c r="B364" s="56"/>
      <c r="K364" s="56"/>
      <c r="L364" s="79"/>
      <c r="O364" s="56"/>
    </row>
    <row r="365" spans="1:15" ht="13" x14ac:dyDescent="0.15">
      <c r="A365" s="56"/>
      <c r="B365" s="56"/>
      <c r="K365" s="56"/>
      <c r="L365" s="79"/>
      <c r="O365" s="56"/>
    </row>
    <row r="366" spans="1:15" ht="13" x14ac:dyDescent="0.15">
      <c r="A366" s="56"/>
      <c r="B366" s="56"/>
      <c r="K366" s="56"/>
      <c r="L366" s="79"/>
      <c r="O366" s="56"/>
    </row>
    <row r="367" spans="1:15" ht="13" x14ac:dyDescent="0.15">
      <c r="A367" s="56"/>
      <c r="B367" s="56"/>
      <c r="K367" s="56"/>
      <c r="L367" s="79"/>
      <c r="O367" s="56"/>
    </row>
    <row r="368" spans="1:15" ht="13" x14ac:dyDescent="0.15">
      <c r="A368" s="56"/>
      <c r="B368" s="56"/>
      <c r="K368" s="56"/>
      <c r="L368" s="79"/>
      <c r="O368" s="56"/>
    </row>
    <row r="369" spans="1:15" ht="13" x14ac:dyDescent="0.15">
      <c r="A369" s="56"/>
      <c r="B369" s="56"/>
      <c r="K369" s="56"/>
      <c r="L369" s="79"/>
      <c r="O369" s="56"/>
    </row>
    <row r="370" spans="1:15" ht="13" x14ac:dyDescent="0.15">
      <c r="A370" s="56"/>
      <c r="B370" s="56"/>
      <c r="K370" s="56"/>
      <c r="L370" s="79"/>
      <c r="O370" s="56"/>
    </row>
    <row r="371" spans="1:15" ht="13" x14ac:dyDescent="0.15">
      <c r="A371" s="56"/>
      <c r="B371" s="56"/>
      <c r="K371" s="56"/>
      <c r="L371" s="79"/>
      <c r="O371" s="56"/>
    </row>
    <row r="372" spans="1:15" ht="13" x14ac:dyDescent="0.15">
      <c r="A372" s="56"/>
      <c r="B372" s="56"/>
      <c r="K372" s="56"/>
      <c r="L372" s="79"/>
      <c r="O372" s="56"/>
    </row>
    <row r="373" spans="1:15" ht="13" x14ac:dyDescent="0.15">
      <c r="A373" s="56"/>
      <c r="B373" s="56"/>
      <c r="K373" s="56"/>
      <c r="L373" s="79"/>
      <c r="O373" s="56"/>
    </row>
    <row r="374" spans="1:15" ht="13" x14ac:dyDescent="0.15">
      <c r="A374" s="56"/>
      <c r="B374" s="56"/>
      <c r="K374" s="56"/>
      <c r="L374" s="79"/>
      <c r="O374" s="56"/>
    </row>
    <row r="375" spans="1:15" ht="13" x14ac:dyDescent="0.15">
      <c r="A375" s="56"/>
      <c r="B375" s="56"/>
      <c r="K375" s="56"/>
      <c r="L375" s="79"/>
      <c r="O375" s="56"/>
    </row>
    <row r="376" spans="1:15" ht="13" x14ac:dyDescent="0.15">
      <c r="A376" s="56"/>
      <c r="B376" s="56"/>
      <c r="K376" s="56"/>
      <c r="L376" s="79"/>
      <c r="O376" s="56"/>
    </row>
    <row r="377" spans="1:15" ht="13" x14ac:dyDescent="0.15">
      <c r="A377" s="56"/>
      <c r="B377" s="56"/>
      <c r="K377" s="56"/>
      <c r="L377" s="79"/>
      <c r="O377" s="56"/>
    </row>
    <row r="378" spans="1:15" ht="13" x14ac:dyDescent="0.15">
      <c r="A378" s="56"/>
      <c r="B378" s="56"/>
      <c r="K378" s="56"/>
      <c r="L378" s="79"/>
      <c r="O378" s="56"/>
    </row>
    <row r="379" spans="1:15" ht="13" x14ac:dyDescent="0.15">
      <c r="A379" s="56"/>
      <c r="B379" s="56"/>
      <c r="K379" s="56"/>
      <c r="L379" s="79"/>
      <c r="O379" s="56"/>
    </row>
    <row r="380" spans="1:15" ht="13" x14ac:dyDescent="0.15">
      <c r="A380" s="56"/>
      <c r="B380" s="56"/>
      <c r="K380" s="56"/>
      <c r="L380" s="79"/>
      <c r="O380" s="56"/>
    </row>
    <row r="381" spans="1:15" ht="13" x14ac:dyDescent="0.15">
      <c r="A381" s="56"/>
      <c r="B381" s="56"/>
      <c r="K381" s="56"/>
      <c r="L381" s="79"/>
      <c r="O381" s="56"/>
    </row>
    <row r="382" spans="1:15" ht="13" x14ac:dyDescent="0.15">
      <c r="A382" s="56"/>
      <c r="B382" s="56"/>
      <c r="K382" s="56"/>
      <c r="L382" s="79"/>
      <c r="O382" s="56"/>
    </row>
    <row r="383" spans="1:15" ht="13" x14ac:dyDescent="0.15">
      <c r="A383" s="56"/>
      <c r="B383" s="56"/>
      <c r="K383" s="56"/>
      <c r="L383" s="79"/>
      <c r="O383" s="56"/>
    </row>
    <row r="384" spans="1:15" ht="13" x14ac:dyDescent="0.15">
      <c r="A384" s="56"/>
      <c r="B384" s="56"/>
      <c r="K384" s="56"/>
      <c r="L384" s="79"/>
      <c r="O384" s="56"/>
    </row>
    <row r="385" spans="1:15" ht="13" x14ac:dyDescent="0.15">
      <c r="A385" s="56"/>
      <c r="B385" s="56"/>
      <c r="K385" s="56"/>
      <c r="L385" s="79"/>
      <c r="O385" s="56"/>
    </row>
    <row r="386" spans="1:15" ht="13" x14ac:dyDescent="0.15">
      <c r="A386" s="56"/>
      <c r="B386" s="56"/>
      <c r="K386" s="56"/>
      <c r="L386" s="79"/>
      <c r="O386" s="56"/>
    </row>
    <row r="387" spans="1:15" ht="13" x14ac:dyDescent="0.15">
      <c r="A387" s="56"/>
      <c r="B387" s="56"/>
      <c r="K387" s="56"/>
      <c r="L387" s="79"/>
      <c r="O387" s="56"/>
    </row>
    <row r="388" spans="1:15" ht="13" x14ac:dyDescent="0.15">
      <c r="A388" s="56"/>
      <c r="B388" s="56"/>
      <c r="K388" s="56"/>
      <c r="L388" s="79"/>
      <c r="O388" s="56"/>
    </row>
    <row r="389" spans="1:15" ht="13" x14ac:dyDescent="0.15">
      <c r="A389" s="56"/>
      <c r="B389" s="56"/>
      <c r="K389" s="56"/>
      <c r="L389" s="79"/>
      <c r="O389" s="56"/>
    </row>
    <row r="390" spans="1:15" ht="13" x14ac:dyDescent="0.15">
      <c r="A390" s="56"/>
      <c r="B390" s="56"/>
      <c r="K390" s="56"/>
      <c r="L390" s="79"/>
      <c r="O390" s="56"/>
    </row>
    <row r="391" spans="1:15" ht="13" x14ac:dyDescent="0.15">
      <c r="A391" s="56"/>
      <c r="B391" s="56"/>
      <c r="K391" s="56"/>
      <c r="L391" s="79"/>
      <c r="O391" s="56"/>
    </row>
    <row r="392" spans="1:15" ht="13" x14ac:dyDescent="0.15">
      <c r="A392" s="56"/>
      <c r="B392" s="56"/>
      <c r="K392" s="56"/>
      <c r="L392" s="79"/>
      <c r="O392" s="56"/>
    </row>
    <row r="393" spans="1:15" ht="13" x14ac:dyDescent="0.15">
      <c r="A393" s="56"/>
      <c r="B393" s="56"/>
      <c r="K393" s="56"/>
      <c r="L393" s="79"/>
      <c r="O393" s="56"/>
    </row>
    <row r="394" spans="1:15" ht="13" x14ac:dyDescent="0.15">
      <c r="A394" s="56"/>
      <c r="B394" s="56"/>
      <c r="K394" s="56"/>
      <c r="L394" s="79"/>
      <c r="O394" s="56"/>
    </row>
    <row r="395" spans="1:15" ht="13" x14ac:dyDescent="0.15">
      <c r="A395" s="56"/>
      <c r="B395" s="56"/>
      <c r="K395" s="56"/>
      <c r="L395" s="79"/>
      <c r="O395" s="56"/>
    </row>
    <row r="396" spans="1:15" ht="13" x14ac:dyDescent="0.15">
      <c r="A396" s="56"/>
      <c r="B396" s="56"/>
      <c r="K396" s="56"/>
      <c r="L396" s="79"/>
      <c r="O396" s="56"/>
    </row>
    <row r="397" spans="1:15" ht="13" x14ac:dyDescent="0.15">
      <c r="A397" s="56"/>
      <c r="B397" s="56"/>
      <c r="K397" s="56"/>
      <c r="L397" s="79"/>
      <c r="O397" s="56"/>
    </row>
    <row r="398" spans="1:15" ht="13" x14ac:dyDescent="0.15">
      <c r="A398" s="56"/>
      <c r="B398" s="56"/>
      <c r="K398" s="56"/>
      <c r="L398" s="79"/>
      <c r="O398" s="56"/>
    </row>
    <row r="399" spans="1:15" ht="13" x14ac:dyDescent="0.15">
      <c r="A399" s="56"/>
      <c r="B399" s="56"/>
      <c r="K399" s="56"/>
      <c r="L399" s="79"/>
      <c r="O399" s="56"/>
    </row>
    <row r="400" spans="1:15" ht="13" x14ac:dyDescent="0.15">
      <c r="A400" s="56"/>
      <c r="B400" s="56"/>
      <c r="K400" s="56"/>
      <c r="L400" s="79"/>
      <c r="O400" s="56"/>
    </row>
    <row r="401" spans="1:15" ht="13" x14ac:dyDescent="0.15">
      <c r="A401" s="56"/>
      <c r="B401" s="56"/>
      <c r="K401" s="56"/>
      <c r="L401" s="79"/>
      <c r="O401" s="56"/>
    </row>
    <row r="402" spans="1:15" ht="13" x14ac:dyDescent="0.15">
      <c r="A402" s="56"/>
      <c r="B402" s="56"/>
      <c r="K402" s="56"/>
      <c r="L402" s="79"/>
      <c r="O402" s="56"/>
    </row>
    <row r="403" spans="1:15" ht="13" x14ac:dyDescent="0.15">
      <c r="A403" s="56"/>
      <c r="B403" s="56"/>
      <c r="K403" s="56"/>
      <c r="L403" s="79"/>
      <c r="O403" s="56"/>
    </row>
    <row r="404" spans="1:15" ht="13" x14ac:dyDescent="0.15">
      <c r="A404" s="56"/>
      <c r="B404" s="56"/>
      <c r="K404" s="56"/>
      <c r="L404" s="79"/>
      <c r="O404" s="56"/>
    </row>
    <row r="405" spans="1:15" ht="13" x14ac:dyDescent="0.15">
      <c r="A405" s="56"/>
      <c r="B405" s="56"/>
      <c r="K405" s="56"/>
      <c r="L405" s="79"/>
      <c r="O405" s="56"/>
    </row>
    <row r="406" spans="1:15" ht="13" x14ac:dyDescent="0.15">
      <c r="A406" s="56"/>
      <c r="B406" s="56"/>
      <c r="K406" s="56"/>
      <c r="L406" s="79"/>
      <c r="O406" s="56"/>
    </row>
    <row r="407" spans="1:15" ht="13" x14ac:dyDescent="0.15">
      <c r="A407" s="56"/>
      <c r="B407" s="56"/>
      <c r="K407" s="56"/>
      <c r="L407" s="79"/>
      <c r="O407" s="56"/>
    </row>
    <row r="408" spans="1:15" ht="13" x14ac:dyDescent="0.15">
      <c r="A408" s="56"/>
      <c r="B408" s="56"/>
      <c r="K408" s="56"/>
      <c r="L408" s="79"/>
      <c r="O408" s="56"/>
    </row>
    <row r="409" spans="1:15" ht="13" x14ac:dyDescent="0.15">
      <c r="A409" s="56"/>
      <c r="B409" s="56"/>
      <c r="K409" s="56"/>
      <c r="L409" s="79"/>
      <c r="O409" s="56"/>
    </row>
    <row r="410" spans="1:15" ht="13" x14ac:dyDescent="0.15">
      <c r="A410" s="56"/>
      <c r="B410" s="56"/>
      <c r="K410" s="56"/>
      <c r="L410" s="79"/>
      <c r="O410" s="56"/>
    </row>
    <row r="411" spans="1:15" ht="13" x14ac:dyDescent="0.15">
      <c r="A411" s="56"/>
      <c r="B411" s="56"/>
      <c r="K411" s="56"/>
      <c r="L411" s="79"/>
      <c r="O411" s="56"/>
    </row>
    <row r="412" spans="1:15" ht="13" x14ac:dyDescent="0.15">
      <c r="A412" s="56"/>
      <c r="B412" s="56"/>
      <c r="K412" s="56"/>
      <c r="L412" s="79"/>
      <c r="O412" s="56"/>
    </row>
    <row r="413" spans="1:15" ht="13" x14ac:dyDescent="0.15">
      <c r="A413" s="56"/>
      <c r="B413" s="56"/>
      <c r="K413" s="56"/>
      <c r="L413" s="79"/>
      <c r="O413" s="56"/>
    </row>
    <row r="414" spans="1:15" ht="13" x14ac:dyDescent="0.15">
      <c r="A414" s="56"/>
      <c r="B414" s="56"/>
      <c r="K414" s="56"/>
      <c r="L414" s="79"/>
      <c r="O414" s="56"/>
    </row>
    <row r="415" spans="1:15" ht="13" x14ac:dyDescent="0.15">
      <c r="A415" s="56"/>
      <c r="B415" s="56"/>
      <c r="K415" s="56"/>
      <c r="L415" s="79"/>
      <c r="O415" s="56"/>
    </row>
    <row r="416" spans="1:15" ht="13" x14ac:dyDescent="0.15">
      <c r="A416" s="56"/>
      <c r="B416" s="56"/>
      <c r="K416" s="56"/>
      <c r="L416" s="79"/>
      <c r="O416" s="56"/>
    </row>
    <row r="417" spans="1:15" ht="13" x14ac:dyDescent="0.15">
      <c r="A417" s="56"/>
      <c r="B417" s="56"/>
      <c r="K417" s="56"/>
      <c r="L417" s="79"/>
      <c r="O417" s="56"/>
    </row>
    <row r="418" spans="1:15" ht="13" x14ac:dyDescent="0.15">
      <c r="A418" s="56"/>
      <c r="B418" s="56"/>
      <c r="K418" s="56"/>
      <c r="L418" s="79"/>
      <c r="O418" s="56"/>
    </row>
    <row r="419" spans="1:15" ht="13" x14ac:dyDescent="0.15">
      <c r="A419" s="56"/>
      <c r="B419" s="56"/>
      <c r="K419" s="56"/>
      <c r="L419" s="79"/>
      <c r="O419" s="56"/>
    </row>
    <row r="420" spans="1:15" ht="13" x14ac:dyDescent="0.15">
      <c r="A420" s="56"/>
      <c r="B420" s="56"/>
      <c r="K420" s="56"/>
      <c r="L420" s="79"/>
      <c r="O420" s="56"/>
    </row>
    <row r="421" spans="1:15" ht="13" x14ac:dyDescent="0.15">
      <c r="A421" s="56"/>
      <c r="B421" s="56"/>
      <c r="K421" s="56"/>
      <c r="L421" s="79"/>
      <c r="O421" s="56"/>
    </row>
    <row r="422" spans="1:15" ht="13" x14ac:dyDescent="0.15">
      <c r="A422" s="56"/>
      <c r="B422" s="56"/>
      <c r="K422" s="56"/>
      <c r="L422" s="79"/>
      <c r="O422" s="56"/>
    </row>
    <row r="423" spans="1:15" ht="13" x14ac:dyDescent="0.15">
      <c r="A423" s="56"/>
      <c r="B423" s="56"/>
      <c r="K423" s="56"/>
      <c r="L423" s="79"/>
      <c r="O423" s="56"/>
    </row>
    <row r="424" spans="1:15" ht="13" x14ac:dyDescent="0.15">
      <c r="A424" s="56"/>
      <c r="B424" s="56"/>
      <c r="K424" s="56"/>
      <c r="L424" s="79"/>
      <c r="O424" s="56"/>
    </row>
    <row r="425" spans="1:15" ht="13" x14ac:dyDescent="0.15">
      <c r="A425" s="56"/>
      <c r="B425" s="56"/>
      <c r="K425" s="56"/>
      <c r="L425" s="79"/>
      <c r="O425" s="56"/>
    </row>
    <row r="426" spans="1:15" ht="13" x14ac:dyDescent="0.15">
      <c r="A426" s="56"/>
      <c r="B426" s="56"/>
      <c r="K426" s="56"/>
      <c r="L426" s="79"/>
      <c r="O426" s="56"/>
    </row>
    <row r="427" spans="1:15" ht="13" x14ac:dyDescent="0.15">
      <c r="A427" s="56"/>
      <c r="B427" s="56"/>
      <c r="K427" s="56"/>
      <c r="L427" s="79"/>
      <c r="O427" s="56"/>
    </row>
    <row r="428" spans="1:15" ht="13" x14ac:dyDescent="0.15">
      <c r="A428" s="56"/>
      <c r="B428" s="56"/>
      <c r="K428" s="56"/>
      <c r="L428" s="79"/>
      <c r="O428" s="56"/>
    </row>
    <row r="429" spans="1:15" ht="13" x14ac:dyDescent="0.15">
      <c r="A429" s="56"/>
      <c r="B429" s="56"/>
      <c r="K429" s="56"/>
      <c r="L429" s="79"/>
      <c r="O429" s="56"/>
    </row>
    <row r="430" spans="1:15" ht="13" x14ac:dyDescent="0.15">
      <c r="A430" s="56"/>
      <c r="B430" s="56"/>
      <c r="K430" s="56"/>
      <c r="L430" s="79"/>
      <c r="O430" s="56"/>
    </row>
    <row r="431" spans="1:15" ht="13" x14ac:dyDescent="0.15">
      <c r="A431" s="56"/>
      <c r="B431" s="56"/>
      <c r="K431" s="56"/>
      <c r="L431" s="79"/>
      <c r="O431" s="56"/>
    </row>
    <row r="432" spans="1:15" ht="13" x14ac:dyDescent="0.15">
      <c r="A432" s="56"/>
      <c r="B432" s="56"/>
      <c r="K432" s="56"/>
      <c r="L432" s="79"/>
      <c r="O432" s="56"/>
    </row>
    <row r="433" spans="1:15" ht="13" x14ac:dyDescent="0.15">
      <c r="A433" s="56"/>
      <c r="B433" s="56"/>
      <c r="K433" s="56"/>
      <c r="L433" s="79"/>
      <c r="O433" s="56"/>
    </row>
    <row r="434" spans="1:15" ht="13" x14ac:dyDescent="0.15">
      <c r="A434" s="56"/>
      <c r="B434" s="56"/>
      <c r="K434" s="56"/>
      <c r="L434" s="79"/>
      <c r="O434" s="56"/>
    </row>
    <row r="435" spans="1:15" ht="13" x14ac:dyDescent="0.15">
      <c r="A435" s="56"/>
      <c r="B435" s="56"/>
      <c r="K435" s="56"/>
      <c r="L435" s="79"/>
      <c r="O435" s="56"/>
    </row>
    <row r="436" spans="1:15" ht="13" x14ac:dyDescent="0.15">
      <c r="A436" s="56"/>
      <c r="B436" s="56"/>
      <c r="K436" s="56"/>
      <c r="L436" s="79"/>
      <c r="O436" s="56"/>
    </row>
    <row r="437" spans="1:15" ht="13" x14ac:dyDescent="0.15">
      <c r="A437" s="56"/>
      <c r="B437" s="56"/>
      <c r="K437" s="56"/>
      <c r="L437" s="79"/>
      <c r="O437" s="56"/>
    </row>
    <row r="438" spans="1:15" ht="13" x14ac:dyDescent="0.15">
      <c r="A438" s="56"/>
      <c r="B438" s="56"/>
      <c r="K438" s="56"/>
      <c r="L438" s="79"/>
      <c r="O438" s="56"/>
    </row>
    <row r="439" spans="1:15" ht="13" x14ac:dyDescent="0.15">
      <c r="A439" s="56"/>
      <c r="B439" s="56"/>
      <c r="K439" s="56"/>
      <c r="L439" s="79"/>
      <c r="O439" s="56"/>
    </row>
    <row r="440" spans="1:15" ht="13" x14ac:dyDescent="0.15">
      <c r="A440" s="56"/>
      <c r="B440" s="56"/>
      <c r="K440" s="56"/>
      <c r="L440" s="79"/>
      <c r="O440" s="56"/>
    </row>
    <row r="441" spans="1:15" ht="13" x14ac:dyDescent="0.15">
      <c r="A441" s="56"/>
      <c r="B441" s="56"/>
      <c r="K441" s="56"/>
      <c r="L441" s="79"/>
      <c r="O441" s="56"/>
    </row>
    <row r="442" spans="1:15" ht="13" x14ac:dyDescent="0.15">
      <c r="A442" s="56"/>
      <c r="B442" s="56"/>
      <c r="K442" s="56"/>
      <c r="L442" s="79"/>
      <c r="O442" s="56"/>
    </row>
    <row r="443" spans="1:15" ht="13" x14ac:dyDescent="0.15">
      <c r="A443" s="56"/>
      <c r="B443" s="56"/>
      <c r="K443" s="56"/>
      <c r="L443" s="79"/>
      <c r="O443" s="56"/>
    </row>
    <row r="444" spans="1:15" ht="13" x14ac:dyDescent="0.15">
      <c r="A444" s="56"/>
      <c r="B444" s="56"/>
      <c r="K444" s="56"/>
      <c r="L444" s="79"/>
      <c r="O444" s="56"/>
    </row>
    <row r="445" spans="1:15" ht="13" x14ac:dyDescent="0.15">
      <c r="A445" s="56"/>
      <c r="B445" s="56"/>
      <c r="K445" s="56"/>
      <c r="L445" s="79"/>
      <c r="O445" s="56"/>
    </row>
    <row r="446" spans="1:15" ht="13" x14ac:dyDescent="0.15">
      <c r="A446" s="56"/>
      <c r="B446" s="56"/>
      <c r="K446" s="56"/>
      <c r="L446" s="79"/>
      <c r="O446" s="56"/>
    </row>
    <row r="447" spans="1:15" ht="13" x14ac:dyDescent="0.15">
      <c r="A447" s="56"/>
      <c r="B447" s="56"/>
      <c r="K447" s="56"/>
      <c r="L447" s="79"/>
      <c r="O447" s="56"/>
    </row>
    <row r="448" spans="1:15" ht="13" x14ac:dyDescent="0.15">
      <c r="A448" s="56"/>
      <c r="B448" s="56"/>
      <c r="K448" s="56"/>
      <c r="L448" s="79"/>
      <c r="O448" s="56"/>
    </row>
    <row r="449" spans="1:15" ht="13" x14ac:dyDescent="0.15">
      <c r="A449" s="56"/>
      <c r="B449" s="56"/>
      <c r="K449" s="56"/>
      <c r="L449" s="79"/>
      <c r="O449" s="56"/>
    </row>
    <row r="450" spans="1:15" ht="13" x14ac:dyDescent="0.15">
      <c r="A450" s="56"/>
      <c r="B450" s="56"/>
      <c r="K450" s="56"/>
      <c r="L450" s="79"/>
      <c r="O450" s="56"/>
    </row>
    <row r="451" spans="1:15" ht="13" x14ac:dyDescent="0.15">
      <c r="A451" s="56"/>
      <c r="B451" s="56"/>
      <c r="K451" s="56"/>
      <c r="L451" s="79"/>
      <c r="O451" s="56"/>
    </row>
    <row r="452" spans="1:15" ht="13" x14ac:dyDescent="0.15">
      <c r="A452" s="56"/>
      <c r="B452" s="56"/>
      <c r="K452" s="56"/>
      <c r="L452" s="79"/>
      <c r="O452" s="56"/>
    </row>
    <row r="453" spans="1:15" ht="13" x14ac:dyDescent="0.15">
      <c r="A453" s="56"/>
      <c r="B453" s="56"/>
      <c r="K453" s="56"/>
      <c r="L453" s="79"/>
      <c r="O453" s="56"/>
    </row>
    <row r="454" spans="1:15" ht="13" x14ac:dyDescent="0.15">
      <c r="A454" s="56"/>
      <c r="B454" s="56"/>
      <c r="K454" s="56"/>
      <c r="L454" s="79"/>
      <c r="O454" s="56"/>
    </row>
    <row r="455" spans="1:15" ht="13" x14ac:dyDescent="0.15">
      <c r="A455" s="56"/>
      <c r="B455" s="56"/>
      <c r="K455" s="56"/>
      <c r="L455" s="79"/>
      <c r="O455" s="56"/>
    </row>
    <row r="456" spans="1:15" ht="13" x14ac:dyDescent="0.15">
      <c r="A456" s="56"/>
      <c r="B456" s="56"/>
      <c r="K456" s="56"/>
      <c r="L456" s="79"/>
      <c r="O456" s="56"/>
    </row>
    <row r="457" spans="1:15" ht="13" x14ac:dyDescent="0.15">
      <c r="A457" s="56"/>
      <c r="B457" s="56"/>
      <c r="K457" s="56"/>
      <c r="L457" s="79"/>
      <c r="O457" s="56"/>
    </row>
    <row r="458" spans="1:15" ht="13" x14ac:dyDescent="0.15">
      <c r="A458" s="56"/>
      <c r="B458" s="56"/>
      <c r="K458" s="56"/>
      <c r="L458" s="79"/>
      <c r="O458" s="56"/>
    </row>
    <row r="459" spans="1:15" ht="13" x14ac:dyDescent="0.15">
      <c r="A459" s="56"/>
      <c r="B459" s="56"/>
      <c r="K459" s="56"/>
      <c r="L459" s="79"/>
      <c r="O459" s="56"/>
    </row>
    <row r="460" spans="1:15" ht="13" x14ac:dyDescent="0.15">
      <c r="A460" s="56"/>
      <c r="B460" s="56"/>
      <c r="K460" s="56"/>
      <c r="L460" s="79"/>
      <c r="O460" s="56"/>
    </row>
    <row r="461" spans="1:15" ht="13" x14ac:dyDescent="0.15">
      <c r="A461" s="56"/>
      <c r="B461" s="56"/>
      <c r="K461" s="56"/>
      <c r="L461" s="79"/>
      <c r="O461" s="56"/>
    </row>
    <row r="462" spans="1:15" ht="13" x14ac:dyDescent="0.15">
      <c r="A462" s="56"/>
      <c r="B462" s="56"/>
      <c r="K462" s="56"/>
      <c r="L462" s="79"/>
      <c r="O462" s="56"/>
    </row>
    <row r="463" spans="1:15" ht="13" x14ac:dyDescent="0.15">
      <c r="A463" s="56"/>
      <c r="B463" s="56"/>
      <c r="K463" s="56"/>
      <c r="L463" s="79"/>
      <c r="O463" s="56"/>
    </row>
    <row r="464" spans="1:15" ht="13" x14ac:dyDescent="0.15">
      <c r="A464" s="56"/>
      <c r="B464" s="56"/>
      <c r="K464" s="56"/>
      <c r="L464" s="79"/>
      <c r="O464" s="56"/>
    </row>
    <row r="465" spans="1:15" ht="13" x14ac:dyDescent="0.15">
      <c r="A465" s="56"/>
      <c r="B465" s="56"/>
      <c r="K465" s="56"/>
      <c r="L465" s="79"/>
      <c r="O465" s="56"/>
    </row>
    <row r="466" spans="1:15" ht="13" x14ac:dyDescent="0.15">
      <c r="A466" s="56"/>
      <c r="B466" s="56"/>
      <c r="K466" s="56"/>
      <c r="L466" s="79"/>
      <c r="O466" s="56"/>
    </row>
    <row r="467" spans="1:15" ht="13" x14ac:dyDescent="0.15">
      <c r="A467" s="56"/>
      <c r="B467" s="56"/>
      <c r="K467" s="56"/>
      <c r="L467" s="79"/>
      <c r="O467" s="56"/>
    </row>
    <row r="468" spans="1:15" ht="13" x14ac:dyDescent="0.15">
      <c r="A468" s="56"/>
      <c r="B468" s="56"/>
      <c r="K468" s="56"/>
      <c r="L468" s="79"/>
      <c r="O468" s="56"/>
    </row>
    <row r="469" spans="1:15" ht="13" x14ac:dyDescent="0.15">
      <c r="A469" s="56"/>
      <c r="B469" s="56"/>
      <c r="K469" s="56"/>
      <c r="L469" s="79"/>
      <c r="O469" s="56"/>
    </row>
    <row r="470" spans="1:15" ht="13" x14ac:dyDescent="0.15">
      <c r="A470" s="56"/>
      <c r="B470" s="56"/>
      <c r="K470" s="56"/>
      <c r="L470" s="79"/>
      <c r="O470" s="56"/>
    </row>
    <row r="471" spans="1:15" ht="13" x14ac:dyDescent="0.15">
      <c r="A471" s="56"/>
      <c r="B471" s="56"/>
      <c r="K471" s="56"/>
      <c r="L471" s="79"/>
      <c r="O471" s="56"/>
    </row>
    <row r="472" spans="1:15" ht="13" x14ac:dyDescent="0.15">
      <c r="A472" s="56"/>
      <c r="B472" s="56"/>
      <c r="K472" s="56"/>
      <c r="L472" s="79"/>
      <c r="O472" s="56"/>
    </row>
    <row r="473" spans="1:15" ht="13" x14ac:dyDescent="0.15">
      <c r="A473" s="56"/>
      <c r="B473" s="56"/>
      <c r="K473" s="56"/>
      <c r="L473" s="79"/>
      <c r="O473" s="56"/>
    </row>
    <row r="474" spans="1:15" ht="13" x14ac:dyDescent="0.15">
      <c r="A474" s="56"/>
      <c r="B474" s="56"/>
      <c r="K474" s="56"/>
      <c r="L474" s="79"/>
      <c r="O474" s="56"/>
    </row>
    <row r="475" spans="1:15" ht="13" x14ac:dyDescent="0.15">
      <c r="A475" s="56"/>
      <c r="B475" s="56"/>
      <c r="K475" s="56"/>
      <c r="L475" s="79"/>
      <c r="O475" s="56"/>
    </row>
    <row r="476" spans="1:15" ht="13" x14ac:dyDescent="0.15">
      <c r="A476" s="56"/>
      <c r="B476" s="56"/>
      <c r="K476" s="56"/>
      <c r="L476" s="79"/>
      <c r="O476" s="56"/>
    </row>
    <row r="477" spans="1:15" ht="13" x14ac:dyDescent="0.15">
      <c r="A477" s="56"/>
      <c r="B477" s="56"/>
      <c r="K477" s="56"/>
      <c r="L477" s="79"/>
      <c r="O477" s="56"/>
    </row>
    <row r="478" spans="1:15" ht="13" x14ac:dyDescent="0.15">
      <c r="A478" s="56"/>
      <c r="B478" s="56"/>
      <c r="K478" s="56"/>
      <c r="L478" s="79"/>
      <c r="O478" s="56"/>
    </row>
    <row r="479" spans="1:15" ht="13" x14ac:dyDescent="0.15">
      <c r="A479" s="56"/>
      <c r="B479" s="56"/>
      <c r="K479" s="56"/>
      <c r="L479" s="79"/>
      <c r="O479" s="56"/>
    </row>
    <row r="480" spans="1:15" ht="13" x14ac:dyDescent="0.15">
      <c r="A480" s="56"/>
      <c r="B480" s="56"/>
      <c r="K480" s="56"/>
      <c r="L480" s="79"/>
      <c r="O480" s="56"/>
    </row>
    <row r="481" spans="1:15" ht="13" x14ac:dyDescent="0.15">
      <c r="A481" s="56"/>
      <c r="B481" s="56"/>
      <c r="K481" s="56"/>
      <c r="L481" s="79"/>
      <c r="O481" s="56"/>
    </row>
    <row r="482" spans="1:15" ht="13" x14ac:dyDescent="0.15">
      <c r="A482" s="56"/>
      <c r="B482" s="56"/>
      <c r="K482" s="56"/>
      <c r="L482" s="79"/>
      <c r="O482" s="56"/>
    </row>
    <row r="483" spans="1:15" ht="13" x14ac:dyDescent="0.15">
      <c r="A483" s="56"/>
      <c r="B483" s="56"/>
      <c r="K483" s="56"/>
      <c r="L483" s="79"/>
      <c r="O483" s="56"/>
    </row>
    <row r="484" spans="1:15" ht="13" x14ac:dyDescent="0.15">
      <c r="A484" s="56"/>
      <c r="B484" s="56"/>
      <c r="K484" s="56"/>
      <c r="L484" s="79"/>
      <c r="O484" s="56"/>
    </row>
    <row r="485" spans="1:15" ht="13" x14ac:dyDescent="0.15">
      <c r="A485" s="56"/>
      <c r="B485" s="56"/>
      <c r="K485" s="56"/>
      <c r="L485" s="79"/>
      <c r="O485" s="56"/>
    </row>
    <row r="486" spans="1:15" ht="13" x14ac:dyDescent="0.15">
      <c r="A486" s="56"/>
      <c r="B486" s="56"/>
      <c r="K486" s="56"/>
      <c r="L486" s="79"/>
      <c r="O486" s="56"/>
    </row>
    <row r="487" spans="1:15" ht="13" x14ac:dyDescent="0.15">
      <c r="A487" s="56"/>
      <c r="B487" s="56"/>
      <c r="K487" s="56"/>
      <c r="L487" s="79"/>
      <c r="O487" s="56"/>
    </row>
    <row r="488" spans="1:15" ht="13" x14ac:dyDescent="0.15">
      <c r="A488" s="56"/>
      <c r="B488" s="56"/>
      <c r="K488" s="56"/>
      <c r="L488" s="79"/>
      <c r="O488" s="56"/>
    </row>
    <row r="489" spans="1:15" ht="13" x14ac:dyDescent="0.15">
      <c r="A489" s="56"/>
      <c r="B489" s="56"/>
      <c r="K489" s="56"/>
      <c r="L489" s="79"/>
      <c r="O489" s="56"/>
    </row>
    <row r="490" spans="1:15" ht="13" x14ac:dyDescent="0.15">
      <c r="A490" s="56"/>
      <c r="B490" s="56"/>
      <c r="K490" s="56"/>
      <c r="L490" s="79"/>
      <c r="O490" s="56"/>
    </row>
    <row r="491" spans="1:15" ht="13" x14ac:dyDescent="0.15">
      <c r="A491" s="56"/>
      <c r="B491" s="56"/>
      <c r="K491" s="56"/>
      <c r="L491" s="79"/>
      <c r="O491" s="56"/>
    </row>
    <row r="492" spans="1:15" ht="13" x14ac:dyDescent="0.15">
      <c r="A492" s="56"/>
      <c r="B492" s="56"/>
      <c r="K492" s="56"/>
      <c r="L492" s="79"/>
      <c r="O492" s="56"/>
    </row>
    <row r="493" spans="1:15" ht="13" x14ac:dyDescent="0.15">
      <c r="A493" s="56"/>
      <c r="B493" s="56"/>
      <c r="K493" s="56"/>
      <c r="L493" s="79"/>
      <c r="O493" s="56"/>
    </row>
    <row r="494" spans="1:15" ht="13" x14ac:dyDescent="0.15">
      <c r="A494" s="56"/>
      <c r="B494" s="56"/>
      <c r="K494" s="56"/>
      <c r="L494" s="79"/>
      <c r="O494" s="56"/>
    </row>
    <row r="495" spans="1:15" ht="13" x14ac:dyDescent="0.15">
      <c r="A495" s="56"/>
      <c r="B495" s="56"/>
      <c r="K495" s="56"/>
      <c r="L495" s="79"/>
      <c r="O495" s="56"/>
    </row>
    <row r="496" spans="1:15" ht="13" x14ac:dyDescent="0.15">
      <c r="A496" s="56"/>
      <c r="B496" s="56"/>
      <c r="K496" s="56"/>
      <c r="L496" s="79"/>
      <c r="O496" s="56"/>
    </row>
    <row r="497" spans="1:15" ht="13" x14ac:dyDescent="0.15">
      <c r="A497" s="56"/>
      <c r="B497" s="56"/>
      <c r="K497" s="56"/>
      <c r="L497" s="79"/>
      <c r="O497" s="56"/>
    </row>
    <row r="498" spans="1:15" ht="13" x14ac:dyDescent="0.15">
      <c r="A498" s="56"/>
      <c r="B498" s="56"/>
      <c r="K498" s="56"/>
      <c r="L498" s="79"/>
      <c r="O498" s="56"/>
    </row>
    <row r="499" spans="1:15" ht="13" x14ac:dyDescent="0.15">
      <c r="A499" s="56"/>
      <c r="B499" s="56"/>
      <c r="K499" s="56"/>
      <c r="L499" s="79"/>
      <c r="O499" s="56"/>
    </row>
    <row r="500" spans="1:15" ht="13" x14ac:dyDescent="0.15">
      <c r="A500" s="56"/>
      <c r="B500" s="56"/>
      <c r="K500" s="56"/>
      <c r="L500" s="79"/>
      <c r="O500" s="56"/>
    </row>
    <row r="501" spans="1:15" ht="13" x14ac:dyDescent="0.15">
      <c r="A501" s="56"/>
      <c r="B501" s="56"/>
      <c r="K501" s="56"/>
      <c r="L501" s="79"/>
      <c r="O501" s="56"/>
    </row>
    <row r="502" spans="1:15" ht="13" x14ac:dyDescent="0.15">
      <c r="A502" s="56"/>
      <c r="B502" s="56"/>
      <c r="K502" s="56"/>
      <c r="L502" s="79"/>
      <c r="O502" s="56"/>
    </row>
    <row r="503" spans="1:15" ht="13" x14ac:dyDescent="0.15">
      <c r="A503" s="56"/>
      <c r="B503" s="56"/>
      <c r="K503" s="56"/>
      <c r="L503" s="79"/>
      <c r="O503" s="56"/>
    </row>
    <row r="504" spans="1:15" ht="13" x14ac:dyDescent="0.15">
      <c r="A504" s="56"/>
      <c r="B504" s="56"/>
      <c r="K504" s="56"/>
      <c r="L504" s="79"/>
      <c r="O504" s="56"/>
    </row>
    <row r="505" spans="1:15" ht="13" x14ac:dyDescent="0.15">
      <c r="A505" s="56"/>
      <c r="B505" s="56"/>
      <c r="K505" s="56"/>
      <c r="L505" s="79"/>
      <c r="O505" s="56"/>
    </row>
    <row r="506" spans="1:15" ht="13" x14ac:dyDescent="0.15">
      <c r="A506" s="56"/>
      <c r="B506" s="56"/>
      <c r="K506" s="56"/>
      <c r="L506" s="79"/>
      <c r="O506" s="56"/>
    </row>
    <row r="507" spans="1:15" ht="13" x14ac:dyDescent="0.15">
      <c r="A507" s="56"/>
      <c r="B507" s="56"/>
      <c r="K507" s="56"/>
      <c r="L507" s="79"/>
      <c r="O507" s="56"/>
    </row>
    <row r="508" spans="1:15" ht="13" x14ac:dyDescent="0.15">
      <c r="A508" s="56"/>
      <c r="B508" s="56"/>
      <c r="K508" s="56"/>
      <c r="L508" s="79"/>
      <c r="O508" s="56"/>
    </row>
    <row r="509" spans="1:15" ht="13" x14ac:dyDescent="0.15">
      <c r="A509" s="56"/>
      <c r="B509" s="56"/>
      <c r="K509" s="56"/>
      <c r="L509" s="79"/>
      <c r="O509" s="56"/>
    </row>
    <row r="510" spans="1:15" ht="13" x14ac:dyDescent="0.15">
      <c r="A510" s="56"/>
      <c r="B510" s="56"/>
      <c r="K510" s="56"/>
      <c r="L510" s="79"/>
      <c r="O510" s="56"/>
    </row>
    <row r="511" spans="1:15" ht="13" x14ac:dyDescent="0.15">
      <c r="A511" s="56"/>
      <c r="B511" s="56"/>
      <c r="K511" s="56"/>
      <c r="L511" s="79"/>
      <c r="O511" s="56"/>
    </row>
    <row r="512" spans="1:15" ht="13" x14ac:dyDescent="0.15">
      <c r="A512" s="56"/>
      <c r="B512" s="56"/>
      <c r="K512" s="56"/>
      <c r="L512" s="79"/>
      <c r="O512" s="56"/>
    </row>
    <row r="513" spans="1:15" ht="13" x14ac:dyDescent="0.15">
      <c r="A513" s="56"/>
      <c r="B513" s="56"/>
      <c r="K513" s="56"/>
      <c r="L513" s="79"/>
      <c r="O513" s="56"/>
    </row>
    <row r="514" spans="1:15" ht="13" x14ac:dyDescent="0.15">
      <c r="A514" s="56"/>
      <c r="B514" s="56"/>
      <c r="K514" s="56"/>
      <c r="L514" s="79"/>
      <c r="O514" s="56"/>
    </row>
    <row r="515" spans="1:15" ht="13" x14ac:dyDescent="0.15">
      <c r="A515" s="56"/>
      <c r="B515" s="56"/>
      <c r="K515" s="56"/>
      <c r="L515" s="79"/>
      <c r="O515" s="56"/>
    </row>
    <row r="516" spans="1:15" ht="13" x14ac:dyDescent="0.15">
      <c r="A516" s="56"/>
      <c r="B516" s="56"/>
      <c r="K516" s="56"/>
      <c r="L516" s="79"/>
      <c r="O516" s="56"/>
    </row>
    <row r="517" spans="1:15" ht="13" x14ac:dyDescent="0.15">
      <c r="A517" s="56"/>
      <c r="B517" s="56"/>
      <c r="K517" s="56"/>
      <c r="L517" s="79"/>
      <c r="O517" s="56"/>
    </row>
    <row r="518" spans="1:15" ht="13" x14ac:dyDescent="0.15">
      <c r="A518" s="56"/>
      <c r="B518" s="56"/>
      <c r="K518" s="56"/>
      <c r="L518" s="79"/>
      <c r="O518" s="56"/>
    </row>
    <row r="519" spans="1:15" ht="13" x14ac:dyDescent="0.15">
      <c r="A519" s="56"/>
      <c r="B519" s="56"/>
      <c r="K519" s="56"/>
      <c r="L519" s="79"/>
      <c r="O519" s="56"/>
    </row>
    <row r="520" spans="1:15" ht="13" x14ac:dyDescent="0.15">
      <c r="A520" s="56"/>
      <c r="B520" s="56"/>
      <c r="K520" s="56"/>
      <c r="L520" s="79"/>
      <c r="O520" s="56"/>
    </row>
    <row r="521" spans="1:15" ht="13" x14ac:dyDescent="0.15">
      <c r="A521" s="56"/>
      <c r="B521" s="56"/>
      <c r="K521" s="56"/>
      <c r="L521" s="79"/>
      <c r="O521" s="56"/>
    </row>
    <row r="522" spans="1:15" ht="13" x14ac:dyDescent="0.15">
      <c r="A522" s="56"/>
      <c r="B522" s="56"/>
      <c r="K522" s="56"/>
      <c r="L522" s="79"/>
      <c r="O522" s="56"/>
    </row>
    <row r="523" spans="1:15" ht="13" x14ac:dyDescent="0.15">
      <c r="A523" s="56"/>
      <c r="B523" s="56"/>
      <c r="K523" s="56"/>
      <c r="L523" s="79"/>
      <c r="O523" s="56"/>
    </row>
    <row r="524" spans="1:15" ht="13" x14ac:dyDescent="0.15">
      <c r="A524" s="56"/>
      <c r="B524" s="56"/>
      <c r="K524" s="56"/>
      <c r="L524" s="79"/>
      <c r="O524" s="56"/>
    </row>
    <row r="525" spans="1:15" ht="13" x14ac:dyDescent="0.15">
      <c r="A525" s="56"/>
      <c r="B525" s="56"/>
      <c r="K525" s="56"/>
      <c r="L525" s="79"/>
      <c r="O525" s="56"/>
    </row>
    <row r="526" spans="1:15" ht="13" x14ac:dyDescent="0.15">
      <c r="A526" s="56"/>
      <c r="B526" s="56"/>
      <c r="K526" s="56"/>
      <c r="L526" s="79"/>
      <c r="O526" s="56"/>
    </row>
    <row r="527" spans="1:15" ht="13" x14ac:dyDescent="0.15">
      <c r="A527" s="56"/>
      <c r="B527" s="56"/>
      <c r="K527" s="56"/>
      <c r="L527" s="79"/>
      <c r="O527" s="56"/>
    </row>
    <row r="528" spans="1:15" ht="13" x14ac:dyDescent="0.15">
      <c r="A528" s="56"/>
      <c r="B528" s="56"/>
      <c r="K528" s="56"/>
      <c r="L528" s="79"/>
      <c r="O528" s="56"/>
    </row>
    <row r="529" spans="1:15" ht="13" x14ac:dyDescent="0.15">
      <c r="A529" s="56"/>
      <c r="B529" s="56"/>
      <c r="K529" s="56"/>
      <c r="L529" s="79"/>
      <c r="O529" s="56"/>
    </row>
    <row r="530" spans="1:15" ht="13" x14ac:dyDescent="0.15">
      <c r="A530" s="56"/>
      <c r="B530" s="56"/>
      <c r="K530" s="56"/>
      <c r="L530" s="79"/>
      <c r="O530" s="56"/>
    </row>
    <row r="531" spans="1:15" ht="13" x14ac:dyDescent="0.15">
      <c r="A531" s="56"/>
      <c r="B531" s="56"/>
      <c r="K531" s="56"/>
      <c r="L531" s="79"/>
      <c r="O531" s="56"/>
    </row>
    <row r="532" spans="1:15" ht="13" x14ac:dyDescent="0.15">
      <c r="A532" s="56"/>
      <c r="B532" s="56"/>
      <c r="K532" s="56"/>
      <c r="L532" s="79"/>
      <c r="O532" s="56"/>
    </row>
    <row r="533" spans="1:15" ht="13" x14ac:dyDescent="0.15">
      <c r="A533" s="56"/>
      <c r="B533" s="56"/>
      <c r="K533" s="56"/>
      <c r="L533" s="79"/>
      <c r="O533" s="56"/>
    </row>
    <row r="534" spans="1:15" ht="13" x14ac:dyDescent="0.15">
      <c r="A534" s="56"/>
      <c r="B534" s="56"/>
      <c r="K534" s="56"/>
      <c r="L534" s="79"/>
      <c r="O534" s="56"/>
    </row>
    <row r="535" spans="1:15" ht="13" x14ac:dyDescent="0.15">
      <c r="A535" s="56"/>
      <c r="B535" s="56"/>
      <c r="K535" s="56"/>
      <c r="L535" s="79"/>
      <c r="O535" s="56"/>
    </row>
    <row r="536" spans="1:15" ht="13" x14ac:dyDescent="0.15">
      <c r="A536" s="56"/>
      <c r="B536" s="56"/>
      <c r="K536" s="56"/>
      <c r="L536" s="79"/>
      <c r="O536" s="56"/>
    </row>
    <row r="537" spans="1:15" ht="13" x14ac:dyDescent="0.15">
      <c r="A537" s="56"/>
      <c r="B537" s="56"/>
      <c r="K537" s="56"/>
      <c r="L537" s="79"/>
      <c r="O537" s="56"/>
    </row>
    <row r="538" spans="1:15" ht="13" x14ac:dyDescent="0.15">
      <c r="A538" s="56"/>
      <c r="B538" s="56"/>
      <c r="K538" s="56"/>
      <c r="L538" s="79"/>
      <c r="O538" s="56"/>
    </row>
    <row r="539" spans="1:15" ht="13" x14ac:dyDescent="0.15">
      <c r="A539" s="56"/>
      <c r="B539" s="56"/>
      <c r="K539" s="56"/>
      <c r="L539" s="79"/>
      <c r="O539" s="56"/>
    </row>
    <row r="540" spans="1:15" ht="13" x14ac:dyDescent="0.15">
      <c r="A540" s="56"/>
      <c r="B540" s="56"/>
      <c r="K540" s="56"/>
      <c r="L540" s="79"/>
      <c r="O540" s="56"/>
    </row>
    <row r="541" spans="1:15" ht="13" x14ac:dyDescent="0.15">
      <c r="A541" s="56"/>
      <c r="B541" s="56"/>
      <c r="K541" s="56"/>
      <c r="L541" s="79"/>
      <c r="O541" s="56"/>
    </row>
    <row r="542" spans="1:15" ht="13" x14ac:dyDescent="0.15">
      <c r="A542" s="56"/>
      <c r="B542" s="56"/>
      <c r="K542" s="56"/>
      <c r="L542" s="79"/>
      <c r="O542" s="56"/>
    </row>
    <row r="543" spans="1:15" ht="13" x14ac:dyDescent="0.15">
      <c r="A543" s="56"/>
      <c r="B543" s="56"/>
      <c r="K543" s="56"/>
      <c r="L543" s="79"/>
      <c r="O543" s="56"/>
    </row>
    <row r="544" spans="1:15" ht="13" x14ac:dyDescent="0.15">
      <c r="A544" s="56"/>
      <c r="B544" s="56"/>
      <c r="K544" s="56"/>
      <c r="L544" s="79"/>
      <c r="O544" s="56"/>
    </row>
    <row r="545" spans="1:15" ht="13" x14ac:dyDescent="0.15">
      <c r="A545" s="56"/>
      <c r="B545" s="56"/>
      <c r="K545" s="56"/>
      <c r="L545" s="79"/>
      <c r="O545" s="56"/>
    </row>
    <row r="546" spans="1:15" ht="13" x14ac:dyDescent="0.15">
      <c r="A546" s="56"/>
      <c r="B546" s="56"/>
      <c r="K546" s="56"/>
      <c r="L546" s="79"/>
      <c r="O546" s="56"/>
    </row>
    <row r="547" spans="1:15" ht="13" x14ac:dyDescent="0.15">
      <c r="A547" s="56"/>
      <c r="B547" s="56"/>
      <c r="K547" s="56"/>
      <c r="L547" s="79"/>
      <c r="O547" s="56"/>
    </row>
    <row r="548" spans="1:15" ht="13" x14ac:dyDescent="0.15">
      <c r="A548" s="56"/>
      <c r="B548" s="56"/>
      <c r="K548" s="56"/>
      <c r="L548" s="79"/>
      <c r="O548" s="56"/>
    </row>
    <row r="549" spans="1:15" ht="13" x14ac:dyDescent="0.15">
      <c r="A549" s="56"/>
      <c r="B549" s="56"/>
      <c r="K549" s="56"/>
      <c r="L549" s="79"/>
      <c r="O549" s="56"/>
    </row>
    <row r="550" spans="1:15" ht="13" x14ac:dyDescent="0.15">
      <c r="A550" s="56"/>
      <c r="B550" s="56"/>
      <c r="K550" s="56"/>
      <c r="L550" s="79"/>
      <c r="O550" s="56"/>
    </row>
    <row r="551" spans="1:15" ht="13" x14ac:dyDescent="0.15">
      <c r="A551" s="56"/>
      <c r="B551" s="56"/>
      <c r="K551" s="56"/>
      <c r="L551" s="79"/>
      <c r="O551" s="56"/>
    </row>
    <row r="552" spans="1:15" ht="13" x14ac:dyDescent="0.15">
      <c r="A552" s="56"/>
      <c r="B552" s="56"/>
      <c r="K552" s="56"/>
      <c r="L552" s="79"/>
      <c r="O552" s="56"/>
    </row>
    <row r="553" spans="1:15" ht="13" x14ac:dyDescent="0.15">
      <c r="A553" s="56"/>
      <c r="B553" s="56"/>
      <c r="K553" s="56"/>
      <c r="L553" s="79"/>
      <c r="O553" s="56"/>
    </row>
    <row r="554" spans="1:15" ht="13" x14ac:dyDescent="0.15">
      <c r="A554" s="56"/>
      <c r="B554" s="56"/>
      <c r="K554" s="56"/>
      <c r="L554" s="79"/>
      <c r="O554" s="56"/>
    </row>
    <row r="555" spans="1:15" ht="13" x14ac:dyDescent="0.15">
      <c r="A555" s="56"/>
      <c r="B555" s="56"/>
      <c r="K555" s="56"/>
      <c r="L555" s="79"/>
      <c r="O555" s="56"/>
    </row>
    <row r="556" spans="1:15" ht="13" x14ac:dyDescent="0.15">
      <c r="A556" s="56"/>
      <c r="B556" s="56"/>
      <c r="K556" s="56"/>
      <c r="L556" s="79"/>
      <c r="O556" s="56"/>
    </row>
    <row r="557" spans="1:15" ht="13" x14ac:dyDescent="0.15">
      <c r="A557" s="56"/>
      <c r="B557" s="56"/>
      <c r="K557" s="56"/>
      <c r="L557" s="79"/>
      <c r="O557" s="56"/>
    </row>
    <row r="558" spans="1:15" ht="13" x14ac:dyDescent="0.15">
      <c r="A558" s="56"/>
      <c r="B558" s="56"/>
      <c r="K558" s="56"/>
      <c r="L558" s="79"/>
      <c r="O558" s="56"/>
    </row>
    <row r="559" spans="1:15" ht="13" x14ac:dyDescent="0.15">
      <c r="A559" s="56"/>
      <c r="B559" s="56"/>
      <c r="K559" s="56"/>
      <c r="L559" s="79"/>
      <c r="O559" s="56"/>
    </row>
    <row r="560" spans="1:15" ht="13" x14ac:dyDescent="0.15">
      <c r="A560" s="56"/>
      <c r="B560" s="56"/>
      <c r="K560" s="56"/>
      <c r="L560" s="79"/>
      <c r="O560" s="56"/>
    </row>
    <row r="561" spans="1:15" ht="13" x14ac:dyDescent="0.15">
      <c r="A561" s="56"/>
      <c r="B561" s="56"/>
      <c r="K561" s="56"/>
      <c r="L561" s="79"/>
      <c r="O561" s="56"/>
    </row>
    <row r="562" spans="1:15" ht="13" x14ac:dyDescent="0.15">
      <c r="A562" s="56"/>
      <c r="B562" s="56"/>
      <c r="K562" s="56"/>
      <c r="L562" s="79"/>
      <c r="O562" s="56"/>
    </row>
    <row r="563" spans="1:15" ht="13" x14ac:dyDescent="0.15">
      <c r="A563" s="56"/>
      <c r="B563" s="56"/>
      <c r="K563" s="56"/>
      <c r="L563" s="79"/>
      <c r="O563" s="56"/>
    </row>
    <row r="564" spans="1:15" ht="13" x14ac:dyDescent="0.15">
      <c r="A564" s="56"/>
      <c r="B564" s="56"/>
      <c r="K564" s="56"/>
      <c r="L564" s="79"/>
      <c r="O564" s="56"/>
    </row>
    <row r="565" spans="1:15" ht="13" x14ac:dyDescent="0.15">
      <c r="A565" s="56"/>
      <c r="B565" s="56"/>
      <c r="K565" s="56"/>
      <c r="L565" s="79"/>
      <c r="O565" s="56"/>
    </row>
    <row r="566" spans="1:15" ht="13" x14ac:dyDescent="0.15">
      <c r="A566" s="56"/>
      <c r="B566" s="56"/>
      <c r="K566" s="56"/>
      <c r="L566" s="79"/>
      <c r="O566" s="56"/>
    </row>
    <row r="567" spans="1:15" ht="13" x14ac:dyDescent="0.15">
      <c r="A567" s="56"/>
      <c r="B567" s="56"/>
      <c r="K567" s="56"/>
      <c r="L567" s="79"/>
      <c r="O567" s="56"/>
    </row>
    <row r="568" spans="1:15" ht="13" x14ac:dyDescent="0.15">
      <c r="A568" s="56"/>
      <c r="B568" s="56"/>
      <c r="K568" s="56"/>
      <c r="L568" s="79"/>
      <c r="O568" s="56"/>
    </row>
    <row r="569" spans="1:15" ht="13" x14ac:dyDescent="0.15">
      <c r="A569" s="56"/>
      <c r="B569" s="56"/>
      <c r="K569" s="56"/>
      <c r="L569" s="79"/>
      <c r="O569" s="56"/>
    </row>
    <row r="570" spans="1:15" ht="13" x14ac:dyDescent="0.15">
      <c r="A570" s="56"/>
      <c r="B570" s="56"/>
      <c r="K570" s="56"/>
      <c r="L570" s="79"/>
      <c r="O570" s="56"/>
    </row>
    <row r="571" spans="1:15" ht="13" x14ac:dyDescent="0.15">
      <c r="A571" s="56"/>
      <c r="B571" s="56"/>
      <c r="K571" s="56"/>
      <c r="L571" s="79"/>
      <c r="O571" s="56"/>
    </row>
    <row r="572" spans="1:15" ht="13" x14ac:dyDescent="0.15">
      <c r="A572" s="56"/>
      <c r="B572" s="56"/>
      <c r="K572" s="56"/>
      <c r="L572" s="79"/>
      <c r="O572" s="56"/>
    </row>
    <row r="573" spans="1:15" ht="13" x14ac:dyDescent="0.15">
      <c r="A573" s="56"/>
      <c r="B573" s="56"/>
      <c r="K573" s="56"/>
      <c r="L573" s="79"/>
      <c r="O573" s="56"/>
    </row>
    <row r="574" spans="1:15" ht="13" x14ac:dyDescent="0.15">
      <c r="A574" s="56"/>
      <c r="B574" s="56"/>
      <c r="K574" s="56"/>
      <c r="L574" s="79"/>
      <c r="O574" s="56"/>
    </row>
    <row r="575" spans="1:15" ht="13" x14ac:dyDescent="0.15">
      <c r="A575" s="56"/>
      <c r="B575" s="56"/>
      <c r="K575" s="56"/>
      <c r="L575" s="79"/>
      <c r="O575" s="56"/>
    </row>
    <row r="576" spans="1:15" ht="13" x14ac:dyDescent="0.15">
      <c r="A576" s="56"/>
      <c r="B576" s="56"/>
      <c r="K576" s="56"/>
      <c r="L576" s="79"/>
      <c r="O576" s="56"/>
    </row>
    <row r="577" spans="1:15" ht="13" x14ac:dyDescent="0.15">
      <c r="A577" s="56"/>
      <c r="B577" s="56"/>
      <c r="K577" s="56"/>
      <c r="L577" s="79"/>
      <c r="O577" s="56"/>
    </row>
    <row r="578" spans="1:15" ht="13" x14ac:dyDescent="0.15">
      <c r="A578" s="56"/>
      <c r="B578" s="56"/>
      <c r="K578" s="56"/>
      <c r="L578" s="79"/>
      <c r="O578" s="56"/>
    </row>
    <row r="579" spans="1:15" ht="13" x14ac:dyDescent="0.15">
      <c r="A579" s="56"/>
      <c r="B579" s="56"/>
      <c r="K579" s="56"/>
      <c r="L579" s="79"/>
      <c r="O579" s="56"/>
    </row>
    <row r="580" spans="1:15" ht="13" x14ac:dyDescent="0.15">
      <c r="A580" s="56"/>
      <c r="B580" s="56"/>
      <c r="K580" s="56"/>
      <c r="L580" s="79"/>
      <c r="O580" s="56"/>
    </row>
    <row r="581" spans="1:15" ht="13" x14ac:dyDescent="0.15">
      <c r="A581" s="56"/>
      <c r="B581" s="56"/>
      <c r="K581" s="56"/>
      <c r="L581" s="79"/>
      <c r="O581" s="56"/>
    </row>
    <row r="582" spans="1:15" ht="13" x14ac:dyDescent="0.15">
      <c r="A582" s="56"/>
      <c r="B582" s="56"/>
      <c r="K582" s="56"/>
      <c r="L582" s="79"/>
      <c r="O582" s="56"/>
    </row>
    <row r="583" spans="1:15" ht="13" x14ac:dyDescent="0.15">
      <c r="A583" s="56"/>
      <c r="B583" s="56"/>
      <c r="K583" s="56"/>
      <c r="L583" s="79"/>
      <c r="O583" s="56"/>
    </row>
    <row r="584" spans="1:15" ht="13" x14ac:dyDescent="0.15">
      <c r="A584" s="56"/>
      <c r="B584" s="56"/>
      <c r="K584" s="56"/>
      <c r="L584" s="79"/>
      <c r="O584" s="56"/>
    </row>
    <row r="585" spans="1:15" ht="13" x14ac:dyDescent="0.15">
      <c r="A585" s="56"/>
      <c r="B585" s="56"/>
      <c r="K585" s="56"/>
      <c r="L585" s="79"/>
      <c r="O585" s="56"/>
    </row>
    <row r="586" spans="1:15" ht="13" x14ac:dyDescent="0.15">
      <c r="A586" s="56"/>
      <c r="B586" s="56"/>
      <c r="K586" s="56"/>
      <c r="L586" s="79"/>
      <c r="O586" s="56"/>
    </row>
    <row r="587" spans="1:15" ht="13" x14ac:dyDescent="0.15">
      <c r="A587" s="56"/>
      <c r="B587" s="56"/>
      <c r="K587" s="56"/>
      <c r="L587" s="79"/>
      <c r="O587" s="56"/>
    </row>
    <row r="588" spans="1:15" ht="13" x14ac:dyDescent="0.15">
      <c r="A588" s="56"/>
      <c r="B588" s="56"/>
      <c r="K588" s="56"/>
      <c r="L588" s="79"/>
      <c r="O588" s="56"/>
    </row>
    <row r="589" spans="1:15" ht="13" x14ac:dyDescent="0.15">
      <c r="A589" s="56"/>
      <c r="B589" s="56"/>
      <c r="K589" s="56"/>
      <c r="L589" s="79"/>
      <c r="O589" s="56"/>
    </row>
    <row r="590" spans="1:15" ht="13" x14ac:dyDescent="0.15">
      <c r="A590" s="56"/>
      <c r="B590" s="56"/>
      <c r="K590" s="56"/>
      <c r="L590" s="79"/>
      <c r="O590" s="56"/>
    </row>
    <row r="591" spans="1:15" ht="13" x14ac:dyDescent="0.15">
      <c r="A591" s="56"/>
      <c r="B591" s="56"/>
      <c r="K591" s="56"/>
      <c r="L591" s="79"/>
      <c r="O591" s="56"/>
    </row>
    <row r="592" spans="1:15" ht="13" x14ac:dyDescent="0.15">
      <c r="A592" s="56"/>
      <c r="B592" s="56"/>
      <c r="K592" s="56"/>
      <c r="L592" s="79"/>
      <c r="O592" s="56"/>
    </row>
    <row r="593" spans="1:15" ht="13" x14ac:dyDescent="0.15">
      <c r="A593" s="56"/>
      <c r="B593" s="56"/>
      <c r="K593" s="56"/>
      <c r="L593" s="79"/>
      <c r="O593" s="56"/>
    </row>
    <row r="594" spans="1:15" ht="13" x14ac:dyDescent="0.15">
      <c r="A594" s="56"/>
      <c r="B594" s="56"/>
      <c r="K594" s="56"/>
      <c r="L594" s="79"/>
      <c r="O594" s="56"/>
    </row>
    <row r="595" spans="1:15" ht="13" x14ac:dyDescent="0.15">
      <c r="A595" s="56"/>
      <c r="B595" s="56"/>
      <c r="K595" s="56"/>
      <c r="L595" s="79"/>
      <c r="O595" s="56"/>
    </row>
    <row r="596" spans="1:15" ht="13" x14ac:dyDescent="0.15">
      <c r="A596" s="56"/>
      <c r="B596" s="56"/>
      <c r="K596" s="56"/>
      <c r="L596" s="79"/>
      <c r="O596" s="56"/>
    </row>
    <row r="597" spans="1:15" ht="13" x14ac:dyDescent="0.15">
      <c r="A597" s="56"/>
      <c r="B597" s="56"/>
      <c r="K597" s="56"/>
      <c r="L597" s="79"/>
      <c r="O597" s="56"/>
    </row>
    <row r="598" spans="1:15" ht="13" x14ac:dyDescent="0.15">
      <c r="A598" s="56"/>
      <c r="B598" s="56"/>
      <c r="K598" s="56"/>
      <c r="L598" s="79"/>
      <c r="O598" s="56"/>
    </row>
    <row r="599" spans="1:15" ht="13" x14ac:dyDescent="0.15">
      <c r="A599" s="56"/>
      <c r="B599" s="56"/>
      <c r="K599" s="56"/>
      <c r="L599" s="79"/>
      <c r="O599" s="56"/>
    </row>
    <row r="600" spans="1:15" ht="13" x14ac:dyDescent="0.15">
      <c r="A600" s="56"/>
      <c r="B600" s="56"/>
      <c r="K600" s="56"/>
      <c r="L600" s="79"/>
      <c r="O600" s="56"/>
    </row>
    <row r="601" spans="1:15" ht="13" x14ac:dyDescent="0.15">
      <c r="A601" s="56"/>
      <c r="B601" s="56"/>
      <c r="K601" s="56"/>
      <c r="L601" s="79"/>
      <c r="O601" s="56"/>
    </row>
    <row r="602" spans="1:15" ht="13" x14ac:dyDescent="0.15">
      <c r="A602" s="56"/>
      <c r="B602" s="56"/>
      <c r="K602" s="56"/>
      <c r="L602" s="79"/>
      <c r="O602" s="56"/>
    </row>
    <row r="603" spans="1:15" ht="13" x14ac:dyDescent="0.15">
      <c r="A603" s="56"/>
      <c r="B603" s="56"/>
      <c r="K603" s="56"/>
      <c r="L603" s="79"/>
      <c r="O603" s="56"/>
    </row>
    <row r="604" spans="1:15" ht="13" x14ac:dyDescent="0.15">
      <c r="A604" s="56"/>
      <c r="B604" s="56"/>
      <c r="K604" s="56"/>
      <c r="L604" s="79"/>
      <c r="O604" s="56"/>
    </row>
    <row r="605" spans="1:15" ht="13" x14ac:dyDescent="0.15">
      <c r="A605" s="56"/>
      <c r="B605" s="56"/>
      <c r="K605" s="56"/>
      <c r="L605" s="79"/>
      <c r="O605" s="56"/>
    </row>
    <row r="606" spans="1:15" ht="13" x14ac:dyDescent="0.15">
      <c r="A606" s="56"/>
      <c r="B606" s="56"/>
      <c r="K606" s="56"/>
      <c r="L606" s="79"/>
      <c r="O606" s="56"/>
    </row>
    <row r="607" spans="1:15" ht="13" x14ac:dyDescent="0.15">
      <c r="A607" s="56"/>
      <c r="B607" s="56"/>
      <c r="K607" s="56"/>
      <c r="L607" s="79"/>
      <c r="O607" s="56"/>
    </row>
    <row r="608" spans="1:15" ht="13" x14ac:dyDescent="0.15">
      <c r="A608" s="56"/>
      <c r="B608" s="56"/>
      <c r="K608" s="56"/>
      <c r="L608" s="79"/>
      <c r="O608" s="56"/>
    </row>
    <row r="609" spans="1:15" ht="13" x14ac:dyDescent="0.15">
      <c r="A609" s="56"/>
      <c r="B609" s="56"/>
      <c r="K609" s="56"/>
      <c r="L609" s="79"/>
      <c r="O609" s="56"/>
    </row>
    <row r="610" spans="1:15" ht="13" x14ac:dyDescent="0.15">
      <c r="A610" s="56"/>
      <c r="B610" s="56"/>
      <c r="K610" s="56"/>
      <c r="L610" s="79"/>
      <c r="O610" s="56"/>
    </row>
    <row r="611" spans="1:15" ht="13" x14ac:dyDescent="0.15">
      <c r="A611" s="56"/>
      <c r="B611" s="56"/>
      <c r="K611" s="56"/>
      <c r="L611" s="79"/>
      <c r="O611" s="56"/>
    </row>
    <row r="612" spans="1:15" ht="13" x14ac:dyDescent="0.15">
      <c r="A612" s="56"/>
      <c r="B612" s="56"/>
      <c r="K612" s="56"/>
      <c r="L612" s="79"/>
      <c r="O612" s="56"/>
    </row>
    <row r="613" spans="1:15" ht="13" x14ac:dyDescent="0.15">
      <c r="A613" s="56"/>
      <c r="B613" s="56"/>
      <c r="K613" s="56"/>
      <c r="L613" s="79"/>
      <c r="O613" s="56"/>
    </row>
    <row r="614" spans="1:15" ht="13" x14ac:dyDescent="0.15">
      <c r="A614" s="56"/>
      <c r="B614" s="56"/>
      <c r="K614" s="56"/>
      <c r="L614" s="79"/>
      <c r="O614" s="56"/>
    </row>
    <row r="615" spans="1:15" ht="13" x14ac:dyDescent="0.15">
      <c r="A615" s="56"/>
      <c r="B615" s="56"/>
      <c r="K615" s="56"/>
      <c r="L615" s="79"/>
      <c r="O615" s="56"/>
    </row>
    <row r="616" spans="1:15" ht="13" x14ac:dyDescent="0.15">
      <c r="A616" s="56"/>
      <c r="B616" s="56"/>
      <c r="K616" s="56"/>
      <c r="L616" s="79"/>
      <c r="O616" s="56"/>
    </row>
    <row r="617" spans="1:15" ht="13" x14ac:dyDescent="0.15">
      <c r="A617" s="56"/>
      <c r="B617" s="56"/>
      <c r="K617" s="56"/>
      <c r="L617" s="79"/>
      <c r="O617" s="56"/>
    </row>
    <row r="618" spans="1:15" ht="13" x14ac:dyDescent="0.15">
      <c r="A618" s="56"/>
      <c r="B618" s="56"/>
      <c r="K618" s="56"/>
      <c r="L618" s="79"/>
      <c r="O618" s="56"/>
    </row>
    <row r="619" spans="1:15" ht="13" x14ac:dyDescent="0.15">
      <c r="A619" s="56"/>
      <c r="B619" s="56"/>
      <c r="K619" s="56"/>
      <c r="L619" s="79"/>
      <c r="O619" s="56"/>
    </row>
    <row r="620" spans="1:15" ht="13" x14ac:dyDescent="0.15">
      <c r="A620" s="56"/>
      <c r="B620" s="56"/>
      <c r="K620" s="56"/>
      <c r="L620" s="79"/>
      <c r="O620" s="56"/>
    </row>
    <row r="621" spans="1:15" ht="13" x14ac:dyDescent="0.15">
      <c r="A621" s="56"/>
      <c r="B621" s="56"/>
      <c r="K621" s="56"/>
      <c r="L621" s="79"/>
      <c r="O621" s="56"/>
    </row>
    <row r="622" spans="1:15" ht="13" x14ac:dyDescent="0.15">
      <c r="A622" s="56"/>
      <c r="B622" s="56"/>
      <c r="K622" s="56"/>
      <c r="L622" s="79"/>
      <c r="O622" s="56"/>
    </row>
    <row r="623" spans="1:15" ht="13" x14ac:dyDescent="0.15">
      <c r="A623" s="56"/>
      <c r="B623" s="56"/>
      <c r="K623" s="56"/>
      <c r="L623" s="79"/>
      <c r="O623" s="56"/>
    </row>
    <row r="624" spans="1:15" ht="13" x14ac:dyDescent="0.15">
      <c r="A624" s="56"/>
      <c r="B624" s="56"/>
      <c r="K624" s="56"/>
      <c r="L624" s="79"/>
      <c r="O624" s="56"/>
    </row>
    <row r="625" spans="1:15" ht="13" x14ac:dyDescent="0.15">
      <c r="A625" s="56"/>
      <c r="B625" s="56"/>
      <c r="K625" s="56"/>
      <c r="L625" s="79"/>
      <c r="O625" s="56"/>
    </row>
    <row r="626" spans="1:15" ht="13" x14ac:dyDescent="0.15">
      <c r="A626" s="56"/>
      <c r="B626" s="56"/>
      <c r="K626" s="56"/>
      <c r="L626" s="79"/>
      <c r="O626" s="56"/>
    </row>
    <row r="627" spans="1:15" ht="13" x14ac:dyDescent="0.15">
      <c r="A627" s="56"/>
      <c r="B627" s="56"/>
      <c r="K627" s="56"/>
      <c r="L627" s="79"/>
      <c r="O627" s="56"/>
    </row>
    <row r="628" spans="1:15" ht="13" x14ac:dyDescent="0.15">
      <c r="A628" s="56"/>
      <c r="B628" s="56"/>
      <c r="K628" s="56"/>
      <c r="L628" s="79"/>
      <c r="O628" s="56"/>
    </row>
    <row r="629" spans="1:15" ht="13" x14ac:dyDescent="0.15">
      <c r="A629" s="56"/>
      <c r="B629" s="56"/>
      <c r="K629" s="56"/>
      <c r="L629" s="79"/>
      <c r="O629" s="56"/>
    </row>
    <row r="630" spans="1:15" ht="13" x14ac:dyDescent="0.15">
      <c r="A630" s="56"/>
      <c r="B630" s="56"/>
      <c r="K630" s="56"/>
      <c r="L630" s="79"/>
      <c r="O630" s="56"/>
    </row>
    <row r="631" spans="1:15" ht="13" x14ac:dyDescent="0.15">
      <c r="A631" s="56"/>
      <c r="B631" s="56"/>
      <c r="K631" s="56"/>
      <c r="L631" s="79"/>
      <c r="O631" s="56"/>
    </row>
    <row r="632" spans="1:15" ht="13" x14ac:dyDescent="0.15">
      <c r="A632" s="56"/>
      <c r="B632" s="56"/>
      <c r="K632" s="56"/>
      <c r="L632" s="79"/>
      <c r="O632" s="56"/>
    </row>
    <row r="633" spans="1:15" ht="13" x14ac:dyDescent="0.15">
      <c r="A633" s="56"/>
      <c r="B633" s="56"/>
      <c r="K633" s="56"/>
      <c r="L633" s="79"/>
      <c r="O633" s="56"/>
    </row>
    <row r="634" spans="1:15" ht="13" x14ac:dyDescent="0.15">
      <c r="A634" s="56"/>
      <c r="B634" s="56"/>
      <c r="K634" s="56"/>
      <c r="L634" s="79"/>
      <c r="O634" s="56"/>
    </row>
    <row r="635" spans="1:15" ht="13" x14ac:dyDescent="0.15">
      <c r="A635" s="56"/>
      <c r="B635" s="56"/>
      <c r="K635" s="56"/>
      <c r="L635" s="79"/>
      <c r="O635" s="56"/>
    </row>
    <row r="636" spans="1:15" ht="13" x14ac:dyDescent="0.15">
      <c r="A636" s="56"/>
      <c r="B636" s="56"/>
      <c r="K636" s="56"/>
      <c r="L636" s="79"/>
      <c r="O636" s="56"/>
    </row>
    <row r="637" spans="1:15" ht="13" x14ac:dyDescent="0.15">
      <c r="A637" s="56"/>
      <c r="B637" s="56"/>
      <c r="K637" s="56"/>
      <c r="L637" s="79"/>
      <c r="O637" s="56"/>
    </row>
    <row r="638" spans="1:15" ht="13" x14ac:dyDescent="0.15">
      <c r="A638" s="56"/>
      <c r="B638" s="56"/>
      <c r="K638" s="56"/>
      <c r="L638" s="79"/>
      <c r="O638" s="56"/>
    </row>
    <row r="639" spans="1:15" ht="13" x14ac:dyDescent="0.15">
      <c r="A639" s="56"/>
      <c r="B639" s="56"/>
      <c r="K639" s="56"/>
      <c r="L639" s="79"/>
      <c r="O639" s="56"/>
    </row>
    <row r="640" spans="1:15" ht="13" x14ac:dyDescent="0.15">
      <c r="A640" s="56"/>
      <c r="B640" s="56"/>
      <c r="K640" s="56"/>
      <c r="L640" s="79"/>
      <c r="O640" s="56"/>
    </row>
    <row r="641" spans="1:15" ht="13" x14ac:dyDescent="0.15">
      <c r="A641" s="56"/>
      <c r="B641" s="56"/>
      <c r="K641" s="56"/>
      <c r="L641" s="79"/>
      <c r="O641" s="56"/>
    </row>
    <row r="642" spans="1:15" ht="13" x14ac:dyDescent="0.15">
      <c r="A642" s="56"/>
      <c r="B642" s="56"/>
      <c r="K642" s="56"/>
      <c r="L642" s="79"/>
      <c r="O642" s="56"/>
    </row>
    <row r="643" spans="1:15" ht="13" x14ac:dyDescent="0.15">
      <c r="A643" s="56"/>
      <c r="B643" s="56"/>
      <c r="K643" s="56"/>
      <c r="L643" s="79"/>
      <c r="O643" s="56"/>
    </row>
    <row r="644" spans="1:15" ht="13" x14ac:dyDescent="0.15">
      <c r="A644" s="56"/>
      <c r="B644" s="56"/>
      <c r="K644" s="56"/>
      <c r="L644" s="79"/>
      <c r="O644" s="56"/>
    </row>
    <row r="645" spans="1:15" ht="13" x14ac:dyDescent="0.15">
      <c r="A645" s="56"/>
      <c r="B645" s="56"/>
      <c r="K645" s="56"/>
      <c r="L645" s="79"/>
      <c r="O645" s="56"/>
    </row>
    <row r="646" spans="1:15" ht="13" x14ac:dyDescent="0.15">
      <c r="A646" s="56"/>
      <c r="B646" s="56"/>
      <c r="K646" s="56"/>
      <c r="L646" s="79"/>
      <c r="O646" s="56"/>
    </row>
    <row r="647" spans="1:15" ht="13" x14ac:dyDescent="0.15">
      <c r="A647" s="56"/>
      <c r="B647" s="56"/>
      <c r="K647" s="56"/>
      <c r="L647" s="79"/>
      <c r="O647" s="56"/>
    </row>
    <row r="648" spans="1:15" ht="13" x14ac:dyDescent="0.15">
      <c r="A648" s="56"/>
      <c r="B648" s="56"/>
      <c r="K648" s="56"/>
      <c r="L648" s="79"/>
      <c r="O648" s="56"/>
    </row>
    <row r="649" spans="1:15" ht="13" x14ac:dyDescent="0.15">
      <c r="A649" s="56"/>
      <c r="B649" s="56"/>
      <c r="K649" s="56"/>
      <c r="L649" s="79"/>
      <c r="O649" s="56"/>
    </row>
    <row r="650" spans="1:15" ht="13" x14ac:dyDescent="0.15">
      <c r="A650" s="56"/>
      <c r="B650" s="56"/>
      <c r="K650" s="56"/>
      <c r="L650" s="79"/>
      <c r="O650" s="56"/>
    </row>
    <row r="651" spans="1:15" ht="13" x14ac:dyDescent="0.15">
      <c r="A651" s="56"/>
      <c r="B651" s="56"/>
      <c r="K651" s="56"/>
      <c r="L651" s="79"/>
      <c r="O651" s="56"/>
    </row>
    <row r="652" spans="1:15" ht="13" x14ac:dyDescent="0.15">
      <c r="A652" s="56"/>
      <c r="B652" s="56"/>
      <c r="K652" s="56"/>
      <c r="L652" s="79"/>
      <c r="O652" s="56"/>
    </row>
    <row r="653" spans="1:15" ht="13" x14ac:dyDescent="0.15">
      <c r="A653" s="56"/>
      <c r="B653" s="56"/>
      <c r="K653" s="56"/>
      <c r="L653" s="79"/>
      <c r="O653" s="56"/>
    </row>
    <row r="654" spans="1:15" ht="13" x14ac:dyDescent="0.15">
      <c r="A654" s="56"/>
      <c r="B654" s="56"/>
      <c r="K654" s="56"/>
      <c r="L654" s="79"/>
      <c r="O654" s="56"/>
    </row>
    <row r="655" spans="1:15" ht="13" x14ac:dyDescent="0.15">
      <c r="A655" s="56"/>
      <c r="B655" s="56"/>
      <c r="K655" s="56"/>
      <c r="L655" s="79"/>
      <c r="O655" s="56"/>
    </row>
    <row r="656" spans="1:15" ht="13" x14ac:dyDescent="0.15">
      <c r="A656" s="56"/>
      <c r="B656" s="56"/>
      <c r="K656" s="56"/>
      <c r="L656" s="79"/>
      <c r="O656" s="56"/>
    </row>
    <row r="657" spans="1:15" ht="13" x14ac:dyDescent="0.15">
      <c r="A657" s="56"/>
      <c r="B657" s="56"/>
      <c r="K657" s="56"/>
      <c r="L657" s="79"/>
      <c r="O657" s="56"/>
    </row>
    <row r="658" spans="1:15" ht="13" x14ac:dyDescent="0.15">
      <c r="A658" s="56"/>
      <c r="B658" s="56"/>
      <c r="K658" s="56"/>
      <c r="L658" s="79"/>
      <c r="O658" s="56"/>
    </row>
    <row r="659" spans="1:15" ht="13" x14ac:dyDescent="0.15">
      <c r="A659" s="56"/>
      <c r="B659" s="56"/>
      <c r="K659" s="56"/>
      <c r="L659" s="79"/>
      <c r="O659" s="56"/>
    </row>
    <row r="660" spans="1:15" ht="13" x14ac:dyDescent="0.15">
      <c r="A660" s="56"/>
      <c r="B660" s="56"/>
      <c r="K660" s="56"/>
      <c r="L660" s="79"/>
      <c r="O660" s="56"/>
    </row>
    <row r="661" spans="1:15" ht="13" x14ac:dyDescent="0.15">
      <c r="A661" s="56"/>
      <c r="B661" s="56"/>
      <c r="K661" s="56"/>
      <c r="L661" s="79"/>
      <c r="O661" s="56"/>
    </row>
    <row r="662" spans="1:15" ht="13" x14ac:dyDescent="0.15">
      <c r="A662" s="56"/>
      <c r="B662" s="56"/>
      <c r="K662" s="56"/>
      <c r="L662" s="79"/>
      <c r="O662" s="56"/>
    </row>
    <row r="663" spans="1:15" ht="13" x14ac:dyDescent="0.15">
      <c r="A663" s="56"/>
      <c r="B663" s="56"/>
      <c r="K663" s="56"/>
      <c r="L663" s="79"/>
      <c r="O663" s="56"/>
    </row>
    <row r="664" spans="1:15" ht="13" x14ac:dyDescent="0.15">
      <c r="A664" s="56"/>
      <c r="B664" s="56"/>
      <c r="K664" s="56"/>
      <c r="L664" s="79"/>
      <c r="O664" s="56"/>
    </row>
    <row r="665" spans="1:15" ht="13" x14ac:dyDescent="0.15">
      <c r="A665" s="56"/>
      <c r="B665" s="56"/>
      <c r="K665" s="56"/>
      <c r="L665" s="79"/>
      <c r="O665" s="56"/>
    </row>
    <row r="666" spans="1:15" ht="13" x14ac:dyDescent="0.15">
      <c r="A666" s="56"/>
      <c r="B666" s="56"/>
      <c r="K666" s="56"/>
      <c r="L666" s="79"/>
      <c r="O666" s="56"/>
    </row>
    <row r="667" spans="1:15" ht="13" x14ac:dyDescent="0.15">
      <c r="A667" s="56"/>
      <c r="B667" s="56"/>
      <c r="K667" s="56"/>
      <c r="L667" s="79"/>
      <c r="O667" s="56"/>
    </row>
    <row r="668" spans="1:15" ht="13" x14ac:dyDescent="0.15">
      <c r="A668" s="56"/>
      <c r="B668" s="56"/>
      <c r="K668" s="56"/>
      <c r="L668" s="79"/>
      <c r="O668" s="56"/>
    </row>
    <row r="669" spans="1:15" ht="13" x14ac:dyDescent="0.15">
      <c r="A669" s="56"/>
      <c r="B669" s="56"/>
      <c r="K669" s="56"/>
      <c r="L669" s="79"/>
      <c r="O669" s="56"/>
    </row>
    <row r="670" spans="1:15" ht="13" x14ac:dyDescent="0.15">
      <c r="A670" s="56"/>
      <c r="B670" s="56"/>
      <c r="K670" s="56"/>
      <c r="L670" s="79"/>
      <c r="O670" s="56"/>
    </row>
    <row r="671" spans="1:15" ht="13" x14ac:dyDescent="0.15">
      <c r="A671" s="56"/>
      <c r="B671" s="56"/>
      <c r="K671" s="56"/>
      <c r="L671" s="79"/>
      <c r="O671" s="56"/>
    </row>
    <row r="672" spans="1:15" ht="13" x14ac:dyDescent="0.15">
      <c r="A672" s="56"/>
      <c r="B672" s="56"/>
      <c r="K672" s="56"/>
      <c r="L672" s="79"/>
      <c r="O672" s="56"/>
    </row>
    <row r="673" spans="1:15" ht="13" x14ac:dyDescent="0.15">
      <c r="A673" s="56"/>
      <c r="B673" s="56"/>
      <c r="K673" s="56"/>
      <c r="L673" s="79"/>
      <c r="O673" s="56"/>
    </row>
    <row r="674" spans="1:15" ht="13" x14ac:dyDescent="0.15">
      <c r="A674" s="56"/>
      <c r="B674" s="56"/>
      <c r="K674" s="56"/>
      <c r="L674" s="79"/>
      <c r="O674" s="56"/>
    </row>
    <row r="675" spans="1:15" ht="13" x14ac:dyDescent="0.15">
      <c r="A675" s="56"/>
      <c r="B675" s="56"/>
      <c r="K675" s="56"/>
      <c r="L675" s="79"/>
      <c r="O675" s="56"/>
    </row>
    <row r="676" spans="1:15" ht="13" x14ac:dyDescent="0.15">
      <c r="A676" s="56"/>
      <c r="B676" s="56"/>
      <c r="K676" s="56"/>
      <c r="L676" s="79"/>
      <c r="O676" s="56"/>
    </row>
    <row r="677" spans="1:15" ht="13" x14ac:dyDescent="0.15">
      <c r="A677" s="56"/>
      <c r="B677" s="56"/>
      <c r="K677" s="56"/>
      <c r="L677" s="79"/>
      <c r="O677" s="56"/>
    </row>
    <row r="678" spans="1:15" ht="13" x14ac:dyDescent="0.15">
      <c r="A678" s="56"/>
      <c r="B678" s="56"/>
      <c r="K678" s="56"/>
      <c r="L678" s="79"/>
      <c r="O678" s="56"/>
    </row>
    <row r="679" spans="1:15" ht="13" x14ac:dyDescent="0.15">
      <c r="A679" s="56"/>
      <c r="B679" s="56"/>
      <c r="K679" s="56"/>
      <c r="L679" s="79"/>
      <c r="O679" s="56"/>
    </row>
    <row r="680" spans="1:15" ht="13" x14ac:dyDescent="0.15">
      <c r="A680" s="56"/>
      <c r="B680" s="56"/>
      <c r="K680" s="56"/>
      <c r="L680" s="79"/>
      <c r="O680" s="56"/>
    </row>
    <row r="681" spans="1:15" ht="13" x14ac:dyDescent="0.15">
      <c r="A681" s="56"/>
      <c r="B681" s="56"/>
      <c r="K681" s="56"/>
      <c r="L681" s="79"/>
      <c r="O681" s="56"/>
    </row>
    <row r="682" spans="1:15" ht="13" x14ac:dyDescent="0.15">
      <c r="A682" s="56"/>
      <c r="B682" s="56"/>
      <c r="K682" s="56"/>
      <c r="L682" s="79"/>
      <c r="O682" s="56"/>
    </row>
    <row r="683" spans="1:15" ht="13" x14ac:dyDescent="0.15">
      <c r="A683" s="56"/>
      <c r="B683" s="56"/>
      <c r="K683" s="56"/>
      <c r="L683" s="79"/>
      <c r="O683" s="56"/>
    </row>
    <row r="684" spans="1:15" ht="13" x14ac:dyDescent="0.15">
      <c r="A684" s="56"/>
      <c r="B684" s="56"/>
      <c r="K684" s="56"/>
      <c r="L684" s="79"/>
      <c r="O684" s="56"/>
    </row>
    <row r="685" spans="1:15" ht="13" x14ac:dyDescent="0.15">
      <c r="A685" s="56"/>
      <c r="B685" s="56"/>
      <c r="K685" s="56"/>
      <c r="L685" s="79"/>
      <c r="O685" s="56"/>
    </row>
    <row r="686" spans="1:15" ht="13" x14ac:dyDescent="0.15">
      <c r="A686" s="56"/>
      <c r="B686" s="56"/>
      <c r="K686" s="56"/>
      <c r="L686" s="79"/>
      <c r="O686" s="56"/>
    </row>
    <row r="687" spans="1:15" ht="13" x14ac:dyDescent="0.15">
      <c r="A687" s="56"/>
      <c r="B687" s="56"/>
      <c r="K687" s="56"/>
      <c r="L687" s="79"/>
      <c r="O687" s="56"/>
    </row>
    <row r="688" spans="1:15" ht="13" x14ac:dyDescent="0.15">
      <c r="A688" s="56"/>
      <c r="B688" s="56"/>
      <c r="K688" s="56"/>
      <c r="L688" s="79"/>
      <c r="O688" s="56"/>
    </row>
    <row r="689" spans="1:15" ht="13" x14ac:dyDescent="0.15">
      <c r="A689" s="56"/>
      <c r="B689" s="56"/>
      <c r="K689" s="56"/>
      <c r="L689" s="79"/>
      <c r="O689" s="56"/>
    </row>
    <row r="690" spans="1:15" ht="13" x14ac:dyDescent="0.15">
      <c r="A690" s="56"/>
      <c r="B690" s="56"/>
      <c r="K690" s="56"/>
      <c r="L690" s="79"/>
      <c r="O690" s="56"/>
    </row>
    <row r="691" spans="1:15" ht="13" x14ac:dyDescent="0.15">
      <c r="A691" s="56"/>
      <c r="B691" s="56"/>
      <c r="K691" s="56"/>
      <c r="L691" s="79"/>
      <c r="O691" s="56"/>
    </row>
    <row r="692" spans="1:15" ht="13" x14ac:dyDescent="0.15">
      <c r="A692" s="56"/>
      <c r="B692" s="56"/>
      <c r="K692" s="56"/>
      <c r="L692" s="79"/>
      <c r="O692" s="56"/>
    </row>
    <row r="693" spans="1:15" ht="13" x14ac:dyDescent="0.15">
      <c r="A693" s="56"/>
      <c r="B693" s="56"/>
      <c r="K693" s="56"/>
      <c r="L693" s="79"/>
      <c r="O693" s="56"/>
    </row>
    <row r="694" spans="1:15" ht="13" x14ac:dyDescent="0.15">
      <c r="A694" s="56"/>
      <c r="B694" s="56"/>
      <c r="K694" s="56"/>
      <c r="L694" s="79"/>
      <c r="O694" s="56"/>
    </row>
    <row r="695" spans="1:15" ht="13" x14ac:dyDescent="0.15">
      <c r="A695" s="56"/>
      <c r="B695" s="56"/>
      <c r="K695" s="56"/>
      <c r="L695" s="79"/>
      <c r="O695" s="56"/>
    </row>
    <row r="696" spans="1:15" ht="13" x14ac:dyDescent="0.15">
      <c r="A696" s="56"/>
      <c r="B696" s="56"/>
      <c r="K696" s="56"/>
      <c r="L696" s="79"/>
      <c r="O696" s="56"/>
    </row>
    <row r="697" spans="1:15" ht="13" x14ac:dyDescent="0.15">
      <c r="A697" s="56"/>
      <c r="B697" s="56"/>
      <c r="K697" s="56"/>
      <c r="L697" s="79"/>
      <c r="O697" s="56"/>
    </row>
    <row r="698" spans="1:15" ht="13" x14ac:dyDescent="0.15">
      <c r="A698" s="56"/>
      <c r="B698" s="56"/>
      <c r="K698" s="56"/>
      <c r="L698" s="79"/>
      <c r="O698" s="56"/>
    </row>
    <row r="699" spans="1:15" ht="13" x14ac:dyDescent="0.15">
      <c r="A699" s="56"/>
      <c r="B699" s="56"/>
      <c r="K699" s="56"/>
      <c r="L699" s="79"/>
      <c r="O699" s="56"/>
    </row>
    <row r="700" spans="1:15" ht="13" x14ac:dyDescent="0.15">
      <c r="A700" s="56"/>
      <c r="B700" s="56"/>
      <c r="K700" s="56"/>
      <c r="L700" s="79"/>
      <c r="O700" s="56"/>
    </row>
    <row r="701" spans="1:15" ht="13" x14ac:dyDescent="0.15">
      <c r="A701" s="56"/>
      <c r="B701" s="56"/>
      <c r="K701" s="56"/>
      <c r="L701" s="79"/>
      <c r="O701" s="56"/>
    </row>
    <row r="702" spans="1:15" ht="13" x14ac:dyDescent="0.15">
      <c r="A702" s="56"/>
      <c r="B702" s="56"/>
      <c r="K702" s="56"/>
      <c r="L702" s="79"/>
      <c r="O702" s="56"/>
    </row>
    <row r="703" spans="1:15" ht="13" x14ac:dyDescent="0.15">
      <c r="A703" s="56"/>
      <c r="B703" s="56"/>
      <c r="K703" s="56"/>
      <c r="L703" s="79"/>
      <c r="O703" s="56"/>
    </row>
    <row r="704" spans="1:15" ht="13" x14ac:dyDescent="0.15">
      <c r="A704" s="56"/>
      <c r="B704" s="56"/>
      <c r="K704" s="56"/>
      <c r="L704" s="79"/>
      <c r="O704" s="56"/>
    </row>
    <row r="705" spans="1:15" ht="13" x14ac:dyDescent="0.15">
      <c r="A705" s="56"/>
      <c r="B705" s="56"/>
      <c r="K705" s="56"/>
      <c r="L705" s="79"/>
      <c r="O705" s="56"/>
    </row>
    <row r="706" spans="1:15" ht="13" x14ac:dyDescent="0.15">
      <c r="A706" s="56"/>
      <c r="B706" s="56"/>
      <c r="K706" s="56"/>
      <c r="L706" s="79"/>
      <c r="O706" s="56"/>
    </row>
    <row r="707" spans="1:15" ht="13" x14ac:dyDescent="0.15">
      <c r="A707" s="56"/>
      <c r="B707" s="56"/>
      <c r="K707" s="56"/>
      <c r="L707" s="79"/>
      <c r="O707" s="56"/>
    </row>
    <row r="708" spans="1:15" ht="13" x14ac:dyDescent="0.15">
      <c r="A708" s="56"/>
      <c r="B708" s="56"/>
      <c r="K708" s="56"/>
      <c r="L708" s="79"/>
      <c r="O708" s="56"/>
    </row>
    <row r="709" spans="1:15" ht="13" x14ac:dyDescent="0.15">
      <c r="A709" s="56"/>
      <c r="B709" s="56"/>
      <c r="K709" s="56"/>
      <c r="L709" s="79"/>
      <c r="O709" s="56"/>
    </row>
    <row r="710" spans="1:15" ht="13" x14ac:dyDescent="0.15">
      <c r="A710" s="56"/>
      <c r="B710" s="56"/>
      <c r="K710" s="56"/>
      <c r="L710" s="79"/>
      <c r="O710" s="56"/>
    </row>
    <row r="711" spans="1:15" ht="13" x14ac:dyDescent="0.15">
      <c r="A711" s="56"/>
      <c r="B711" s="56"/>
      <c r="K711" s="56"/>
      <c r="L711" s="79"/>
      <c r="O711" s="56"/>
    </row>
    <row r="712" spans="1:15" ht="13" x14ac:dyDescent="0.15">
      <c r="A712" s="56"/>
      <c r="B712" s="56"/>
      <c r="K712" s="56"/>
      <c r="L712" s="79"/>
      <c r="O712" s="56"/>
    </row>
    <row r="713" spans="1:15" ht="13" x14ac:dyDescent="0.15">
      <c r="A713" s="56"/>
      <c r="B713" s="56"/>
      <c r="K713" s="56"/>
      <c r="L713" s="79"/>
      <c r="O713" s="56"/>
    </row>
    <row r="714" spans="1:15" ht="13" x14ac:dyDescent="0.15">
      <c r="A714" s="56"/>
      <c r="B714" s="56"/>
      <c r="K714" s="56"/>
      <c r="L714" s="79"/>
      <c r="O714" s="56"/>
    </row>
    <row r="715" spans="1:15" ht="13" x14ac:dyDescent="0.15">
      <c r="A715" s="56"/>
      <c r="B715" s="56"/>
      <c r="K715" s="56"/>
      <c r="L715" s="79"/>
      <c r="O715" s="56"/>
    </row>
    <row r="716" spans="1:15" ht="13" x14ac:dyDescent="0.15">
      <c r="A716" s="56"/>
      <c r="B716" s="56"/>
      <c r="K716" s="56"/>
      <c r="L716" s="79"/>
      <c r="O716" s="56"/>
    </row>
    <row r="717" spans="1:15" ht="13" x14ac:dyDescent="0.15">
      <c r="A717" s="56"/>
      <c r="B717" s="56"/>
      <c r="K717" s="56"/>
      <c r="L717" s="79"/>
      <c r="O717" s="56"/>
    </row>
    <row r="718" spans="1:15" ht="13" x14ac:dyDescent="0.15">
      <c r="A718" s="56"/>
      <c r="B718" s="56"/>
      <c r="K718" s="56"/>
      <c r="L718" s="79"/>
      <c r="O718" s="56"/>
    </row>
    <row r="719" spans="1:15" ht="13" x14ac:dyDescent="0.15">
      <c r="A719" s="56"/>
      <c r="B719" s="56"/>
      <c r="K719" s="56"/>
      <c r="L719" s="79"/>
      <c r="O719" s="56"/>
    </row>
    <row r="720" spans="1:15" ht="13" x14ac:dyDescent="0.15">
      <c r="A720" s="56"/>
      <c r="B720" s="56"/>
      <c r="K720" s="56"/>
      <c r="L720" s="79"/>
      <c r="O720" s="56"/>
    </row>
    <row r="721" spans="1:15" ht="13" x14ac:dyDescent="0.15">
      <c r="A721" s="56"/>
      <c r="B721" s="56"/>
      <c r="K721" s="56"/>
      <c r="L721" s="79"/>
      <c r="O721" s="56"/>
    </row>
    <row r="722" spans="1:15" ht="13" x14ac:dyDescent="0.15">
      <c r="A722" s="56"/>
      <c r="B722" s="56"/>
      <c r="K722" s="56"/>
      <c r="L722" s="79"/>
      <c r="O722" s="56"/>
    </row>
    <row r="723" spans="1:15" ht="13" x14ac:dyDescent="0.15">
      <c r="A723" s="56"/>
      <c r="B723" s="56"/>
      <c r="K723" s="56"/>
      <c r="L723" s="79"/>
      <c r="O723" s="56"/>
    </row>
    <row r="724" spans="1:15" ht="13" x14ac:dyDescent="0.15">
      <c r="A724" s="56"/>
      <c r="B724" s="56"/>
      <c r="K724" s="56"/>
      <c r="L724" s="79"/>
      <c r="O724" s="56"/>
    </row>
    <row r="725" spans="1:15" ht="13" x14ac:dyDescent="0.15">
      <c r="A725" s="56"/>
      <c r="B725" s="56"/>
      <c r="K725" s="56"/>
      <c r="L725" s="79"/>
      <c r="O725" s="56"/>
    </row>
    <row r="726" spans="1:15" ht="13" x14ac:dyDescent="0.15">
      <c r="A726" s="56"/>
      <c r="B726" s="56"/>
      <c r="K726" s="56"/>
      <c r="L726" s="79"/>
      <c r="O726" s="56"/>
    </row>
    <row r="727" spans="1:15" ht="13" x14ac:dyDescent="0.15">
      <c r="A727" s="56"/>
      <c r="B727" s="56"/>
      <c r="K727" s="56"/>
      <c r="L727" s="79"/>
      <c r="O727" s="56"/>
    </row>
    <row r="728" spans="1:15" ht="13" x14ac:dyDescent="0.15">
      <c r="A728" s="56"/>
      <c r="B728" s="56"/>
      <c r="K728" s="56"/>
      <c r="L728" s="79"/>
      <c r="O728" s="56"/>
    </row>
    <row r="729" spans="1:15" ht="13" x14ac:dyDescent="0.15">
      <c r="A729" s="56"/>
      <c r="B729" s="56"/>
      <c r="K729" s="56"/>
      <c r="L729" s="79"/>
      <c r="O729" s="56"/>
    </row>
    <row r="730" spans="1:15" ht="13" x14ac:dyDescent="0.15">
      <c r="A730" s="56"/>
      <c r="B730" s="56"/>
      <c r="K730" s="56"/>
      <c r="L730" s="79"/>
      <c r="O730" s="56"/>
    </row>
    <row r="731" spans="1:15" ht="13" x14ac:dyDescent="0.15">
      <c r="A731" s="56"/>
      <c r="B731" s="56"/>
      <c r="K731" s="56"/>
      <c r="L731" s="79"/>
      <c r="O731" s="56"/>
    </row>
    <row r="732" spans="1:15" ht="13" x14ac:dyDescent="0.15">
      <c r="A732" s="56"/>
      <c r="B732" s="56"/>
      <c r="K732" s="56"/>
      <c r="L732" s="79"/>
      <c r="O732" s="56"/>
    </row>
    <row r="733" spans="1:15" ht="13" x14ac:dyDescent="0.15">
      <c r="A733" s="56"/>
      <c r="B733" s="56"/>
      <c r="K733" s="56"/>
      <c r="L733" s="79"/>
      <c r="O733" s="56"/>
    </row>
    <row r="734" spans="1:15" ht="13" x14ac:dyDescent="0.15">
      <c r="A734" s="56"/>
      <c r="B734" s="56"/>
      <c r="K734" s="56"/>
      <c r="L734" s="79"/>
      <c r="O734" s="56"/>
    </row>
    <row r="735" spans="1:15" ht="13" x14ac:dyDescent="0.15">
      <c r="A735" s="56"/>
      <c r="B735" s="56"/>
      <c r="K735" s="56"/>
      <c r="L735" s="79"/>
      <c r="O735" s="56"/>
    </row>
    <row r="736" spans="1:15" ht="13" x14ac:dyDescent="0.15">
      <c r="A736" s="56"/>
      <c r="B736" s="56"/>
      <c r="K736" s="56"/>
      <c r="L736" s="79"/>
      <c r="O736" s="56"/>
    </row>
    <row r="737" spans="1:15" ht="13" x14ac:dyDescent="0.15">
      <c r="A737" s="56"/>
      <c r="B737" s="56"/>
      <c r="K737" s="56"/>
      <c r="L737" s="79"/>
      <c r="O737" s="56"/>
    </row>
    <row r="738" spans="1:15" ht="13" x14ac:dyDescent="0.15">
      <c r="A738" s="56"/>
      <c r="B738" s="56"/>
      <c r="K738" s="56"/>
      <c r="L738" s="79"/>
      <c r="O738" s="56"/>
    </row>
    <row r="739" spans="1:15" ht="13" x14ac:dyDescent="0.15">
      <c r="A739" s="56"/>
      <c r="B739" s="56"/>
      <c r="K739" s="56"/>
      <c r="L739" s="79"/>
      <c r="O739" s="56"/>
    </row>
    <row r="740" spans="1:15" ht="13" x14ac:dyDescent="0.15">
      <c r="A740" s="56"/>
      <c r="B740" s="56"/>
      <c r="K740" s="56"/>
      <c r="L740" s="79"/>
      <c r="O740" s="56"/>
    </row>
    <row r="741" spans="1:15" ht="13" x14ac:dyDescent="0.15">
      <c r="A741" s="56"/>
      <c r="B741" s="56"/>
      <c r="K741" s="56"/>
      <c r="L741" s="79"/>
      <c r="O741" s="56"/>
    </row>
    <row r="742" spans="1:15" ht="13" x14ac:dyDescent="0.15">
      <c r="A742" s="56"/>
      <c r="B742" s="56"/>
      <c r="K742" s="56"/>
      <c r="L742" s="79"/>
      <c r="O742" s="56"/>
    </row>
    <row r="743" spans="1:15" ht="13" x14ac:dyDescent="0.15">
      <c r="A743" s="56"/>
      <c r="B743" s="56"/>
      <c r="K743" s="56"/>
      <c r="L743" s="79"/>
      <c r="O743" s="56"/>
    </row>
    <row r="744" spans="1:15" ht="13" x14ac:dyDescent="0.15">
      <c r="A744" s="56"/>
      <c r="B744" s="56"/>
      <c r="K744" s="56"/>
      <c r="L744" s="79"/>
      <c r="O744" s="56"/>
    </row>
    <row r="745" spans="1:15" ht="13" x14ac:dyDescent="0.15">
      <c r="A745" s="56"/>
      <c r="B745" s="56"/>
      <c r="K745" s="56"/>
      <c r="L745" s="79"/>
      <c r="O745" s="56"/>
    </row>
    <row r="746" spans="1:15" ht="13" x14ac:dyDescent="0.15">
      <c r="A746" s="56"/>
      <c r="B746" s="56"/>
      <c r="K746" s="56"/>
      <c r="L746" s="79"/>
      <c r="O746" s="56"/>
    </row>
    <row r="747" spans="1:15" ht="13" x14ac:dyDescent="0.15">
      <c r="A747" s="56"/>
      <c r="B747" s="56"/>
      <c r="K747" s="56"/>
      <c r="L747" s="79"/>
      <c r="O747" s="56"/>
    </row>
    <row r="748" spans="1:15" ht="13" x14ac:dyDescent="0.15">
      <c r="A748" s="56"/>
      <c r="B748" s="56"/>
      <c r="K748" s="56"/>
      <c r="L748" s="79"/>
      <c r="O748" s="56"/>
    </row>
    <row r="749" spans="1:15" ht="13" x14ac:dyDescent="0.15">
      <c r="A749" s="56"/>
      <c r="B749" s="56"/>
      <c r="K749" s="56"/>
      <c r="L749" s="79"/>
      <c r="O749" s="56"/>
    </row>
    <row r="750" spans="1:15" ht="13" x14ac:dyDescent="0.15">
      <c r="A750" s="56"/>
      <c r="B750" s="56"/>
      <c r="K750" s="56"/>
      <c r="L750" s="79"/>
      <c r="O750" s="56"/>
    </row>
    <row r="751" spans="1:15" ht="13" x14ac:dyDescent="0.15">
      <c r="A751" s="56"/>
      <c r="B751" s="56"/>
      <c r="K751" s="56"/>
      <c r="L751" s="79"/>
      <c r="O751" s="56"/>
    </row>
    <row r="752" spans="1:15" ht="13" x14ac:dyDescent="0.15">
      <c r="A752" s="56"/>
      <c r="B752" s="56"/>
      <c r="K752" s="56"/>
      <c r="L752" s="79"/>
      <c r="O752" s="56"/>
    </row>
    <row r="753" spans="1:15" ht="13" x14ac:dyDescent="0.15">
      <c r="A753" s="56"/>
      <c r="B753" s="56"/>
      <c r="K753" s="56"/>
      <c r="L753" s="79"/>
      <c r="O753" s="56"/>
    </row>
    <row r="754" spans="1:15" ht="13" x14ac:dyDescent="0.15">
      <c r="A754" s="56"/>
      <c r="B754" s="56"/>
      <c r="K754" s="56"/>
      <c r="L754" s="79"/>
      <c r="O754" s="56"/>
    </row>
    <row r="755" spans="1:15" ht="13" x14ac:dyDescent="0.15">
      <c r="A755" s="56"/>
      <c r="B755" s="56"/>
      <c r="K755" s="56"/>
      <c r="L755" s="79"/>
      <c r="O755" s="56"/>
    </row>
    <row r="756" spans="1:15" ht="13" x14ac:dyDescent="0.15">
      <c r="A756" s="56"/>
      <c r="B756" s="56"/>
      <c r="K756" s="56"/>
      <c r="L756" s="79"/>
      <c r="O756" s="56"/>
    </row>
    <row r="757" spans="1:15" ht="13" x14ac:dyDescent="0.15">
      <c r="A757" s="56"/>
      <c r="B757" s="56"/>
      <c r="K757" s="56"/>
      <c r="L757" s="79"/>
      <c r="O757" s="56"/>
    </row>
    <row r="758" spans="1:15" ht="13" x14ac:dyDescent="0.15">
      <c r="A758" s="56"/>
      <c r="B758" s="56"/>
      <c r="K758" s="56"/>
      <c r="L758" s="79"/>
      <c r="O758" s="56"/>
    </row>
    <row r="759" spans="1:15" ht="13" x14ac:dyDescent="0.15">
      <c r="A759" s="56"/>
      <c r="B759" s="56"/>
      <c r="K759" s="56"/>
      <c r="L759" s="79"/>
      <c r="O759" s="56"/>
    </row>
    <row r="760" spans="1:15" ht="13" x14ac:dyDescent="0.15">
      <c r="A760" s="56"/>
      <c r="B760" s="56"/>
      <c r="K760" s="56"/>
      <c r="L760" s="79"/>
      <c r="O760" s="56"/>
    </row>
    <row r="761" spans="1:15" ht="13" x14ac:dyDescent="0.15">
      <c r="A761" s="56"/>
      <c r="B761" s="56"/>
      <c r="K761" s="56"/>
      <c r="L761" s="79"/>
      <c r="O761" s="56"/>
    </row>
    <row r="762" spans="1:15" ht="13" x14ac:dyDescent="0.15">
      <c r="A762" s="56"/>
      <c r="B762" s="56"/>
      <c r="K762" s="56"/>
      <c r="L762" s="79"/>
      <c r="O762" s="56"/>
    </row>
    <row r="763" spans="1:15" ht="13" x14ac:dyDescent="0.15">
      <c r="A763" s="56"/>
      <c r="B763" s="56"/>
      <c r="K763" s="56"/>
      <c r="L763" s="79"/>
      <c r="O763" s="56"/>
    </row>
    <row r="764" spans="1:15" ht="13" x14ac:dyDescent="0.15">
      <c r="A764" s="56"/>
      <c r="B764" s="56"/>
      <c r="K764" s="56"/>
      <c r="L764" s="79"/>
      <c r="O764" s="56"/>
    </row>
    <row r="765" spans="1:15" ht="13" x14ac:dyDescent="0.15">
      <c r="A765" s="56"/>
      <c r="B765" s="56"/>
      <c r="K765" s="56"/>
      <c r="L765" s="79"/>
      <c r="O765" s="56"/>
    </row>
    <row r="766" spans="1:15" ht="13" x14ac:dyDescent="0.15">
      <c r="A766" s="56"/>
      <c r="B766" s="56"/>
      <c r="K766" s="56"/>
      <c r="L766" s="79"/>
      <c r="O766" s="56"/>
    </row>
    <row r="767" spans="1:15" ht="13" x14ac:dyDescent="0.15">
      <c r="A767" s="56"/>
      <c r="B767" s="56"/>
      <c r="K767" s="56"/>
      <c r="L767" s="79"/>
      <c r="O767" s="56"/>
    </row>
    <row r="768" spans="1:15" ht="13" x14ac:dyDescent="0.15">
      <c r="A768" s="56"/>
      <c r="B768" s="56"/>
      <c r="K768" s="56"/>
      <c r="L768" s="79"/>
      <c r="O768" s="56"/>
    </row>
    <row r="769" spans="1:15" ht="13" x14ac:dyDescent="0.15">
      <c r="A769" s="56"/>
      <c r="B769" s="56"/>
      <c r="K769" s="56"/>
      <c r="L769" s="79"/>
      <c r="O769" s="56"/>
    </row>
    <row r="770" spans="1:15" ht="13" x14ac:dyDescent="0.15">
      <c r="A770" s="56"/>
      <c r="B770" s="56"/>
      <c r="K770" s="56"/>
      <c r="L770" s="79"/>
      <c r="O770" s="56"/>
    </row>
    <row r="771" spans="1:15" ht="13" x14ac:dyDescent="0.15">
      <c r="A771" s="56"/>
      <c r="B771" s="56"/>
      <c r="K771" s="56"/>
      <c r="L771" s="79"/>
      <c r="O771" s="56"/>
    </row>
    <row r="772" spans="1:15" ht="13" x14ac:dyDescent="0.15">
      <c r="A772" s="56"/>
      <c r="B772" s="56"/>
      <c r="K772" s="56"/>
      <c r="L772" s="79"/>
      <c r="O772" s="56"/>
    </row>
    <row r="773" spans="1:15" ht="13" x14ac:dyDescent="0.15">
      <c r="A773" s="56"/>
      <c r="B773" s="56"/>
      <c r="K773" s="56"/>
      <c r="L773" s="79"/>
      <c r="O773" s="56"/>
    </row>
    <row r="774" spans="1:15" ht="13" x14ac:dyDescent="0.15">
      <c r="A774" s="56"/>
      <c r="B774" s="56"/>
      <c r="K774" s="56"/>
      <c r="L774" s="79"/>
      <c r="O774" s="56"/>
    </row>
    <row r="775" spans="1:15" ht="13" x14ac:dyDescent="0.15">
      <c r="A775" s="56"/>
      <c r="B775" s="56"/>
      <c r="K775" s="56"/>
      <c r="L775" s="79"/>
      <c r="O775" s="56"/>
    </row>
    <row r="776" spans="1:15" ht="13" x14ac:dyDescent="0.15">
      <c r="A776" s="56"/>
      <c r="B776" s="56"/>
      <c r="K776" s="56"/>
      <c r="L776" s="79"/>
      <c r="O776" s="56"/>
    </row>
    <row r="777" spans="1:15" ht="13" x14ac:dyDescent="0.15">
      <c r="A777" s="56"/>
      <c r="B777" s="56"/>
      <c r="K777" s="56"/>
      <c r="L777" s="79"/>
      <c r="O777" s="56"/>
    </row>
    <row r="778" spans="1:15" ht="13" x14ac:dyDescent="0.15">
      <c r="A778" s="56"/>
      <c r="B778" s="56"/>
      <c r="K778" s="56"/>
      <c r="L778" s="79"/>
      <c r="O778" s="56"/>
    </row>
    <row r="779" spans="1:15" ht="13" x14ac:dyDescent="0.15">
      <c r="A779" s="56"/>
      <c r="B779" s="56"/>
      <c r="K779" s="56"/>
      <c r="L779" s="79"/>
      <c r="O779" s="56"/>
    </row>
    <row r="780" spans="1:15" ht="13" x14ac:dyDescent="0.15">
      <c r="A780" s="56"/>
      <c r="B780" s="56"/>
      <c r="K780" s="56"/>
      <c r="L780" s="79"/>
      <c r="O780" s="56"/>
    </row>
    <row r="781" spans="1:15" ht="13" x14ac:dyDescent="0.15">
      <c r="A781" s="56"/>
      <c r="B781" s="56"/>
      <c r="K781" s="56"/>
      <c r="L781" s="79"/>
      <c r="O781" s="56"/>
    </row>
    <row r="782" spans="1:15" ht="13" x14ac:dyDescent="0.15">
      <c r="A782" s="56"/>
      <c r="B782" s="56"/>
      <c r="K782" s="56"/>
      <c r="L782" s="79"/>
      <c r="O782" s="56"/>
    </row>
    <row r="783" spans="1:15" ht="13" x14ac:dyDescent="0.15">
      <c r="A783" s="56"/>
      <c r="B783" s="56"/>
      <c r="K783" s="56"/>
      <c r="L783" s="79"/>
      <c r="O783" s="56"/>
    </row>
    <row r="784" spans="1:15" ht="13" x14ac:dyDescent="0.15">
      <c r="A784" s="56"/>
      <c r="B784" s="56"/>
      <c r="K784" s="56"/>
      <c r="L784" s="79"/>
      <c r="O784" s="56"/>
    </row>
    <row r="785" spans="1:15" ht="13" x14ac:dyDescent="0.15">
      <c r="A785" s="56"/>
      <c r="B785" s="56"/>
      <c r="K785" s="56"/>
      <c r="L785" s="79"/>
      <c r="O785" s="56"/>
    </row>
    <row r="786" spans="1:15" ht="13" x14ac:dyDescent="0.15">
      <c r="A786" s="56"/>
      <c r="B786" s="56"/>
      <c r="K786" s="56"/>
      <c r="L786" s="79"/>
      <c r="O786" s="56"/>
    </row>
    <row r="787" spans="1:15" ht="13" x14ac:dyDescent="0.15">
      <c r="A787" s="56"/>
      <c r="B787" s="56"/>
      <c r="K787" s="56"/>
      <c r="L787" s="79"/>
      <c r="O787" s="56"/>
    </row>
    <row r="788" spans="1:15" ht="13" x14ac:dyDescent="0.15">
      <c r="A788" s="56"/>
      <c r="B788" s="56"/>
      <c r="K788" s="56"/>
      <c r="L788" s="79"/>
      <c r="O788" s="56"/>
    </row>
    <row r="789" spans="1:15" ht="13" x14ac:dyDescent="0.15">
      <c r="A789" s="56"/>
      <c r="B789" s="56"/>
      <c r="K789" s="56"/>
      <c r="L789" s="79"/>
      <c r="O789" s="56"/>
    </row>
    <row r="790" spans="1:15" ht="13" x14ac:dyDescent="0.15">
      <c r="A790" s="56"/>
      <c r="B790" s="56"/>
      <c r="K790" s="56"/>
      <c r="L790" s="79"/>
      <c r="O790" s="56"/>
    </row>
    <row r="791" spans="1:15" ht="13" x14ac:dyDescent="0.15">
      <c r="A791" s="56"/>
      <c r="B791" s="56"/>
      <c r="K791" s="56"/>
      <c r="L791" s="79"/>
      <c r="O791" s="56"/>
    </row>
    <row r="792" spans="1:15" ht="13" x14ac:dyDescent="0.15">
      <c r="A792" s="56"/>
      <c r="B792" s="56"/>
      <c r="K792" s="56"/>
      <c r="L792" s="79"/>
      <c r="O792" s="56"/>
    </row>
    <row r="793" spans="1:15" ht="13" x14ac:dyDescent="0.15">
      <c r="A793" s="56"/>
      <c r="B793" s="56"/>
      <c r="K793" s="56"/>
      <c r="L793" s="79"/>
      <c r="O793" s="56"/>
    </row>
    <row r="794" spans="1:15" ht="13" x14ac:dyDescent="0.15">
      <c r="A794" s="56"/>
      <c r="B794" s="56"/>
      <c r="K794" s="56"/>
      <c r="L794" s="79"/>
      <c r="O794" s="56"/>
    </row>
    <row r="795" spans="1:15" ht="13" x14ac:dyDescent="0.15">
      <c r="A795" s="56"/>
      <c r="B795" s="56"/>
      <c r="K795" s="56"/>
      <c r="L795" s="79"/>
      <c r="O795" s="56"/>
    </row>
    <row r="796" spans="1:15" ht="13" x14ac:dyDescent="0.15">
      <c r="A796" s="56"/>
      <c r="B796" s="56"/>
      <c r="K796" s="56"/>
      <c r="L796" s="79"/>
      <c r="O796" s="56"/>
    </row>
    <row r="797" spans="1:15" ht="13" x14ac:dyDescent="0.15">
      <c r="A797" s="56"/>
      <c r="B797" s="56"/>
      <c r="K797" s="56"/>
      <c r="L797" s="79"/>
      <c r="O797" s="56"/>
    </row>
    <row r="798" spans="1:15" ht="13" x14ac:dyDescent="0.15">
      <c r="A798" s="56"/>
      <c r="B798" s="56"/>
      <c r="K798" s="56"/>
      <c r="L798" s="79"/>
      <c r="O798" s="56"/>
    </row>
    <row r="799" spans="1:15" ht="13" x14ac:dyDescent="0.15">
      <c r="A799" s="56"/>
      <c r="B799" s="56"/>
      <c r="K799" s="56"/>
      <c r="L799" s="79"/>
      <c r="O799" s="56"/>
    </row>
    <row r="800" spans="1:15" ht="13" x14ac:dyDescent="0.15">
      <c r="A800" s="56"/>
      <c r="B800" s="56"/>
      <c r="K800" s="56"/>
      <c r="L800" s="79"/>
      <c r="O800" s="56"/>
    </row>
    <row r="801" spans="1:15" ht="13" x14ac:dyDescent="0.15">
      <c r="A801" s="56"/>
      <c r="B801" s="56"/>
      <c r="K801" s="56"/>
      <c r="L801" s="79"/>
      <c r="O801" s="56"/>
    </row>
    <row r="802" spans="1:15" ht="13" x14ac:dyDescent="0.15">
      <c r="A802" s="56"/>
      <c r="B802" s="56"/>
      <c r="K802" s="56"/>
      <c r="L802" s="79"/>
      <c r="O802" s="56"/>
    </row>
    <row r="803" spans="1:15" ht="13" x14ac:dyDescent="0.15">
      <c r="A803" s="56"/>
      <c r="B803" s="56"/>
      <c r="K803" s="56"/>
      <c r="L803" s="79"/>
      <c r="O803" s="56"/>
    </row>
    <row r="804" spans="1:15" ht="13" x14ac:dyDescent="0.15">
      <c r="A804" s="56"/>
      <c r="B804" s="56"/>
      <c r="K804" s="56"/>
      <c r="L804" s="79"/>
      <c r="O804" s="56"/>
    </row>
    <row r="805" spans="1:15" ht="13" x14ac:dyDescent="0.15">
      <c r="A805" s="56"/>
      <c r="B805" s="56"/>
      <c r="K805" s="56"/>
      <c r="L805" s="79"/>
      <c r="O805" s="56"/>
    </row>
    <row r="806" spans="1:15" ht="13" x14ac:dyDescent="0.15">
      <c r="A806" s="56"/>
      <c r="B806" s="56"/>
      <c r="K806" s="56"/>
      <c r="L806" s="79"/>
      <c r="O806" s="56"/>
    </row>
    <row r="807" spans="1:15" ht="13" x14ac:dyDescent="0.15">
      <c r="A807" s="56"/>
      <c r="B807" s="56"/>
      <c r="K807" s="56"/>
      <c r="L807" s="79"/>
      <c r="O807" s="56"/>
    </row>
    <row r="808" spans="1:15" ht="13" x14ac:dyDescent="0.15">
      <c r="A808" s="56"/>
      <c r="B808" s="56"/>
      <c r="K808" s="56"/>
      <c r="L808" s="79"/>
      <c r="O808" s="56"/>
    </row>
    <row r="809" spans="1:15" ht="13" x14ac:dyDescent="0.15">
      <c r="A809" s="56"/>
      <c r="B809" s="56"/>
      <c r="K809" s="56"/>
      <c r="L809" s="79"/>
      <c r="O809" s="56"/>
    </row>
    <row r="810" spans="1:15" ht="13" x14ac:dyDescent="0.15">
      <c r="A810" s="56"/>
      <c r="B810" s="56"/>
      <c r="K810" s="56"/>
      <c r="L810" s="79"/>
      <c r="O810" s="56"/>
    </row>
    <row r="811" spans="1:15" ht="13" x14ac:dyDescent="0.15">
      <c r="A811" s="56"/>
      <c r="B811" s="56"/>
      <c r="K811" s="56"/>
      <c r="L811" s="79"/>
      <c r="O811" s="56"/>
    </row>
    <row r="812" spans="1:15" ht="13" x14ac:dyDescent="0.15">
      <c r="A812" s="56"/>
      <c r="B812" s="56"/>
      <c r="K812" s="56"/>
      <c r="L812" s="79"/>
      <c r="O812" s="56"/>
    </row>
    <row r="813" spans="1:15" ht="13" x14ac:dyDescent="0.15">
      <c r="A813" s="56"/>
      <c r="B813" s="56"/>
      <c r="K813" s="56"/>
      <c r="L813" s="79"/>
      <c r="O813" s="56"/>
    </row>
    <row r="814" spans="1:15" ht="13" x14ac:dyDescent="0.15">
      <c r="A814" s="56"/>
      <c r="B814" s="56"/>
      <c r="K814" s="56"/>
      <c r="L814" s="79"/>
      <c r="O814" s="56"/>
    </row>
    <row r="815" spans="1:15" ht="13" x14ac:dyDescent="0.15">
      <c r="A815" s="56"/>
      <c r="B815" s="56"/>
      <c r="K815" s="56"/>
      <c r="L815" s="79"/>
      <c r="O815" s="56"/>
    </row>
    <row r="816" spans="1:15" ht="13" x14ac:dyDescent="0.15">
      <c r="A816" s="56"/>
      <c r="B816" s="56"/>
      <c r="K816" s="56"/>
      <c r="L816" s="79"/>
      <c r="O816" s="56"/>
    </row>
    <row r="817" spans="1:15" ht="13" x14ac:dyDescent="0.15">
      <c r="A817" s="56"/>
      <c r="B817" s="56"/>
      <c r="K817" s="56"/>
      <c r="L817" s="79"/>
      <c r="O817" s="56"/>
    </row>
    <row r="818" spans="1:15" ht="13" x14ac:dyDescent="0.15">
      <c r="A818" s="56"/>
      <c r="B818" s="56"/>
      <c r="K818" s="56"/>
      <c r="L818" s="79"/>
      <c r="O818" s="56"/>
    </row>
    <row r="819" spans="1:15" ht="13" x14ac:dyDescent="0.15">
      <c r="A819" s="56"/>
      <c r="B819" s="56"/>
      <c r="K819" s="56"/>
      <c r="L819" s="79"/>
      <c r="O819" s="56"/>
    </row>
    <row r="820" spans="1:15" ht="13" x14ac:dyDescent="0.15">
      <c r="A820" s="56"/>
      <c r="B820" s="56"/>
      <c r="K820" s="56"/>
      <c r="L820" s="79"/>
      <c r="O820" s="56"/>
    </row>
    <row r="821" spans="1:15" ht="13" x14ac:dyDescent="0.15">
      <c r="A821" s="56"/>
      <c r="B821" s="56"/>
      <c r="K821" s="56"/>
      <c r="L821" s="79"/>
      <c r="O821" s="56"/>
    </row>
    <row r="822" spans="1:15" ht="13" x14ac:dyDescent="0.15">
      <c r="A822" s="56"/>
      <c r="B822" s="56"/>
      <c r="K822" s="56"/>
      <c r="L822" s="79"/>
      <c r="O822" s="56"/>
    </row>
    <row r="823" spans="1:15" ht="13" x14ac:dyDescent="0.15">
      <c r="A823" s="56"/>
      <c r="B823" s="56"/>
      <c r="K823" s="56"/>
      <c r="L823" s="79"/>
      <c r="O823" s="56"/>
    </row>
    <row r="824" spans="1:15" ht="13" x14ac:dyDescent="0.15">
      <c r="A824" s="56"/>
      <c r="B824" s="56"/>
      <c r="K824" s="56"/>
      <c r="L824" s="79"/>
      <c r="O824" s="56"/>
    </row>
    <row r="825" spans="1:15" ht="13" x14ac:dyDescent="0.15">
      <c r="A825" s="56"/>
      <c r="B825" s="56"/>
      <c r="K825" s="56"/>
      <c r="L825" s="79"/>
      <c r="O825" s="56"/>
    </row>
    <row r="826" spans="1:15" ht="13" x14ac:dyDescent="0.15">
      <c r="A826" s="56"/>
      <c r="B826" s="56"/>
      <c r="K826" s="56"/>
      <c r="L826" s="79"/>
      <c r="O826" s="56"/>
    </row>
    <row r="827" spans="1:15" ht="13" x14ac:dyDescent="0.15">
      <c r="A827" s="56"/>
      <c r="B827" s="56"/>
      <c r="K827" s="56"/>
      <c r="L827" s="79"/>
      <c r="O827" s="56"/>
    </row>
    <row r="828" spans="1:15" ht="13" x14ac:dyDescent="0.15">
      <c r="A828" s="56"/>
      <c r="B828" s="56"/>
      <c r="K828" s="56"/>
      <c r="L828" s="79"/>
      <c r="O828" s="56"/>
    </row>
    <row r="829" spans="1:15" ht="13" x14ac:dyDescent="0.15">
      <c r="A829" s="56"/>
      <c r="B829" s="56"/>
      <c r="K829" s="56"/>
      <c r="L829" s="79"/>
      <c r="O829" s="56"/>
    </row>
    <row r="830" spans="1:15" ht="13" x14ac:dyDescent="0.15">
      <c r="A830" s="56"/>
      <c r="B830" s="56"/>
      <c r="K830" s="56"/>
      <c r="L830" s="79"/>
      <c r="O830" s="56"/>
    </row>
    <row r="831" spans="1:15" ht="13" x14ac:dyDescent="0.15">
      <c r="A831" s="56"/>
      <c r="B831" s="56"/>
      <c r="K831" s="56"/>
      <c r="L831" s="79"/>
      <c r="O831" s="56"/>
    </row>
    <row r="832" spans="1:15" ht="13" x14ac:dyDescent="0.15">
      <c r="A832" s="56"/>
      <c r="B832" s="56"/>
      <c r="K832" s="56"/>
      <c r="L832" s="79"/>
      <c r="O832" s="56"/>
    </row>
    <row r="833" spans="1:15" ht="13" x14ac:dyDescent="0.15">
      <c r="A833" s="56"/>
      <c r="B833" s="56"/>
      <c r="K833" s="56"/>
      <c r="L833" s="79"/>
      <c r="O833" s="56"/>
    </row>
    <row r="834" spans="1:15" ht="13" x14ac:dyDescent="0.15">
      <c r="A834" s="56"/>
      <c r="B834" s="56"/>
      <c r="K834" s="56"/>
      <c r="L834" s="79"/>
      <c r="O834" s="56"/>
    </row>
    <row r="835" spans="1:15" ht="13" x14ac:dyDescent="0.15">
      <c r="A835" s="56"/>
      <c r="B835" s="56"/>
      <c r="K835" s="56"/>
      <c r="L835" s="79"/>
      <c r="O835" s="56"/>
    </row>
    <row r="836" spans="1:15" ht="13" x14ac:dyDescent="0.15">
      <c r="A836" s="56"/>
      <c r="B836" s="56"/>
      <c r="K836" s="56"/>
      <c r="L836" s="79"/>
      <c r="O836" s="56"/>
    </row>
    <row r="837" spans="1:15" ht="13" x14ac:dyDescent="0.15">
      <c r="A837" s="56"/>
      <c r="B837" s="56"/>
      <c r="K837" s="56"/>
      <c r="L837" s="79"/>
      <c r="O837" s="56"/>
    </row>
    <row r="838" spans="1:15" ht="13" x14ac:dyDescent="0.15">
      <c r="A838" s="56"/>
      <c r="B838" s="56"/>
      <c r="K838" s="56"/>
      <c r="L838" s="79"/>
      <c r="O838" s="56"/>
    </row>
    <row r="839" spans="1:15" ht="13" x14ac:dyDescent="0.15">
      <c r="A839" s="56"/>
      <c r="B839" s="56"/>
      <c r="K839" s="56"/>
      <c r="L839" s="79"/>
      <c r="O839" s="56"/>
    </row>
    <row r="840" spans="1:15" ht="13" x14ac:dyDescent="0.15">
      <c r="A840" s="56"/>
      <c r="B840" s="56"/>
      <c r="K840" s="56"/>
      <c r="L840" s="79"/>
      <c r="O840" s="56"/>
    </row>
    <row r="841" spans="1:15" ht="13" x14ac:dyDescent="0.15">
      <c r="A841" s="56"/>
      <c r="B841" s="56"/>
      <c r="K841" s="56"/>
      <c r="L841" s="79"/>
      <c r="O841" s="56"/>
    </row>
    <row r="842" spans="1:15" ht="13" x14ac:dyDescent="0.15">
      <c r="A842" s="56"/>
      <c r="B842" s="56"/>
      <c r="K842" s="56"/>
      <c r="L842" s="79"/>
      <c r="O842" s="56"/>
    </row>
    <row r="843" spans="1:15" ht="13" x14ac:dyDescent="0.15">
      <c r="A843" s="56"/>
      <c r="B843" s="56"/>
      <c r="K843" s="56"/>
      <c r="L843" s="79"/>
      <c r="O843" s="56"/>
    </row>
    <row r="844" spans="1:15" ht="13" x14ac:dyDescent="0.15">
      <c r="A844" s="56"/>
      <c r="B844" s="56"/>
      <c r="K844" s="56"/>
      <c r="L844" s="79"/>
      <c r="O844" s="56"/>
    </row>
    <row r="845" spans="1:15" ht="13" x14ac:dyDescent="0.15">
      <c r="A845" s="56"/>
      <c r="B845" s="56"/>
      <c r="K845" s="56"/>
      <c r="L845" s="79"/>
      <c r="O845" s="56"/>
    </row>
    <row r="846" spans="1:15" ht="13" x14ac:dyDescent="0.15">
      <c r="A846" s="56"/>
      <c r="B846" s="56"/>
      <c r="K846" s="56"/>
      <c r="L846" s="79"/>
      <c r="O846" s="56"/>
    </row>
    <row r="847" spans="1:15" ht="13" x14ac:dyDescent="0.15">
      <c r="A847" s="56"/>
      <c r="B847" s="56"/>
      <c r="K847" s="56"/>
      <c r="L847" s="79"/>
      <c r="O847" s="56"/>
    </row>
    <row r="848" spans="1:15" ht="13" x14ac:dyDescent="0.15">
      <c r="A848" s="56"/>
      <c r="B848" s="56"/>
      <c r="K848" s="56"/>
      <c r="L848" s="79"/>
      <c r="O848" s="56"/>
    </row>
    <row r="849" spans="1:15" ht="13" x14ac:dyDescent="0.15">
      <c r="A849" s="56"/>
      <c r="B849" s="56"/>
      <c r="K849" s="56"/>
      <c r="L849" s="79"/>
      <c r="O849" s="56"/>
    </row>
    <row r="850" spans="1:15" ht="13" x14ac:dyDescent="0.15">
      <c r="A850" s="56"/>
      <c r="B850" s="56"/>
      <c r="K850" s="56"/>
      <c r="L850" s="79"/>
      <c r="O850" s="56"/>
    </row>
    <row r="851" spans="1:15" ht="13" x14ac:dyDescent="0.15">
      <c r="A851" s="56"/>
      <c r="B851" s="56"/>
      <c r="K851" s="56"/>
      <c r="L851" s="79"/>
      <c r="O851" s="56"/>
    </row>
    <row r="852" spans="1:15" ht="13" x14ac:dyDescent="0.15">
      <c r="A852" s="56"/>
      <c r="B852" s="56"/>
      <c r="K852" s="56"/>
      <c r="L852" s="79"/>
      <c r="O852" s="56"/>
    </row>
    <row r="853" spans="1:15" ht="13" x14ac:dyDescent="0.15">
      <c r="A853" s="56"/>
      <c r="B853" s="56"/>
      <c r="K853" s="56"/>
      <c r="L853" s="79"/>
      <c r="O853" s="56"/>
    </row>
    <row r="854" spans="1:15" ht="13" x14ac:dyDescent="0.15">
      <c r="A854" s="56"/>
      <c r="B854" s="56"/>
      <c r="K854" s="56"/>
      <c r="L854" s="79"/>
      <c r="O854" s="56"/>
    </row>
    <row r="855" spans="1:15" ht="13" x14ac:dyDescent="0.15">
      <c r="A855" s="56"/>
      <c r="B855" s="56"/>
      <c r="K855" s="56"/>
      <c r="L855" s="79"/>
      <c r="O855" s="56"/>
    </row>
    <row r="856" spans="1:15" ht="13" x14ac:dyDescent="0.15">
      <c r="A856" s="56"/>
      <c r="B856" s="56"/>
      <c r="K856" s="56"/>
      <c r="L856" s="79"/>
      <c r="O856" s="56"/>
    </row>
    <row r="857" spans="1:15" ht="13" x14ac:dyDescent="0.15">
      <c r="A857" s="56"/>
      <c r="B857" s="56"/>
      <c r="K857" s="56"/>
      <c r="L857" s="79"/>
      <c r="O857" s="56"/>
    </row>
    <row r="858" spans="1:15" ht="13" x14ac:dyDescent="0.15">
      <c r="A858" s="56"/>
      <c r="B858" s="56"/>
      <c r="K858" s="56"/>
      <c r="L858" s="79"/>
      <c r="O858" s="56"/>
    </row>
    <row r="859" spans="1:15" ht="13" x14ac:dyDescent="0.15">
      <c r="A859" s="56"/>
      <c r="B859" s="56"/>
      <c r="K859" s="56"/>
      <c r="L859" s="79"/>
      <c r="O859" s="56"/>
    </row>
    <row r="860" spans="1:15" ht="13" x14ac:dyDescent="0.15">
      <c r="A860" s="56"/>
      <c r="B860" s="56"/>
      <c r="K860" s="56"/>
      <c r="L860" s="79"/>
      <c r="O860" s="56"/>
    </row>
    <row r="861" spans="1:15" ht="13" x14ac:dyDescent="0.15">
      <c r="A861" s="56"/>
      <c r="B861" s="56"/>
      <c r="K861" s="56"/>
      <c r="L861" s="79"/>
      <c r="O861" s="56"/>
    </row>
    <row r="862" spans="1:15" ht="13" x14ac:dyDescent="0.15">
      <c r="A862" s="56"/>
      <c r="B862" s="56"/>
      <c r="K862" s="56"/>
      <c r="L862" s="79"/>
      <c r="O862" s="56"/>
    </row>
    <row r="863" spans="1:15" ht="13" x14ac:dyDescent="0.15">
      <c r="A863" s="56"/>
      <c r="B863" s="56"/>
      <c r="K863" s="56"/>
      <c r="L863" s="79"/>
      <c r="O863" s="56"/>
    </row>
    <row r="864" spans="1:15" ht="13" x14ac:dyDescent="0.15">
      <c r="A864" s="56"/>
      <c r="B864" s="56"/>
      <c r="K864" s="56"/>
      <c r="L864" s="79"/>
      <c r="O864" s="56"/>
    </row>
    <row r="865" spans="1:15" ht="13" x14ac:dyDescent="0.15">
      <c r="A865" s="56"/>
      <c r="B865" s="56"/>
      <c r="K865" s="56"/>
      <c r="L865" s="79"/>
      <c r="O865" s="56"/>
    </row>
    <row r="866" spans="1:15" ht="13" x14ac:dyDescent="0.15">
      <c r="A866" s="56"/>
      <c r="B866" s="56"/>
      <c r="K866" s="56"/>
      <c r="L866" s="79"/>
      <c r="O866" s="56"/>
    </row>
    <row r="867" spans="1:15" ht="13" x14ac:dyDescent="0.15">
      <c r="A867" s="56"/>
      <c r="B867" s="56"/>
      <c r="K867" s="56"/>
      <c r="L867" s="79"/>
      <c r="O867" s="56"/>
    </row>
    <row r="868" spans="1:15" ht="13" x14ac:dyDescent="0.15">
      <c r="A868" s="56"/>
      <c r="B868" s="56"/>
      <c r="K868" s="56"/>
      <c r="L868" s="79"/>
      <c r="O868" s="56"/>
    </row>
    <row r="869" spans="1:15" ht="13" x14ac:dyDescent="0.15">
      <c r="A869" s="56"/>
      <c r="B869" s="56"/>
      <c r="K869" s="56"/>
      <c r="L869" s="79"/>
      <c r="O869" s="56"/>
    </row>
    <row r="870" spans="1:15" ht="13" x14ac:dyDescent="0.15">
      <c r="A870" s="56"/>
      <c r="B870" s="56"/>
      <c r="K870" s="56"/>
      <c r="L870" s="79"/>
      <c r="O870" s="56"/>
    </row>
    <row r="871" spans="1:15" ht="13" x14ac:dyDescent="0.15">
      <c r="A871" s="56"/>
      <c r="B871" s="56"/>
      <c r="K871" s="56"/>
      <c r="L871" s="79"/>
      <c r="O871" s="56"/>
    </row>
    <row r="872" spans="1:15" ht="13" x14ac:dyDescent="0.15">
      <c r="A872" s="56"/>
      <c r="B872" s="56"/>
      <c r="K872" s="56"/>
      <c r="L872" s="79"/>
      <c r="O872" s="56"/>
    </row>
    <row r="873" spans="1:15" ht="13" x14ac:dyDescent="0.15">
      <c r="A873" s="56"/>
      <c r="B873" s="56"/>
      <c r="K873" s="56"/>
      <c r="L873" s="79"/>
      <c r="O873" s="56"/>
    </row>
    <row r="874" spans="1:15" ht="13" x14ac:dyDescent="0.15">
      <c r="A874" s="56"/>
      <c r="B874" s="56"/>
      <c r="K874" s="56"/>
      <c r="L874" s="79"/>
      <c r="O874" s="56"/>
    </row>
    <row r="875" spans="1:15" ht="13" x14ac:dyDescent="0.15">
      <c r="A875" s="56"/>
      <c r="B875" s="56"/>
      <c r="K875" s="56"/>
      <c r="L875" s="79"/>
      <c r="O875" s="56"/>
    </row>
    <row r="876" spans="1:15" ht="13" x14ac:dyDescent="0.15">
      <c r="A876" s="56"/>
      <c r="B876" s="56"/>
      <c r="K876" s="56"/>
      <c r="L876" s="79"/>
      <c r="O876" s="56"/>
    </row>
    <row r="877" spans="1:15" ht="13" x14ac:dyDescent="0.15">
      <c r="A877" s="56"/>
      <c r="B877" s="56"/>
      <c r="K877" s="56"/>
      <c r="L877" s="79"/>
      <c r="O877" s="56"/>
    </row>
    <row r="878" spans="1:15" ht="13" x14ac:dyDescent="0.15">
      <c r="A878" s="56"/>
      <c r="B878" s="56"/>
      <c r="K878" s="56"/>
      <c r="L878" s="79"/>
      <c r="O878" s="56"/>
    </row>
    <row r="879" spans="1:15" ht="13" x14ac:dyDescent="0.15">
      <c r="A879" s="56"/>
      <c r="B879" s="56"/>
      <c r="K879" s="56"/>
      <c r="L879" s="79"/>
      <c r="O879" s="56"/>
    </row>
    <row r="880" spans="1:15" ht="13" x14ac:dyDescent="0.15">
      <c r="A880" s="56"/>
      <c r="B880" s="56"/>
      <c r="K880" s="56"/>
      <c r="L880" s="79"/>
      <c r="O880" s="56"/>
    </row>
    <row r="881" spans="1:15" ht="13" x14ac:dyDescent="0.15">
      <c r="A881" s="56"/>
      <c r="B881" s="56"/>
      <c r="K881" s="56"/>
      <c r="L881" s="79"/>
      <c r="O881" s="56"/>
    </row>
    <row r="882" spans="1:15" ht="13" x14ac:dyDescent="0.15">
      <c r="A882" s="56"/>
      <c r="B882" s="56"/>
      <c r="K882" s="56"/>
      <c r="L882" s="79"/>
      <c r="O882" s="56"/>
    </row>
    <row r="883" spans="1:15" ht="13" x14ac:dyDescent="0.15">
      <c r="A883" s="56"/>
      <c r="B883" s="56"/>
      <c r="K883" s="56"/>
      <c r="L883" s="79"/>
      <c r="O883" s="56"/>
    </row>
    <row r="884" spans="1:15" ht="13" x14ac:dyDescent="0.15">
      <c r="A884" s="56"/>
      <c r="B884" s="56"/>
      <c r="K884" s="56"/>
      <c r="L884" s="79"/>
      <c r="O884" s="56"/>
    </row>
    <row r="885" spans="1:15" ht="13" x14ac:dyDescent="0.15">
      <c r="A885" s="56"/>
      <c r="B885" s="56"/>
      <c r="K885" s="56"/>
      <c r="L885" s="79"/>
      <c r="O885" s="56"/>
    </row>
    <row r="886" spans="1:15" ht="13" x14ac:dyDescent="0.15">
      <c r="A886" s="56"/>
      <c r="B886" s="56"/>
      <c r="K886" s="56"/>
      <c r="L886" s="79"/>
      <c r="O886" s="56"/>
    </row>
    <row r="887" spans="1:15" ht="13" x14ac:dyDescent="0.15">
      <c r="A887" s="56"/>
      <c r="B887" s="56"/>
      <c r="K887" s="56"/>
      <c r="L887" s="79"/>
      <c r="O887" s="56"/>
    </row>
    <row r="888" spans="1:15" ht="13" x14ac:dyDescent="0.15">
      <c r="A888" s="56"/>
      <c r="B888" s="56"/>
      <c r="K888" s="56"/>
      <c r="L888" s="79"/>
      <c r="O888" s="56"/>
    </row>
    <row r="889" spans="1:15" ht="13" x14ac:dyDescent="0.15">
      <c r="A889" s="56"/>
      <c r="B889" s="56"/>
      <c r="K889" s="56"/>
      <c r="L889" s="79"/>
      <c r="O889" s="56"/>
    </row>
    <row r="890" spans="1:15" ht="13" x14ac:dyDescent="0.15">
      <c r="A890" s="56"/>
      <c r="B890" s="56"/>
      <c r="K890" s="56"/>
      <c r="L890" s="79"/>
      <c r="O890" s="56"/>
    </row>
    <row r="891" spans="1:15" ht="13" x14ac:dyDescent="0.15">
      <c r="A891" s="56"/>
      <c r="B891" s="56"/>
      <c r="K891" s="56"/>
      <c r="L891" s="79"/>
      <c r="O891" s="56"/>
    </row>
    <row r="892" spans="1:15" ht="13" x14ac:dyDescent="0.15">
      <c r="A892" s="56"/>
      <c r="B892" s="56"/>
      <c r="K892" s="56"/>
      <c r="L892" s="79"/>
      <c r="O892" s="56"/>
    </row>
    <row r="893" spans="1:15" ht="13" x14ac:dyDescent="0.15">
      <c r="A893" s="56"/>
      <c r="B893" s="56"/>
      <c r="K893" s="56"/>
      <c r="L893" s="79"/>
      <c r="O893" s="56"/>
    </row>
    <row r="894" spans="1:15" ht="13" x14ac:dyDescent="0.15">
      <c r="A894" s="56"/>
      <c r="B894" s="56"/>
      <c r="K894" s="56"/>
      <c r="L894" s="79"/>
      <c r="O894" s="56"/>
    </row>
    <row r="895" spans="1:15" ht="13" x14ac:dyDescent="0.15">
      <c r="A895" s="56"/>
      <c r="B895" s="56"/>
      <c r="K895" s="56"/>
      <c r="L895" s="79"/>
      <c r="O895" s="56"/>
    </row>
    <row r="896" spans="1:15" ht="13" x14ac:dyDescent="0.15">
      <c r="A896" s="56"/>
      <c r="B896" s="56"/>
      <c r="K896" s="56"/>
      <c r="L896" s="79"/>
      <c r="O896" s="56"/>
    </row>
    <row r="897" spans="1:15" ht="13" x14ac:dyDescent="0.15">
      <c r="A897" s="56"/>
      <c r="B897" s="56"/>
      <c r="K897" s="56"/>
      <c r="L897" s="79"/>
      <c r="O897" s="56"/>
    </row>
    <row r="898" spans="1:15" ht="13" x14ac:dyDescent="0.15">
      <c r="A898" s="56"/>
      <c r="B898" s="56"/>
      <c r="K898" s="56"/>
      <c r="L898" s="79"/>
      <c r="O898" s="56"/>
    </row>
    <row r="899" spans="1:15" ht="13" x14ac:dyDescent="0.15">
      <c r="A899" s="56"/>
      <c r="B899" s="56"/>
      <c r="K899" s="56"/>
      <c r="L899" s="79"/>
      <c r="O899" s="56"/>
    </row>
    <row r="900" spans="1:15" ht="13" x14ac:dyDescent="0.15">
      <c r="A900" s="56"/>
      <c r="B900" s="56"/>
      <c r="K900" s="56"/>
      <c r="L900" s="79"/>
      <c r="O900" s="56"/>
    </row>
    <row r="901" spans="1:15" ht="13" x14ac:dyDescent="0.15">
      <c r="A901" s="56"/>
      <c r="B901" s="56"/>
      <c r="K901" s="56"/>
      <c r="L901" s="79"/>
      <c r="O901" s="56"/>
    </row>
    <row r="902" spans="1:15" ht="13" x14ac:dyDescent="0.15">
      <c r="A902" s="56"/>
      <c r="B902" s="56"/>
      <c r="K902" s="56"/>
      <c r="L902" s="79"/>
      <c r="O902" s="56"/>
    </row>
    <row r="903" spans="1:15" ht="13" x14ac:dyDescent="0.15">
      <c r="A903" s="56"/>
      <c r="B903" s="56"/>
      <c r="K903" s="56"/>
      <c r="L903" s="79"/>
      <c r="O903" s="56"/>
    </row>
    <row r="904" spans="1:15" ht="13" x14ac:dyDescent="0.15">
      <c r="A904" s="56"/>
      <c r="B904" s="56"/>
      <c r="K904" s="56"/>
      <c r="L904" s="79"/>
      <c r="O904" s="56"/>
    </row>
    <row r="905" spans="1:15" ht="13" x14ac:dyDescent="0.15">
      <c r="A905" s="56"/>
      <c r="B905" s="56"/>
      <c r="K905" s="56"/>
      <c r="L905" s="79"/>
      <c r="O905" s="56"/>
    </row>
    <row r="906" spans="1:15" ht="13" x14ac:dyDescent="0.15">
      <c r="A906" s="56"/>
      <c r="B906" s="56"/>
      <c r="K906" s="56"/>
      <c r="L906" s="79"/>
      <c r="O906" s="56"/>
    </row>
    <row r="907" spans="1:15" ht="13" x14ac:dyDescent="0.15">
      <c r="A907" s="56"/>
      <c r="B907" s="56"/>
      <c r="K907" s="56"/>
      <c r="L907" s="79"/>
      <c r="O907" s="56"/>
    </row>
    <row r="908" spans="1:15" ht="13" x14ac:dyDescent="0.15">
      <c r="A908" s="56"/>
      <c r="B908" s="56"/>
      <c r="K908" s="56"/>
      <c r="L908" s="79"/>
      <c r="O908" s="56"/>
    </row>
    <row r="909" spans="1:15" ht="13" x14ac:dyDescent="0.15">
      <c r="A909" s="56"/>
      <c r="B909" s="56"/>
      <c r="K909" s="56"/>
      <c r="L909" s="79"/>
      <c r="O909" s="56"/>
    </row>
    <row r="910" spans="1:15" ht="13" x14ac:dyDescent="0.15">
      <c r="A910" s="56"/>
      <c r="B910" s="56"/>
      <c r="K910" s="56"/>
      <c r="L910" s="79"/>
      <c r="O910" s="56"/>
    </row>
    <row r="911" spans="1:15" ht="13" x14ac:dyDescent="0.15">
      <c r="A911" s="56"/>
      <c r="B911" s="56"/>
      <c r="K911" s="56"/>
      <c r="L911" s="79"/>
      <c r="O911" s="56"/>
    </row>
    <row r="912" spans="1:15" ht="13" x14ac:dyDescent="0.15">
      <c r="A912" s="56"/>
      <c r="B912" s="56"/>
      <c r="K912" s="56"/>
      <c r="L912" s="79"/>
      <c r="O912" s="56"/>
    </row>
    <row r="913" spans="1:15" ht="13" x14ac:dyDescent="0.15">
      <c r="A913" s="56"/>
      <c r="B913" s="56"/>
      <c r="K913" s="56"/>
      <c r="L913" s="79"/>
      <c r="O913" s="56"/>
    </row>
    <row r="914" spans="1:15" ht="13" x14ac:dyDescent="0.15">
      <c r="A914" s="56"/>
      <c r="B914" s="56"/>
      <c r="K914" s="56"/>
      <c r="L914" s="79"/>
      <c r="O914" s="56"/>
    </row>
    <row r="915" spans="1:15" ht="13" x14ac:dyDescent="0.15">
      <c r="A915" s="56"/>
      <c r="B915" s="56"/>
      <c r="K915" s="56"/>
      <c r="L915" s="79"/>
      <c r="O915" s="56"/>
    </row>
    <row r="916" spans="1:15" ht="13" x14ac:dyDescent="0.15">
      <c r="A916" s="56"/>
      <c r="B916" s="56"/>
      <c r="K916" s="56"/>
      <c r="L916" s="79"/>
      <c r="O916" s="56"/>
    </row>
    <row r="917" spans="1:15" ht="13" x14ac:dyDescent="0.15">
      <c r="A917" s="56"/>
      <c r="B917" s="56"/>
      <c r="K917" s="56"/>
      <c r="L917" s="79"/>
      <c r="O917" s="56"/>
    </row>
    <row r="918" spans="1:15" ht="13" x14ac:dyDescent="0.15">
      <c r="A918" s="56"/>
      <c r="B918" s="56"/>
      <c r="K918" s="56"/>
      <c r="L918" s="79"/>
      <c r="O918" s="56"/>
    </row>
    <row r="919" spans="1:15" ht="13" x14ac:dyDescent="0.15">
      <c r="A919" s="56"/>
      <c r="B919" s="56"/>
      <c r="K919" s="56"/>
      <c r="L919" s="79"/>
      <c r="O919" s="56"/>
    </row>
    <row r="920" spans="1:15" ht="13" x14ac:dyDescent="0.15">
      <c r="A920" s="56"/>
      <c r="B920" s="56"/>
      <c r="K920" s="56"/>
      <c r="L920" s="79"/>
      <c r="O920" s="56"/>
    </row>
    <row r="921" spans="1:15" ht="13" x14ac:dyDescent="0.15">
      <c r="A921" s="56"/>
      <c r="B921" s="56"/>
      <c r="K921" s="56"/>
      <c r="L921" s="79"/>
      <c r="O921" s="56"/>
    </row>
    <row r="922" spans="1:15" ht="13" x14ac:dyDescent="0.15">
      <c r="A922" s="56"/>
      <c r="B922" s="56"/>
      <c r="K922" s="56"/>
      <c r="L922" s="79"/>
      <c r="O922" s="56"/>
    </row>
    <row r="923" spans="1:15" ht="13" x14ac:dyDescent="0.15">
      <c r="A923" s="56"/>
      <c r="B923" s="56"/>
      <c r="K923" s="56"/>
      <c r="L923" s="79"/>
      <c r="O923" s="56"/>
    </row>
    <row r="924" spans="1:15" ht="13" x14ac:dyDescent="0.15">
      <c r="A924" s="56"/>
      <c r="B924" s="56"/>
      <c r="K924" s="56"/>
      <c r="L924" s="79"/>
      <c r="O924" s="56"/>
    </row>
    <row r="925" spans="1:15" ht="13" x14ac:dyDescent="0.15">
      <c r="A925" s="56"/>
      <c r="B925" s="56"/>
      <c r="K925" s="56"/>
      <c r="L925" s="79"/>
      <c r="O925" s="56"/>
    </row>
    <row r="926" spans="1:15" ht="13" x14ac:dyDescent="0.15">
      <c r="A926" s="56"/>
      <c r="B926" s="56"/>
      <c r="K926" s="56"/>
      <c r="L926" s="79"/>
      <c r="O926" s="56"/>
    </row>
    <row r="927" spans="1:15" ht="13" x14ac:dyDescent="0.15">
      <c r="A927" s="56"/>
      <c r="B927" s="56"/>
      <c r="K927" s="56"/>
      <c r="L927" s="79"/>
      <c r="O927" s="56"/>
    </row>
    <row r="928" spans="1:15" ht="13" x14ac:dyDescent="0.15">
      <c r="A928" s="56"/>
      <c r="B928" s="56"/>
      <c r="K928" s="56"/>
      <c r="L928" s="79"/>
      <c r="O928" s="56"/>
    </row>
    <row r="929" spans="1:15" ht="13" x14ac:dyDescent="0.15">
      <c r="A929" s="56"/>
      <c r="B929" s="56"/>
      <c r="K929" s="56"/>
      <c r="L929" s="79"/>
      <c r="O929" s="56"/>
    </row>
    <row r="930" spans="1:15" ht="13" x14ac:dyDescent="0.15">
      <c r="A930" s="56"/>
      <c r="B930" s="56"/>
      <c r="K930" s="56"/>
      <c r="L930" s="79"/>
      <c r="O930" s="56"/>
    </row>
    <row r="931" spans="1:15" ht="13" x14ac:dyDescent="0.15">
      <c r="A931" s="56"/>
      <c r="B931" s="56"/>
      <c r="K931" s="56"/>
      <c r="L931" s="79"/>
      <c r="O931" s="56"/>
    </row>
    <row r="932" spans="1:15" ht="13" x14ac:dyDescent="0.15">
      <c r="A932" s="56"/>
      <c r="B932" s="56"/>
      <c r="K932" s="56"/>
      <c r="L932" s="79"/>
      <c r="O932" s="56"/>
    </row>
    <row r="933" spans="1:15" ht="13" x14ac:dyDescent="0.15">
      <c r="A933" s="56"/>
      <c r="B933" s="56"/>
      <c r="K933" s="56"/>
      <c r="L933" s="79"/>
      <c r="O933" s="56"/>
    </row>
    <row r="934" spans="1:15" ht="13" x14ac:dyDescent="0.15">
      <c r="A934" s="56"/>
      <c r="B934" s="56"/>
      <c r="K934" s="56"/>
      <c r="L934" s="79"/>
      <c r="O934" s="56"/>
    </row>
    <row r="935" spans="1:15" ht="13" x14ac:dyDescent="0.15">
      <c r="A935" s="56"/>
      <c r="B935" s="56"/>
      <c r="K935" s="56"/>
      <c r="L935" s="79"/>
      <c r="O935" s="56"/>
    </row>
    <row r="936" spans="1:15" ht="13" x14ac:dyDescent="0.15">
      <c r="A936" s="56"/>
      <c r="B936" s="56"/>
      <c r="K936" s="56"/>
      <c r="L936" s="79"/>
      <c r="O936" s="56"/>
    </row>
    <row r="937" spans="1:15" ht="13" x14ac:dyDescent="0.15">
      <c r="A937" s="56"/>
      <c r="B937" s="56"/>
      <c r="K937" s="56"/>
      <c r="L937" s="79"/>
      <c r="O937" s="56"/>
    </row>
    <row r="938" spans="1:15" ht="13" x14ac:dyDescent="0.15">
      <c r="A938" s="56"/>
      <c r="B938" s="56"/>
      <c r="K938" s="56"/>
      <c r="L938" s="79"/>
      <c r="O938" s="56"/>
    </row>
    <row r="939" spans="1:15" ht="13" x14ac:dyDescent="0.15">
      <c r="A939" s="56"/>
      <c r="B939" s="56"/>
      <c r="K939" s="56"/>
      <c r="L939" s="79"/>
      <c r="O939" s="56"/>
    </row>
    <row r="940" spans="1:15" ht="13" x14ac:dyDescent="0.15">
      <c r="A940" s="56"/>
      <c r="B940" s="56"/>
      <c r="K940" s="56"/>
      <c r="L940" s="79"/>
      <c r="O940" s="56"/>
    </row>
    <row r="941" spans="1:15" ht="13" x14ac:dyDescent="0.15">
      <c r="A941" s="56"/>
      <c r="B941" s="56"/>
      <c r="K941" s="56"/>
      <c r="L941" s="79"/>
      <c r="O941" s="56"/>
    </row>
    <row r="942" spans="1:15" ht="13" x14ac:dyDescent="0.15">
      <c r="A942" s="56"/>
      <c r="B942" s="56"/>
      <c r="K942" s="56"/>
      <c r="L942" s="79"/>
      <c r="O942" s="56"/>
    </row>
    <row r="943" spans="1:15" ht="13" x14ac:dyDescent="0.15">
      <c r="A943" s="56"/>
      <c r="B943" s="56"/>
      <c r="K943" s="56"/>
      <c r="L943" s="79"/>
      <c r="O943" s="56"/>
    </row>
    <row r="944" spans="1:15" ht="13" x14ac:dyDescent="0.15">
      <c r="A944" s="56"/>
      <c r="B944" s="56"/>
      <c r="K944" s="56"/>
      <c r="L944" s="79"/>
      <c r="O944" s="56"/>
    </row>
    <row r="945" spans="1:15" ht="13" x14ac:dyDescent="0.15">
      <c r="A945" s="56"/>
      <c r="B945" s="56"/>
      <c r="K945" s="56"/>
      <c r="L945" s="79"/>
      <c r="O945" s="56"/>
    </row>
    <row r="946" spans="1:15" ht="13" x14ac:dyDescent="0.15">
      <c r="A946" s="56"/>
      <c r="B946" s="56"/>
      <c r="K946" s="56"/>
      <c r="L946" s="79"/>
      <c r="O946" s="56"/>
    </row>
    <row r="947" spans="1:15" ht="13" x14ac:dyDescent="0.15">
      <c r="A947" s="56"/>
      <c r="B947" s="56"/>
      <c r="K947" s="56"/>
      <c r="L947" s="79"/>
      <c r="O947" s="56"/>
    </row>
    <row r="948" spans="1:15" ht="13" x14ac:dyDescent="0.15">
      <c r="A948" s="56"/>
      <c r="B948" s="56"/>
      <c r="K948" s="56"/>
      <c r="L948" s="79"/>
      <c r="O948" s="56"/>
    </row>
    <row r="949" spans="1:15" ht="13" x14ac:dyDescent="0.15">
      <c r="A949" s="56"/>
      <c r="B949" s="56"/>
      <c r="K949" s="56"/>
      <c r="L949" s="79"/>
      <c r="O949" s="56"/>
    </row>
    <row r="950" spans="1:15" ht="13" x14ac:dyDescent="0.15">
      <c r="A950" s="56"/>
      <c r="B950" s="56"/>
      <c r="K950" s="56"/>
      <c r="L950" s="79"/>
      <c r="O950" s="56"/>
    </row>
    <row r="951" spans="1:15" ht="13" x14ac:dyDescent="0.15">
      <c r="A951" s="56"/>
      <c r="B951" s="56"/>
      <c r="K951" s="56"/>
      <c r="L951" s="79"/>
      <c r="O951" s="56"/>
    </row>
    <row r="952" spans="1:15" ht="13" x14ac:dyDescent="0.15">
      <c r="A952" s="56"/>
      <c r="B952" s="56"/>
      <c r="K952" s="56"/>
      <c r="L952" s="79"/>
      <c r="O952" s="56"/>
    </row>
    <row r="953" spans="1:15" ht="13" x14ac:dyDescent="0.15">
      <c r="A953" s="56"/>
      <c r="B953" s="56"/>
      <c r="K953" s="56"/>
      <c r="L953" s="79"/>
      <c r="O953" s="56"/>
    </row>
    <row r="954" spans="1:15" ht="13" x14ac:dyDescent="0.15">
      <c r="A954" s="56"/>
      <c r="B954" s="56"/>
      <c r="K954" s="56"/>
      <c r="L954" s="79"/>
      <c r="O954" s="56"/>
    </row>
    <row r="955" spans="1:15" ht="13" x14ac:dyDescent="0.15">
      <c r="A955" s="56"/>
      <c r="B955" s="56"/>
      <c r="K955" s="56"/>
      <c r="L955" s="79"/>
      <c r="O955" s="56"/>
    </row>
    <row r="956" spans="1:15" ht="13" x14ac:dyDescent="0.15">
      <c r="A956" s="56"/>
      <c r="B956" s="56"/>
      <c r="K956" s="56"/>
      <c r="L956" s="79"/>
      <c r="O956" s="56"/>
    </row>
    <row r="957" spans="1:15" ht="13" x14ac:dyDescent="0.15">
      <c r="A957" s="56"/>
      <c r="B957" s="56"/>
      <c r="K957" s="56"/>
      <c r="L957" s="79"/>
      <c r="O957" s="56"/>
    </row>
    <row r="958" spans="1:15" ht="13" x14ac:dyDescent="0.15">
      <c r="A958" s="56"/>
      <c r="B958" s="56"/>
      <c r="K958" s="56"/>
      <c r="L958" s="79"/>
      <c r="O958" s="56"/>
    </row>
    <row r="959" spans="1:15" ht="13" x14ac:dyDescent="0.15">
      <c r="A959" s="56"/>
      <c r="B959" s="56"/>
      <c r="K959" s="56"/>
      <c r="L959" s="79"/>
      <c r="O959" s="56"/>
    </row>
    <row r="960" spans="1:15" ht="13" x14ac:dyDescent="0.15">
      <c r="A960" s="56"/>
      <c r="B960" s="56"/>
      <c r="K960" s="56"/>
      <c r="L960" s="79"/>
      <c r="O960" s="56"/>
    </row>
    <row r="961" spans="1:15" ht="13" x14ac:dyDescent="0.15">
      <c r="A961" s="56"/>
      <c r="B961" s="56"/>
      <c r="K961" s="56"/>
      <c r="L961" s="79"/>
      <c r="O961" s="56"/>
    </row>
    <row r="962" spans="1:15" ht="13" x14ac:dyDescent="0.15">
      <c r="A962" s="56"/>
      <c r="B962" s="56"/>
      <c r="K962" s="56"/>
      <c r="L962" s="79"/>
      <c r="O962" s="56"/>
    </row>
    <row r="963" spans="1:15" ht="13" x14ac:dyDescent="0.15">
      <c r="A963" s="56"/>
      <c r="B963" s="56"/>
      <c r="K963" s="56"/>
      <c r="L963" s="79"/>
      <c r="O963" s="56"/>
    </row>
    <row r="964" spans="1:15" ht="13" x14ac:dyDescent="0.15">
      <c r="A964" s="56"/>
      <c r="B964" s="56"/>
      <c r="K964" s="56"/>
      <c r="L964" s="79"/>
      <c r="O964" s="56"/>
    </row>
    <row r="965" spans="1:15" ht="13" x14ac:dyDescent="0.15">
      <c r="A965" s="56"/>
      <c r="B965" s="56"/>
      <c r="K965" s="56"/>
      <c r="L965" s="79"/>
      <c r="O965" s="56"/>
    </row>
    <row r="966" spans="1:15" ht="13" x14ac:dyDescent="0.15">
      <c r="A966" s="56"/>
      <c r="B966" s="56"/>
      <c r="K966" s="56"/>
      <c r="L966" s="79"/>
      <c r="O966" s="56"/>
    </row>
    <row r="967" spans="1:15" ht="13" x14ac:dyDescent="0.15">
      <c r="A967" s="56"/>
      <c r="B967" s="56"/>
      <c r="K967" s="56"/>
      <c r="L967" s="79"/>
      <c r="O967" s="56"/>
    </row>
    <row r="968" spans="1:15" ht="13" x14ac:dyDescent="0.15">
      <c r="A968" s="56"/>
      <c r="B968" s="56"/>
      <c r="K968" s="56"/>
      <c r="L968" s="79"/>
      <c r="O968" s="56"/>
    </row>
    <row r="969" spans="1:15" ht="13" x14ac:dyDescent="0.15">
      <c r="A969" s="56"/>
      <c r="B969" s="56"/>
      <c r="K969" s="56"/>
      <c r="L969" s="79"/>
      <c r="O969" s="56"/>
    </row>
    <row r="970" spans="1:15" ht="13" x14ac:dyDescent="0.15">
      <c r="A970" s="56"/>
      <c r="B970" s="56"/>
      <c r="K970" s="56"/>
      <c r="L970" s="79"/>
      <c r="O970" s="56"/>
    </row>
    <row r="971" spans="1:15" ht="13" x14ac:dyDescent="0.15">
      <c r="A971" s="56"/>
      <c r="B971" s="56"/>
      <c r="K971" s="56"/>
      <c r="L971" s="79"/>
      <c r="O971" s="56"/>
    </row>
    <row r="972" spans="1:15" ht="13" x14ac:dyDescent="0.15">
      <c r="A972" s="56"/>
      <c r="B972" s="56"/>
      <c r="K972" s="56"/>
      <c r="L972" s="79"/>
      <c r="O972" s="56"/>
    </row>
    <row r="973" spans="1:15" ht="13" x14ac:dyDescent="0.15">
      <c r="A973" s="56"/>
      <c r="B973" s="56"/>
      <c r="K973" s="56"/>
      <c r="L973" s="79"/>
      <c r="O973" s="56"/>
    </row>
    <row r="974" spans="1:15" ht="13" x14ac:dyDescent="0.15">
      <c r="A974" s="56"/>
      <c r="B974" s="56"/>
      <c r="K974" s="56"/>
      <c r="L974" s="79"/>
      <c r="O974" s="56"/>
    </row>
    <row r="975" spans="1:15" ht="13" x14ac:dyDescent="0.15">
      <c r="A975" s="56"/>
      <c r="B975" s="56"/>
      <c r="K975" s="56"/>
      <c r="L975" s="79"/>
      <c r="O975" s="56"/>
    </row>
    <row r="976" spans="1:15" ht="13" x14ac:dyDescent="0.15">
      <c r="A976" s="56"/>
      <c r="B976" s="56"/>
      <c r="K976" s="56"/>
      <c r="L976" s="79"/>
      <c r="O976" s="56"/>
    </row>
    <row r="977" spans="1:15" ht="13" x14ac:dyDescent="0.15">
      <c r="A977" s="56"/>
      <c r="B977" s="56"/>
      <c r="K977" s="56"/>
      <c r="L977" s="79"/>
      <c r="O977" s="56"/>
    </row>
    <row r="978" spans="1:15" ht="13" x14ac:dyDescent="0.15">
      <c r="A978" s="56"/>
      <c r="B978" s="56"/>
      <c r="K978" s="56"/>
      <c r="L978" s="79"/>
      <c r="O978" s="56"/>
    </row>
    <row r="979" spans="1:15" ht="13" x14ac:dyDescent="0.15">
      <c r="A979" s="56"/>
      <c r="B979" s="56"/>
      <c r="K979" s="56"/>
      <c r="L979" s="79"/>
      <c r="O979" s="56"/>
    </row>
    <row r="980" spans="1:15" ht="13" x14ac:dyDescent="0.15">
      <c r="A980" s="56"/>
      <c r="B980" s="56"/>
      <c r="K980" s="56"/>
      <c r="L980" s="79"/>
      <c r="O980" s="56"/>
    </row>
    <row r="981" spans="1:15" ht="13" x14ac:dyDescent="0.15">
      <c r="A981" s="56"/>
      <c r="B981" s="56"/>
      <c r="K981" s="56"/>
      <c r="L981" s="79"/>
      <c r="O981" s="56"/>
    </row>
    <row r="982" spans="1:15" ht="13" x14ac:dyDescent="0.15">
      <c r="A982" s="56"/>
      <c r="B982" s="56"/>
      <c r="K982" s="56"/>
      <c r="L982" s="79"/>
      <c r="O982" s="56"/>
    </row>
    <row r="983" spans="1:15" ht="13" x14ac:dyDescent="0.15">
      <c r="A983" s="56"/>
      <c r="B983" s="56"/>
      <c r="K983" s="56"/>
      <c r="L983" s="79"/>
      <c r="O983" s="56"/>
    </row>
    <row r="984" spans="1:15" ht="13" x14ac:dyDescent="0.15">
      <c r="A984" s="56"/>
      <c r="B984" s="56"/>
      <c r="K984" s="56"/>
      <c r="L984" s="79"/>
      <c r="O984" s="56"/>
    </row>
    <row r="985" spans="1:15" ht="13" x14ac:dyDescent="0.15">
      <c r="A985" s="56"/>
      <c r="B985" s="56"/>
      <c r="K985" s="56"/>
      <c r="L985" s="79"/>
      <c r="O985" s="56"/>
    </row>
    <row r="986" spans="1:15" ht="13" x14ac:dyDescent="0.15">
      <c r="A986" s="56"/>
      <c r="B986" s="56"/>
      <c r="K986" s="56"/>
      <c r="L986" s="79"/>
      <c r="O986" s="56"/>
    </row>
    <row r="987" spans="1:15" ht="13" x14ac:dyDescent="0.15">
      <c r="A987" s="56"/>
      <c r="B987" s="56"/>
      <c r="K987" s="56"/>
      <c r="L987" s="79"/>
      <c r="O987" s="56"/>
    </row>
    <row r="988" spans="1:15" ht="13" x14ac:dyDescent="0.15">
      <c r="A988" s="56"/>
      <c r="B988" s="56"/>
      <c r="K988" s="56"/>
      <c r="L988" s="79"/>
      <c r="O988" s="56"/>
    </row>
    <row r="989" spans="1:15" ht="13" x14ac:dyDescent="0.15">
      <c r="A989" s="56"/>
      <c r="B989" s="56"/>
      <c r="K989" s="56"/>
      <c r="L989" s="79"/>
      <c r="O989" s="56"/>
    </row>
    <row r="990" spans="1:15" ht="13" x14ac:dyDescent="0.15">
      <c r="A990" s="56"/>
      <c r="B990" s="56"/>
      <c r="K990" s="56"/>
      <c r="L990" s="79"/>
      <c r="O990" s="56"/>
    </row>
    <row r="991" spans="1:15" ht="13" x14ac:dyDescent="0.15">
      <c r="A991" s="56"/>
      <c r="B991" s="56"/>
      <c r="K991" s="56"/>
      <c r="L991" s="79"/>
      <c r="O991" s="56"/>
    </row>
    <row r="992" spans="1:15" ht="13" x14ac:dyDescent="0.15">
      <c r="A992" s="56"/>
      <c r="B992" s="56"/>
      <c r="K992" s="56"/>
      <c r="L992" s="79"/>
      <c r="O992" s="56"/>
    </row>
    <row r="993" spans="1:15" ht="13" x14ac:dyDescent="0.15">
      <c r="A993" s="56"/>
      <c r="B993" s="56"/>
      <c r="K993" s="56"/>
      <c r="L993" s="79"/>
      <c r="O993" s="56"/>
    </row>
    <row r="994" spans="1:15" ht="13" x14ac:dyDescent="0.15">
      <c r="A994" s="56"/>
      <c r="B994" s="56"/>
      <c r="K994" s="56"/>
      <c r="L994" s="79"/>
      <c r="O994" s="56"/>
    </row>
    <row r="995" spans="1:15" ht="13" x14ac:dyDescent="0.15">
      <c r="A995" s="56"/>
      <c r="B995" s="56"/>
      <c r="K995" s="56"/>
      <c r="L995" s="79"/>
      <c r="O995" s="56"/>
    </row>
    <row r="996" spans="1:15" ht="13" x14ac:dyDescent="0.15">
      <c r="A996" s="56"/>
      <c r="B996" s="56"/>
      <c r="K996" s="56"/>
      <c r="L996" s="79"/>
      <c r="O996" s="56"/>
    </row>
    <row r="997" spans="1:15" ht="13" x14ac:dyDescent="0.15">
      <c r="A997" s="56"/>
      <c r="B997" s="56"/>
      <c r="K997" s="56"/>
      <c r="L997" s="79"/>
      <c r="O997" s="56"/>
    </row>
    <row r="998" spans="1:15" ht="13" x14ac:dyDescent="0.15">
      <c r="A998" s="56"/>
      <c r="B998" s="56"/>
      <c r="K998" s="56"/>
      <c r="L998" s="79"/>
      <c r="O998" s="56"/>
    </row>
  </sheetData>
  <hyperlinks>
    <hyperlink ref="M3" r:id="rId1" xr:uid="{00000000-0004-0000-0500-000000000000}"/>
    <hyperlink ref="M4" r:id="rId2" xr:uid="{00000000-0004-0000-0500-000001000000}"/>
    <hyperlink ref="M5" r:id="rId3" xr:uid="{00000000-0004-0000-0500-000002000000}"/>
    <hyperlink ref="M6" r:id="rId4" xr:uid="{00000000-0004-0000-0500-000003000000}"/>
    <hyperlink ref="M8" r:id="rId5" xr:uid="{00000000-0004-0000-0500-000004000000}"/>
    <hyperlink ref="M9" r:id="rId6" xr:uid="{00000000-0004-0000-0500-000005000000}"/>
    <hyperlink ref="M10" r:id="rId7" xr:uid="{00000000-0004-0000-0500-000006000000}"/>
  </hyperlinks>
  <pageMargins left="0.7" right="0.7" top="0.3" bottom="0.3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8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1640625" customWidth="1"/>
    <col min="2" max="2" width="18.6640625" customWidth="1"/>
    <col min="3" max="4" width="12.1640625" customWidth="1"/>
    <col min="5" max="5" width="55.33203125" customWidth="1"/>
    <col min="6" max="6" width="105.6640625" customWidth="1"/>
    <col min="7" max="7" width="33" customWidth="1"/>
    <col min="8" max="8" width="48.1640625" customWidth="1"/>
    <col min="9" max="9" width="40.6640625" customWidth="1"/>
    <col min="10" max="10" width="35.1640625" customWidth="1"/>
    <col min="11" max="11" width="25" customWidth="1"/>
    <col min="12" max="12" width="24" customWidth="1"/>
    <col min="13" max="13" width="43.6640625" customWidth="1"/>
    <col min="14" max="14" width="41.1640625" customWidth="1"/>
    <col min="15" max="15" width="28.6640625" customWidth="1"/>
    <col min="16" max="16" width="8.6640625" customWidth="1"/>
    <col min="17" max="18" width="20.1640625" customWidth="1"/>
    <col min="19" max="19" width="24.1640625" customWidth="1"/>
    <col min="20" max="20" width="18.33203125" customWidth="1"/>
    <col min="21" max="21" width="34.6640625" customWidth="1"/>
    <col min="22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80" t="s">
        <v>38</v>
      </c>
      <c r="D1" s="80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20</v>
      </c>
      <c r="B2" s="61" t="s">
        <v>774</v>
      </c>
      <c r="C2" s="62" t="s">
        <v>51</v>
      </c>
      <c r="D2" s="62" t="str">
        <f t="shared" ref="D2:D65" si="0">A2&amp;B2&amp;C2</f>
        <v>2006001</v>
      </c>
      <c r="E2" s="63" t="s">
        <v>1773</v>
      </c>
      <c r="F2" s="63" t="s">
        <v>1774</v>
      </c>
      <c r="G2" s="63" t="s">
        <v>1775</v>
      </c>
      <c r="H2" s="63" t="s">
        <v>1776</v>
      </c>
      <c r="I2" s="63" t="s">
        <v>1777</v>
      </c>
      <c r="J2" s="63"/>
      <c r="K2" s="62">
        <v>81232812201</v>
      </c>
      <c r="L2" s="62"/>
      <c r="M2" s="63"/>
      <c r="N2" s="63"/>
      <c r="O2" s="62">
        <v>20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21</v>
      </c>
      <c r="B3" s="61" t="s">
        <v>774</v>
      </c>
      <c r="C3" s="62" t="s">
        <v>60</v>
      </c>
      <c r="D3" s="62" t="str">
        <f t="shared" si="0"/>
        <v>2106002</v>
      </c>
      <c r="E3" s="63" t="s">
        <v>1778</v>
      </c>
      <c r="F3" s="63" t="s">
        <v>1779</v>
      </c>
      <c r="G3" s="63" t="s">
        <v>1780</v>
      </c>
      <c r="H3" s="63" t="s">
        <v>1781</v>
      </c>
      <c r="I3" s="63" t="s">
        <v>1782</v>
      </c>
      <c r="J3" s="63" t="s">
        <v>1783</v>
      </c>
      <c r="K3" s="62">
        <v>85706116411</v>
      </c>
      <c r="L3" s="62">
        <v>85854404030</v>
      </c>
      <c r="M3" s="151" t="s">
        <v>1784</v>
      </c>
      <c r="N3" s="63" t="s">
        <v>1785</v>
      </c>
      <c r="O3" s="62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21</v>
      </c>
      <c r="B4" s="61" t="s">
        <v>774</v>
      </c>
      <c r="C4" s="62" t="s">
        <v>68</v>
      </c>
      <c r="D4" s="62" t="str">
        <f t="shared" si="0"/>
        <v>2106003</v>
      </c>
      <c r="E4" s="63" t="s">
        <v>1786</v>
      </c>
      <c r="F4" s="63" t="s">
        <v>1787</v>
      </c>
      <c r="G4" s="63" t="s">
        <v>1788</v>
      </c>
      <c r="H4" s="63" t="s">
        <v>1789</v>
      </c>
      <c r="I4" s="63" t="s">
        <v>1790</v>
      </c>
      <c r="J4" s="63" t="s">
        <v>1791</v>
      </c>
      <c r="K4" s="62">
        <v>85335173557</v>
      </c>
      <c r="L4" s="62">
        <v>882009383511</v>
      </c>
      <c r="M4" s="151" t="s">
        <v>1792</v>
      </c>
      <c r="N4" s="63" t="s">
        <v>1793</v>
      </c>
      <c r="O4" s="6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21</v>
      </c>
      <c r="B5" s="61" t="s">
        <v>774</v>
      </c>
      <c r="C5" s="62" t="s">
        <v>76</v>
      </c>
      <c r="D5" s="62" t="str">
        <f t="shared" si="0"/>
        <v>2106004</v>
      </c>
      <c r="E5" s="63" t="s">
        <v>1794</v>
      </c>
      <c r="F5" s="63" t="s">
        <v>1795</v>
      </c>
      <c r="G5" s="63" t="s">
        <v>1788</v>
      </c>
      <c r="H5" s="63" t="s">
        <v>1796</v>
      </c>
      <c r="I5" s="63" t="s">
        <v>1797</v>
      </c>
      <c r="J5" s="63" t="s">
        <v>1798</v>
      </c>
      <c r="K5" s="62"/>
      <c r="L5" s="62">
        <v>8155042697</v>
      </c>
      <c r="M5" s="63" t="s">
        <v>1799</v>
      </c>
      <c r="N5" s="63" t="s">
        <v>1800</v>
      </c>
      <c r="O5" s="62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21</v>
      </c>
      <c r="B6" s="61" t="s">
        <v>774</v>
      </c>
      <c r="C6" s="62" t="s">
        <v>84</v>
      </c>
      <c r="D6" s="62" t="str">
        <f t="shared" si="0"/>
        <v>2106005</v>
      </c>
      <c r="E6" s="63" t="s">
        <v>1801</v>
      </c>
      <c r="F6" s="63" t="s">
        <v>1802</v>
      </c>
      <c r="G6" s="63" t="s">
        <v>1803</v>
      </c>
      <c r="H6" s="63" t="s">
        <v>1804</v>
      </c>
      <c r="I6" s="63" t="s">
        <v>1805</v>
      </c>
      <c r="J6" s="63" t="s">
        <v>1806</v>
      </c>
      <c r="K6" s="62">
        <v>85776268158</v>
      </c>
      <c r="L6" s="62"/>
      <c r="M6" s="63" t="s">
        <v>1807</v>
      </c>
      <c r="N6" s="63" t="s">
        <v>1808</v>
      </c>
      <c r="O6" s="62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21</v>
      </c>
      <c r="B7" s="61" t="s">
        <v>774</v>
      </c>
      <c r="C7" s="62" t="s">
        <v>92</v>
      </c>
      <c r="D7" s="62" t="str">
        <f t="shared" si="0"/>
        <v>2106006</v>
      </c>
      <c r="E7" s="63" t="s">
        <v>1809</v>
      </c>
      <c r="F7" s="63" t="s">
        <v>1810</v>
      </c>
      <c r="G7" s="63" t="s">
        <v>1803</v>
      </c>
      <c r="H7" s="63" t="s">
        <v>1811</v>
      </c>
      <c r="I7" s="63" t="s">
        <v>1812</v>
      </c>
      <c r="J7" s="63"/>
      <c r="K7" s="62">
        <v>85334800874</v>
      </c>
      <c r="L7" s="62"/>
      <c r="M7" s="151" t="s">
        <v>1813</v>
      </c>
      <c r="N7" s="63" t="s">
        <v>1814</v>
      </c>
      <c r="O7" s="62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21</v>
      </c>
      <c r="B8" s="61" t="s">
        <v>774</v>
      </c>
      <c r="C8" s="62" t="s">
        <v>100</v>
      </c>
      <c r="D8" s="62" t="str">
        <f t="shared" si="0"/>
        <v>2106007</v>
      </c>
      <c r="E8" s="63" t="s">
        <v>1815</v>
      </c>
      <c r="F8" s="63" t="s">
        <v>1816</v>
      </c>
      <c r="G8" s="63" t="s">
        <v>1788</v>
      </c>
      <c r="H8" s="63" t="s">
        <v>1817</v>
      </c>
      <c r="I8" s="63" t="s">
        <v>1818</v>
      </c>
      <c r="J8" s="63" t="s">
        <v>1819</v>
      </c>
      <c r="K8" s="62"/>
      <c r="L8" s="62">
        <v>85810010649</v>
      </c>
      <c r="M8" s="151" t="s">
        <v>1820</v>
      </c>
      <c r="N8" s="63" t="s">
        <v>1821</v>
      </c>
      <c r="O8" s="62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21</v>
      </c>
      <c r="B9" s="61" t="s">
        <v>774</v>
      </c>
      <c r="C9" s="62" t="s">
        <v>108</v>
      </c>
      <c r="D9" s="62" t="str">
        <f t="shared" si="0"/>
        <v>2106008</v>
      </c>
      <c r="E9" s="63" t="s">
        <v>1822</v>
      </c>
      <c r="F9" s="63" t="s">
        <v>1823</v>
      </c>
      <c r="G9" s="63" t="s">
        <v>1788</v>
      </c>
      <c r="H9" s="63" t="s">
        <v>1824</v>
      </c>
      <c r="I9" s="63" t="s">
        <v>1825</v>
      </c>
      <c r="J9" s="63"/>
      <c r="K9" s="62">
        <v>83833728901</v>
      </c>
      <c r="L9" s="62"/>
      <c r="M9" s="63"/>
      <c r="N9" s="63" t="s">
        <v>1826</v>
      </c>
      <c r="O9" s="62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21</v>
      </c>
      <c r="B10" s="61" t="s">
        <v>774</v>
      </c>
      <c r="C10" s="62" t="s">
        <v>116</v>
      </c>
      <c r="D10" s="62" t="str">
        <f t="shared" si="0"/>
        <v>2106009</v>
      </c>
      <c r="E10" s="63" t="s">
        <v>1827</v>
      </c>
      <c r="F10" s="63" t="s">
        <v>1828</v>
      </c>
      <c r="G10" s="63" t="s">
        <v>1803</v>
      </c>
      <c r="H10" s="63" t="s">
        <v>1829</v>
      </c>
      <c r="I10" s="63" t="s">
        <v>1830</v>
      </c>
      <c r="J10" s="63" t="s">
        <v>1831</v>
      </c>
      <c r="K10" s="62">
        <v>82242693527</v>
      </c>
      <c r="L10" s="62">
        <v>82139115380</v>
      </c>
      <c r="M10" s="151" t="s">
        <v>1832</v>
      </c>
      <c r="N10" s="63" t="s">
        <v>1833</v>
      </c>
      <c r="O10" s="62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21</v>
      </c>
      <c r="B11" s="61" t="s">
        <v>774</v>
      </c>
      <c r="C11" s="62" t="s">
        <v>124</v>
      </c>
      <c r="D11" s="62" t="str">
        <f t="shared" si="0"/>
        <v>2106010</v>
      </c>
      <c r="E11" s="63" t="s">
        <v>1834</v>
      </c>
      <c r="F11" s="63" t="s">
        <v>1835</v>
      </c>
      <c r="G11" s="63" t="s">
        <v>1780</v>
      </c>
      <c r="H11" s="63" t="s">
        <v>1836</v>
      </c>
      <c r="I11" s="63" t="s">
        <v>1837</v>
      </c>
      <c r="J11" s="63"/>
      <c r="K11" s="62">
        <v>85645300890</v>
      </c>
      <c r="L11" s="62"/>
      <c r="M11" s="151" t="s">
        <v>1838</v>
      </c>
      <c r="N11" s="63"/>
      <c r="O11" s="62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21</v>
      </c>
      <c r="B12" s="61" t="s">
        <v>774</v>
      </c>
      <c r="C12" s="62" t="s">
        <v>132</v>
      </c>
      <c r="D12" s="62" t="str">
        <f t="shared" si="0"/>
        <v>2106011</v>
      </c>
      <c r="E12" s="63" t="s">
        <v>1839</v>
      </c>
      <c r="F12" s="63" t="s">
        <v>1840</v>
      </c>
      <c r="G12" s="63" t="s">
        <v>1803</v>
      </c>
      <c r="H12" s="63" t="s">
        <v>1841</v>
      </c>
      <c r="I12" s="63" t="s">
        <v>1842</v>
      </c>
      <c r="J12" s="63" t="s">
        <v>1843</v>
      </c>
      <c r="K12" s="62">
        <v>83115603898</v>
      </c>
      <c r="L12" s="62" t="s">
        <v>663</v>
      </c>
      <c r="M12" s="63" t="s">
        <v>1844</v>
      </c>
      <c r="N12" s="63" t="s">
        <v>1845</v>
      </c>
      <c r="O12" s="62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21</v>
      </c>
      <c r="B13" s="61" t="s">
        <v>774</v>
      </c>
      <c r="C13" s="62" t="s">
        <v>140</v>
      </c>
      <c r="D13" s="62" t="str">
        <f t="shared" si="0"/>
        <v>2106012</v>
      </c>
      <c r="E13" s="63" t="s">
        <v>1846</v>
      </c>
      <c r="F13" s="63" t="s">
        <v>1847</v>
      </c>
      <c r="G13" s="63" t="s">
        <v>1780</v>
      </c>
      <c r="H13" s="63" t="s">
        <v>1848</v>
      </c>
      <c r="I13" s="63" t="s">
        <v>1849</v>
      </c>
      <c r="J13" s="63"/>
      <c r="K13" s="62" t="s">
        <v>1850</v>
      </c>
      <c r="L13" s="62"/>
      <c r="M13" s="151" t="s">
        <v>1851</v>
      </c>
      <c r="N13" s="63" t="s">
        <v>1852</v>
      </c>
      <c r="O13" s="62">
        <v>8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22</v>
      </c>
      <c r="B14" s="61" t="s">
        <v>774</v>
      </c>
      <c r="C14" s="62" t="s">
        <v>148</v>
      </c>
      <c r="D14" s="62" t="str">
        <f t="shared" si="0"/>
        <v>2206013</v>
      </c>
      <c r="E14" s="63" t="s">
        <v>1853</v>
      </c>
      <c r="F14" s="63" t="s">
        <v>1854</v>
      </c>
      <c r="G14" s="63" t="s">
        <v>1803</v>
      </c>
      <c r="H14" s="63" t="s">
        <v>1855</v>
      </c>
      <c r="I14" s="63" t="s">
        <v>1856</v>
      </c>
      <c r="J14" s="63" t="s">
        <v>1857</v>
      </c>
      <c r="K14" s="62">
        <v>85236556057</v>
      </c>
      <c r="L14" s="62" t="s">
        <v>1858</v>
      </c>
      <c r="M14" s="63" t="s">
        <v>1859</v>
      </c>
      <c r="N14" s="63" t="s">
        <v>1860</v>
      </c>
      <c r="O14" s="62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21</v>
      </c>
      <c r="B15" s="61" t="s">
        <v>774</v>
      </c>
      <c r="C15" s="62" t="s">
        <v>156</v>
      </c>
      <c r="D15" s="62" t="str">
        <f t="shared" si="0"/>
        <v>2106014</v>
      </c>
      <c r="E15" s="63" t="s">
        <v>1861</v>
      </c>
      <c r="F15" s="63" t="s">
        <v>1862</v>
      </c>
      <c r="G15" s="63" t="s">
        <v>1863</v>
      </c>
      <c r="H15" s="63" t="s">
        <v>1864</v>
      </c>
      <c r="I15" s="63" t="s">
        <v>1865</v>
      </c>
      <c r="J15" s="63"/>
      <c r="K15" s="62" t="s">
        <v>1866</v>
      </c>
      <c r="L15" s="62"/>
      <c r="M15" s="63"/>
      <c r="N15" s="63"/>
      <c r="O15" s="6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23"/>
    </row>
    <row r="16" spans="1:27" ht="15.75" customHeight="1" x14ac:dyDescent="0.2">
      <c r="A16" s="61">
        <v>22</v>
      </c>
      <c r="B16" s="61" t="s">
        <v>774</v>
      </c>
      <c r="C16" s="62" t="s">
        <v>164</v>
      </c>
      <c r="D16" s="62" t="str">
        <f t="shared" si="0"/>
        <v>2206015</v>
      </c>
      <c r="E16" s="63" t="s">
        <v>1867</v>
      </c>
      <c r="F16" s="63" t="s">
        <v>1868</v>
      </c>
      <c r="G16" s="63" t="s">
        <v>1863</v>
      </c>
      <c r="H16" s="63" t="s">
        <v>1869</v>
      </c>
      <c r="I16" s="63" t="s">
        <v>1870</v>
      </c>
      <c r="J16" s="63"/>
      <c r="K16" s="62" t="s">
        <v>1871</v>
      </c>
      <c r="L16" s="62"/>
      <c r="M16" s="63"/>
      <c r="N16" s="63"/>
      <c r="O16" s="62">
        <v>4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774</v>
      </c>
      <c r="C17" s="62" t="s">
        <v>173</v>
      </c>
      <c r="D17" s="62" t="str">
        <f t="shared" si="0"/>
        <v>2206016</v>
      </c>
      <c r="E17" s="63" t="s">
        <v>1872</v>
      </c>
      <c r="F17" s="63" t="s">
        <v>1873</v>
      </c>
      <c r="G17" s="63" t="s">
        <v>1863</v>
      </c>
      <c r="H17" s="63" t="s">
        <v>1874</v>
      </c>
      <c r="I17" s="63" t="s">
        <v>1875</v>
      </c>
      <c r="J17" s="63"/>
      <c r="K17" s="62" t="s">
        <v>1876</v>
      </c>
      <c r="L17" s="62"/>
      <c r="M17" s="63"/>
      <c r="N17" s="63"/>
      <c r="O17" s="62">
        <v>1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22</v>
      </c>
      <c r="B18" s="61" t="s">
        <v>774</v>
      </c>
      <c r="C18" s="62" t="s">
        <v>180</v>
      </c>
      <c r="D18" s="62" t="str">
        <f t="shared" si="0"/>
        <v>2206017</v>
      </c>
      <c r="E18" s="63" t="s">
        <v>1877</v>
      </c>
      <c r="F18" s="63" t="s">
        <v>1878</v>
      </c>
      <c r="G18" s="63" t="s">
        <v>1879</v>
      </c>
      <c r="H18" s="63" t="s">
        <v>1880</v>
      </c>
      <c r="I18" s="63" t="s">
        <v>1881</v>
      </c>
      <c r="J18" s="63"/>
      <c r="K18" s="62" t="s">
        <v>1882</v>
      </c>
      <c r="L18" s="62"/>
      <c r="M18" s="63"/>
      <c r="N18" s="63"/>
      <c r="O18" s="62">
        <v>2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22</v>
      </c>
      <c r="B19" s="61" t="s">
        <v>774</v>
      </c>
      <c r="C19" s="62" t="s">
        <v>188</v>
      </c>
      <c r="D19" s="62" t="str">
        <f t="shared" si="0"/>
        <v>2206018</v>
      </c>
      <c r="E19" s="63" t="s">
        <v>1883</v>
      </c>
      <c r="F19" s="63" t="s">
        <v>1884</v>
      </c>
      <c r="G19" s="63" t="s">
        <v>1863</v>
      </c>
      <c r="H19" s="63" t="s">
        <v>1885</v>
      </c>
      <c r="I19" s="63" t="s">
        <v>1886</v>
      </c>
      <c r="J19" s="63"/>
      <c r="K19" s="62" t="s">
        <v>1887</v>
      </c>
      <c r="L19" s="62"/>
      <c r="M19" s="63"/>
      <c r="N19" s="63"/>
      <c r="O19" s="62">
        <v>6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22</v>
      </c>
      <c r="B20" s="61" t="s">
        <v>774</v>
      </c>
      <c r="C20" s="62" t="s">
        <v>196</v>
      </c>
      <c r="D20" s="62" t="str">
        <f t="shared" si="0"/>
        <v>2206019</v>
      </c>
      <c r="E20" s="63" t="s">
        <v>1888</v>
      </c>
      <c r="F20" s="63" t="s">
        <v>1889</v>
      </c>
      <c r="G20" s="63" t="s">
        <v>1879</v>
      </c>
      <c r="H20" s="63" t="s">
        <v>1890</v>
      </c>
      <c r="I20" s="63" t="s">
        <v>1891</v>
      </c>
      <c r="J20" s="63"/>
      <c r="K20" s="152" t="s">
        <v>1892</v>
      </c>
      <c r="L20" s="62"/>
      <c r="M20" s="63"/>
      <c r="N20" s="63"/>
      <c r="O20" s="62">
        <v>3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22</v>
      </c>
      <c r="B21" s="61" t="s">
        <v>774</v>
      </c>
      <c r="C21" s="62" t="s">
        <v>204</v>
      </c>
      <c r="D21" s="62" t="str">
        <f t="shared" si="0"/>
        <v>2206020</v>
      </c>
      <c r="E21" s="63" t="s">
        <v>1893</v>
      </c>
      <c r="F21" s="63" t="s">
        <v>1894</v>
      </c>
      <c r="G21" s="63" t="s">
        <v>1879</v>
      </c>
      <c r="H21" s="63" t="s">
        <v>1895</v>
      </c>
      <c r="I21" s="63" t="s">
        <v>1896</v>
      </c>
      <c r="J21" s="63"/>
      <c r="K21" s="62" t="s">
        <v>1897</v>
      </c>
      <c r="L21" s="62"/>
      <c r="M21" s="63"/>
      <c r="N21" s="63"/>
      <c r="O21" s="62">
        <v>4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22</v>
      </c>
      <c r="B22" s="61" t="s">
        <v>774</v>
      </c>
      <c r="C22" s="62" t="s">
        <v>212</v>
      </c>
      <c r="D22" s="62" t="str">
        <f t="shared" si="0"/>
        <v>2206021</v>
      </c>
      <c r="E22" s="63" t="s">
        <v>1898</v>
      </c>
      <c r="F22" s="63" t="s">
        <v>1899</v>
      </c>
      <c r="G22" s="63" t="s">
        <v>1863</v>
      </c>
      <c r="H22" s="63" t="s">
        <v>1900</v>
      </c>
      <c r="I22" s="63" t="s">
        <v>1901</v>
      </c>
      <c r="J22" s="63"/>
      <c r="K22" s="62" t="s">
        <v>1902</v>
      </c>
      <c r="L22" s="62"/>
      <c r="M22" s="63"/>
      <c r="N22" s="63"/>
      <c r="O22" s="62">
        <v>5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22</v>
      </c>
      <c r="B23" s="61" t="s">
        <v>774</v>
      </c>
      <c r="C23" s="62" t="s">
        <v>219</v>
      </c>
      <c r="D23" s="62" t="str">
        <f t="shared" si="0"/>
        <v>2206022</v>
      </c>
      <c r="E23" s="63" t="s">
        <v>1903</v>
      </c>
      <c r="F23" s="63" t="s">
        <v>1904</v>
      </c>
      <c r="G23" s="63" t="s">
        <v>1879</v>
      </c>
      <c r="H23" s="63" t="s">
        <v>1905</v>
      </c>
      <c r="I23" s="63" t="s">
        <v>1906</v>
      </c>
      <c r="J23" s="63"/>
      <c r="K23" s="62" t="s">
        <v>1907</v>
      </c>
      <c r="L23" s="62"/>
      <c r="M23" s="63"/>
      <c r="N23" s="63"/>
      <c r="O23" s="62">
        <v>5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23</v>
      </c>
      <c r="B24" s="61" t="s">
        <v>774</v>
      </c>
      <c r="C24" s="62" t="s">
        <v>226</v>
      </c>
      <c r="D24" s="62" t="str">
        <f t="shared" si="0"/>
        <v>2306023</v>
      </c>
      <c r="E24" s="63" t="s">
        <v>1908</v>
      </c>
      <c r="F24" s="63" t="s">
        <v>1909</v>
      </c>
      <c r="G24" s="63" t="s">
        <v>1775</v>
      </c>
      <c r="H24" s="63" t="s">
        <v>1910</v>
      </c>
      <c r="I24" s="63" t="s">
        <v>1911</v>
      </c>
      <c r="J24" s="63"/>
      <c r="K24" s="62" t="s">
        <v>1912</v>
      </c>
      <c r="L24" s="62"/>
      <c r="M24" s="63"/>
      <c r="N24" s="63"/>
      <c r="O24" s="62">
        <v>5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23</v>
      </c>
      <c r="B25" s="61" t="s">
        <v>774</v>
      </c>
      <c r="C25" s="62" t="s">
        <v>234</v>
      </c>
      <c r="D25" s="62" t="str">
        <f t="shared" si="0"/>
        <v>2306024</v>
      </c>
      <c r="E25" s="63" t="s">
        <v>1913</v>
      </c>
      <c r="F25" s="63" t="s">
        <v>1914</v>
      </c>
      <c r="G25" s="63" t="s">
        <v>1879</v>
      </c>
      <c r="H25" s="63" t="s">
        <v>1915</v>
      </c>
      <c r="I25" s="63" t="s">
        <v>1916</v>
      </c>
      <c r="J25" s="63"/>
      <c r="K25" s="62" t="s">
        <v>1917</v>
      </c>
      <c r="L25" s="62"/>
      <c r="M25" s="63"/>
      <c r="N25" s="63"/>
      <c r="O25" s="62">
        <v>6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23</v>
      </c>
      <c r="B26" s="61" t="s">
        <v>774</v>
      </c>
      <c r="C26" s="62" t="s">
        <v>240</v>
      </c>
      <c r="D26" s="62" t="str">
        <f t="shared" si="0"/>
        <v>2306025</v>
      </c>
      <c r="E26" s="63" t="s">
        <v>1918</v>
      </c>
      <c r="F26" s="63" t="s">
        <v>1919</v>
      </c>
      <c r="G26" s="63" t="s">
        <v>1879</v>
      </c>
      <c r="H26" s="63" t="s">
        <v>1920</v>
      </c>
      <c r="I26" s="63" t="s">
        <v>1921</v>
      </c>
      <c r="J26" s="63"/>
      <c r="K26" s="62" t="s">
        <v>1922</v>
      </c>
      <c r="L26" s="62"/>
      <c r="M26" s="63"/>
      <c r="N26" s="63"/>
      <c r="O26" s="62">
        <v>10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23</v>
      </c>
      <c r="B27" s="61" t="s">
        <v>774</v>
      </c>
      <c r="C27" s="62" t="s">
        <v>246</v>
      </c>
      <c r="D27" s="62" t="str">
        <f t="shared" si="0"/>
        <v>2306026</v>
      </c>
      <c r="E27" s="63" t="s">
        <v>1923</v>
      </c>
      <c r="F27" s="63" t="s">
        <v>1924</v>
      </c>
      <c r="G27" s="63" t="s">
        <v>1863</v>
      </c>
      <c r="H27" s="63" t="s">
        <v>1925</v>
      </c>
      <c r="I27" s="63" t="s">
        <v>1926</v>
      </c>
      <c r="J27" s="63"/>
      <c r="K27" s="62" t="s">
        <v>1927</v>
      </c>
      <c r="L27" s="62"/>
      <c r="M27" s="63"/>
      <c r="N27" s="63"/>
      <c r="O27" s="62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23</v>
      </c>
      <c r="B28" s="61" t="s">
        <v>774</v>
      </c>
      <c r="C28" s="62" t="s">
        <v>251</v>
      </c>
      <c r="D28" s="62" t="str">
        <f t="shared" si="0"/>
        <v>2306027</v>
      </c>
      <c r="E28" s="63" t="s">
        <v>1928</v>
      </c>
      <c r="F28" s="63" t="s">
        <v>1929</v>
      </c>
      <c r="G28" s="63" t="s">
        <v>1775</v>
      </c>
      <c r="H28" s="63" t="s">
        <v>1930</v>
      </c>
      <c r="I28" s="63" t="s">
        <v>1931</v>
      </c>
      <c r="J28" s="63"/>
      <c r="K28" s="62" t="s">
        <v>1932</v>
      </c>
      <c r="L28" s="62"/>
      <c r="M28" s="63"/>
      <c r="N28" s="63" t="s">
        <v>1933</v>
      </c>
      <c r="O28" s="62">
        <v>3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23</v>
      </c>
      <c r="B29" s="61" t="s">
        <v>774</v>
      </c>
      <c r="C29" s="62" t="s">
        <v>256</v>
      </c>
      <c r="D29" s="62" t="str">
        <f t="shared" si="0"/>
        <v>2306028</v>
      </c>
      <c r="E29" s="63" t="s">
        <v>1934</v>
      </c>
      <c r="F29" s="63" t="s">
        <v>1935</v>
      </c>
      <c r="G29" s="63" t="s">
        <v>1775</v>
      </c>
      <c r="H29" s="63" t="s">
        <v>1936</v>
      </c>
      <c r="I29" s="63" t="s">
        <v>1937</v>
      </c>
      <c r="J29" s="63"/>
      <c r="K29" s="62" t="s">
        <v>1938</v>
      </c>
      <c r="L29" s="62"/>
      <c r="M29" s="63"/>
      <c r="N29" s="63" t="s">
        <v>1939</v>
      </c>
      <c r="O29" s="62">
        <v>4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23</v>
      </c>
      <c r="B30" s="61" t="s">
        <v>774</v>
      </c>
      <c r="C30" s="62" t="s">
        <v>261</v>
      </c>
      <c r="D30" s="62" t="str">
        <f t="shared" si="0"/>
        <v>2306029</v>
      </c>
      <c r="E30" s="63" t="s">
        <v>1940</v>
      </c>
      <c r="F30" s="63" t="s">
        <v>1941</v>
      </c>
      <c r="G30" s="63" t="s">
        <v>1775</v>
      </c>
      <c r="H30" s="63" t="s">
        <v>1942</v>
      </c>
      <c r="I30" s="63" t="s">
        <v>1943</v>
      </c>
      <c r="J30" s="63"/>
      <c r="K30" s="62" t="s">
        <v>1944</v>
      </c>
      <c r="L30" s="62"/>
      <c r="M30" s="63"/>
      <c r="N30" s="63" t="s">
        <v>1945</v>
      </c>
      <c r="O30" s="62">
        <v>5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23</v>
      </c>
      <c r="B31" s="61" t="s">
        <v>774</v>
      </c>
      <c r="C31" s="62" t="s">
        <v>266</v>
      </c>
      <c r="D31" s="62" t="str">
        <f t="shared" si="0"/>
        <v>2306030</v>
      </c>
      <c r="E31" s="63" t="s">
        <v>1946</v>
      </c>
      <c r="F31" s="63" t="s">
        <v>1947</v>
      </c>
      <c r="G31" s="63" t="s">
        <v>1775</v>
      </c>
      <c r="H31" s="63" t="s">
        <v>1948</v>
      </c>
      <c r="I31" s="63" t="s">
        <v>1949</v>
      </c>
      <c r="J31" s="63"/>
      <c r="K31" s="62" t="s">
        <v>1950</v>
      </c>
      <c r="L31" s="62"/>
      <c r="M31" s="63"/>
      <c r="N31" s="63"/>
      <c r="O31" s="62">
        <v>4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24</v>
      </c>
      <c r="B32" s="61" t="s">
        <v>774</v>
      </c>
      <c r="C32" s="62" t="s">
        <v>272</v>
      </c>
      <c r="D32" s="62" t="str">
        <f t="shared" si="0"/>
        <v>2406031</v>
      </c>
      <c r="E32" s="63" t="s">
        <v>1951</v>
      </c>
      <c r="F32" s="63" t="s">
        <v>1952</v>
      </c>
      <c r="G32" s="63" t="s">
        <v>1879</v>
      </c>
      <c r="H32" s="63" t="s">
        <v>1953</v>
      </c>
      <c r="I32" s="63" t="s">
        <v>1954</v>
      </c>
      <c r="J32" s="63"/>
      <c r="K32" s="62" t="s">
        <v>1955</v>
      </c>
      <c r="L32" s="62"/>
      <c r="M32" s="63"/>
      <c r="N32" s="63" t="s">
        <v>1956</v>
      </c>
      <c r="O32" s="62">
        <v>4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24</v>
      </c>
      <c r="B33" s="61" t="s">
        <v>774</v>
      </c>
      <c r="C33" s="62" t="s">
        <v>278</v>
      </c>
      <c r="D33" s="62" t="str">
        <f t="shared" si="0"/>
        <v>2406032</v>
      </c>
      <c r="E33" s="63" t="s">
        <v>1957</v>
      </c>
      <c r="F33" s="63" t="s">
        <v>1958</v>
      </c>
      <c r="G33" s="63" t="s">
        <v>1879</v>
      </c>
      <c r="H33" s="63" t="s">
        <v>1959</v>
      </c>
      <c r="I33" s="63" t="s">
        <v>1960</v>
      </c>
      <c r="J33" s="63"/>
      <c r="K33" s="62">
        <v>85850383129</v>
      </c>
      <c r="L33" s="62"/>
      <c r="M33" s="63"/>
      <c r="N33" s="63"/>
      <c r="O33" s="62">
        <v>6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24</v>
      </c>
      <c r="B34" s="61" t="s">
        <v>774</v>
      </c>
      <c r="C34" s="62" t="s">
        <v>284</v>
      </c>
      <c r="D34" s="62" t="str">
        <f t="shared" si="0"/>
        <v>2406033</v>
      </c>
      <c r="E34" s="63" t="s">
        <v>1961</v>
      </c>
      <c r="F34" s="63" t="s">
        <v>1962</v>
      </c>
      <c r="G34" s="63" t="s">
        <v>1879</v>
      </c>
      <c r="H34" s="63" t="s">
        <v>1963</v>
      </c>
      <c r="I34" s="63" t="s">
        <v>1964</v>
      </c>
      <c r="J34" s="63"/>
      <c r="K34" s="62">
        <v>85852934228</v>
      </c>
      <c r="L34" s="62"/>
      <c r="M34" s="63"/>
      <c r="N34" s="63" t="s">
        <v>1965</v>
      </c>
      <c r="O34" s="62">
        <v>5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61">
        <v>24</v>
      </c>
      <c r="B35" s="61" t="s">
        <v>774</v>
      </c>
      <c r="C35" s="62" t="s">
        <v>290</v>
      </c>
      <c r="D35" s="62" t="str">
        <f t="shared" si="0"/>
        <v>2406034</v>
      </c>
      <c r="E35" s="63" t="s">
        <v>1966</v>
      </c>
      <c r="F35" s="63" t="s">
        <v>1967</v>
      </c>
      <c r="G35" s="63" t="s">
        <v>1863</v>
      </c>
      <c r="H35" s="63" t="s">
        <v>1968</v>
      </c>
      <c r="I35" s="63" t="s">
        <v>1969</v>
      </c>
      <c r="J35" s="63"/>
      <c r="K35" s="62">
        <v>85335820776</v>
      </c>
      <c r="L35" s="62"/>
      <c r="M35" s="63"/>
      <c r="N35" s="63" t="s">
        <v>1970</v>
      </c>
      <c r="O35" s="62">
        <v>3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61">
        <v>24</v>
      </c>
      <c r="B36" s="61" t="s">
        <v>774</v>
      </c>
      <c r="C36" s="62" t="s">
        <v>296</v>
      </c>
      <c r="D36" s="62" t="str">
        <f t="shared" si="0"/>
        <v>2406035</v>
      </c>
      <c r="E36" s="63" t="s">
        <v>1971</v>
      </c>
      <c r="F36" s="63" t="s">
        <v>1972</v>
      </c>
      <c r="G36" s="63" t="s">
        <v>1879</v>
      </c>
      <c r="H36" s="63" t="s">
        <v>1973</v>
      </c>
      <c r="I36" s="63" t="s">
        <v>1974</v>
      </c>
      <c r="J36" s="63"/>
      <c r="K36" s="62">
        <v>8883174597</v>
      </c>
      <c r="L36" s="62"/>
      <c r="M36" s="63"/>
      <c r="N36" s="63" t="s">
        <v>1975</v>
      </c>
      <c r="O36" s="62">
        <v>6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61">
        <v>24</v>
      </c>
      <c r="B37" s="61" t="s">
        <v>774</v>
      </c>
      <c r="C37" s="62" t="s">
        <v>301</v>
      </c>
      <c r="D37" s="62" t="str">
        <f t="shared" si="0"/>
        <v>2406036</v>
      </c>
      <c r="E37" s="63" t="s">
        <v>1976</v>
      </c>
      <c r="F37" s="63" t="s">
        <v>1977</v>
      </c>
      <c r="G37" s="63" t="s">
        <v>1863</v>
      </c>
      <c r="H37" s="63" t="s">
        <v>1978</v>
      </c>
      <c r="I37" s="63" t="s">
        <v>1979</v>
      </c>
      <c r="J37" s="63"/>
      <c r="K37" s="62">
        <v>85812847946</v>
      </c>
      <c r="L37" s="62"/>
      <c r="M37" s="63"/>
      <c r="N37" s="63" t="s">
        <v>1980</v>
      </c>
      <c r="O37" s="62">
        <v>5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61">
        <v>24</v>
      </c>
      <c r="B38" s="61" t="s">
        <v>774</v>
      </c>
      <c r="C38" s="62" t="s">
        <v>308</v>
      </c>
      <c r="D38" s="62" t="str">
        <f t="shared" si="0"/>
        <v>2406037</v>
      </c>
      <c r="E38" s="63" t="s">
        <v>1981</v>
      </c>
      <c r="F38" s="63" t="s">
        <v>1982</v>
      </c>
      <c r="G38" s="63" t="s">
        <v>1879</v>
      </c>
      <c r="H38" s="63" t="s">
        <v>1983</v>
      </c>
      <c r="I38" s="63" t="s">
        <v>1984</v>
      </c>
      <c r="J38" s="63"/>
      <c r="K38" s="62">
        <v>89624414900</v>
      </c>
      <c r="L38" s="62"/>
      <c r="M38" s="63"/>
      <c r="N38" s="63"/>
      <c r="O38" s="62">
        <v>4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61">
        <v>24</v>
      </c>
      <c r="B39" s="61" t="s">
        <v>774</v>
      </c>
      <c r="C39" s="62" t="s">
        <v>314</v>
      </c>
      <c r="D39" s="62" t="str">
        <f t="shared" si="0"/>
        <v>2406038</v>
      </c>
      <c r="E39" s="63" t="s">
        <v>1985</v>
      </c>
      <c r="F39" s="63" t="s">
        <v>1986</v>
      </c>
      <c r="G39" s="63" t="s">
        <v>1775</v>
      </c>
      <c r="H39" s="63" t="s">
        <v>1987</v>
      </c>
      <c r="I39" s="63" t="s">
        <v>1988</v>
      </c>
      <c r="J39" s="63"/>
      <c r="K39" s="62">
        <v>87864468483</v>
      </c>
      <c r="L39" s="62"/>
      <c r="M39" s="63"/>
      <c r="N39" s="63" t="s">
        <v>1989</v>
      </c>
      <c r="O39" s="62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61">
        <v>24</v>
      </c>
      <c r="B40" s="61" t="s">
        <v>774</v>
      </c>
      <c r="C40" s="62" t="s">
        <v>320</v>
      </c>
      <c r="D40" s="62" t="str">
        <f t="shared" si="0"/>
        <v>2406039</v>
      </c>
      <c r="E40" s="63" t="s">
        <v>1990</v>
      </c>
      <c r="F40" s="63" t="s">
        <v>1991</v>
      </c>
      <c r="G40" s="63" t="s">
        <v>1775</v>
      </c>
      <c r="H40" s="63" t="s">
        <v>1992</v>
      </c>
      <c r="I40" s="63" t="s">
        <v>1993</v>
      </c>
      <c r="J40" s="63"/>
      <c r="K40" s="62">
        <v>82333491153</v>
      </c>
      <c r="L40" s="62"/>
      <c r="M40" s="63"/>
      <c r="N40" s="63"/>
      <c r="O40" s="62">
        <v>1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61">
        <v>24</v>
      </c>
      <c r="B41" s="61" t="s">
        <v>774</v>
      </c>
      <c r="C41" s="62" t="s">
        <v>326</v>
      </c>
      <c r="D41" s="62" t="str">
        <f t="shared" si="0"/>
        <v>2406040</v>
      </c>
      <c r="E41" s="63" t="s">
        <v>1994</v>
      </c>
      <c r="F41" s="63" t="s">
        <v>1995</v>
      </c>
      <c r="G41" s="63" t="s">
        <v>1775</v>
      </c>
      <c r="H41" s="63" t="s">
        <v>1996</v>
      </c>
      <c r="I41" s="63" t="s">
        <v>1997</v>
      </c>
      <c r="J41" s="63"/>
      <c r="K41" s="62">
        <v>83110846246</v>
      </c>
      <c r="L41" s="62"/>
      <c r="M41" s="63"/>
      <c r="N41" s="63" t="s">
        <v>1998</v>
      </c>
      <c r="O41" s="62">
        <v>5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61">
        <v>24</v>
      </c>
      <c r="B42" s="61" t="s">
        <v>774</v>
      </c>
      <c r="C42" s="62" t="s">
        <v>332</v>
      </c>
      <c r="D42" s="62" t="str">
        <f t="shared" si="0"/>
        <v>2406041</v>
      </c>
      <c r="E42" s="63" t="s">
        <v>1999</v>
      </c>
      <c r="F42" s="63" t="s">
        <v>2000</v>
      </c>
      <c r="G42" s="63" t="s">
        <v>1863</v>
      </c>
      <c r="H42" s="63" t="s">
        <v>2001</v>
      </c>
      <c r="I42" s="63" t="s">
        <v>2002</v>
      </c>
      <c r="J42" s="63"/>
      <c r="K42" s="62">
        <v>82228433065</v>
      </c>
      <c r="L42" s="62"/>
      <c r="M42" s="63"/>
      <c r="N42" s="63"/>
      <c r="O42" s="62" t="s">
        <v>2003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2">
      <c r="A43" s="61">
        <v>24</v>
      </c>
      <c r="B43" s="61" t="s">
        <v>774</v>
      </c>
      <c r="C43" s="62" t="s">
        <v>338</v>
      </c>
      <c r="D43" s="62" t="str">
        <f t="shared" si="0"/>
        <v>2406042</v>
      </c>
      <c r="E43" s="63" t="s">
        <v>2004</v>
      </c>
      <c r="F43" s="63" t="s">
        <v>2005</v>
      </c>
      <c r="G43" s="63" t="s">
        <v>1879</v>
      </c>
      <c r="H43" s="63" t="s">
        <v>2006</v>
      </c>
      <c r="I43" s="63" t="s">
        <v>1522</v>
      </c>
      <c r="J43" s="63"/>
      <c r="K43" s="62">
        <v>81357885358</v>
      </c>
      <c r="L43" s="62"/>
      <c r="M43" s="63"/>
      <c r="N43" s="63" t="s">
        <v>2007</v>
      </c>
      <c r="O43" s="62">
        <v>3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2">
      <c r="A44" s="61">
        <v>24</v>
      </c>
      <c r="B44" s="61" t="s">
        <v>774</v>
      </c>
      <c r="C44" s="62" t="s">
        <v>344</v>
      </c>
      <c r="D44" s="62" t="str">
        <f t="shared" si="0"/>
        <v>2406043</v>
      </c>
      <c r="E44" s="63" t="s">
        <v>2008</v>
      </c>
      <c r="F44" s="63" t="s">
        <v>2009</v>
      </c>
      <c r="G44" s="63" t="s">
        <v>1863</v>
      </c>
      <c r="H44" s="63" t="s">
        <v>2010</v>
      </c>
      <c r="I44" s="63" t="s">
        <v>2011</v>
      </c>
      <c r="J44" s="63"/>
      <c r="K44" s="62" t="s">
        <v>2012</v>
      </c>
      <c r="L44" s="62"/>
      <c r="M44" s="63"/>
      <c r="N44" s="63" t="s">
        <v>2013</v>
      </c>
      <c r="O44" s="62">
        <v>5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2">
      <c r="A45" s="61">
        <v>24</v>
      </c>
      <c r="B45" s="61" t="s">
        <v>774</v>
      </c>
      <c r="C45" s="62" t="s">
        <v>350</v>
      </c>
      <c r="D45" s="62" t="str">
        <f t="shared" si="0"/>
        <v>2406044</v>
      </c>
      <c r="E45" s="63" t="s">
        <v>2014</v>
      </c>
      <c r="F45" s="63" t="s">
        <v>2015</v>
      </c>
      <c r="G45" s="63" t="s">
        <v>1879</v>
      </c>
      <c r="H45" s="63" t="s">
        <v>2016</v>
      </c>
      <c r="I45" s="63" t="s">
        <v>2017</v>
      </c>
      <c r="J45" s="63"/>
      <c r="K45" s="62">
        <v>82139391971</v>
      </c>
      <c r="L45" s="62"/>
      <c r="M45" s="63"/>
      <c r="N45" s="63"/>
      <c r="O45" s="62">
        <v>17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2">
      <c r="A46" s="61">
        <v>24</v>
      </c>
      <c r="B46" s="61" t="s">
        <v>774</v>
      </c>
      <c r="C46" s="62" t="s">
        <v>356</v>
      </c>
      <c r="D46" s="62" t="str">
        <f t="shared" si="0"/>
        <v>2406045</v>
      </c>
      <c r="E46" s="63" t="s">
        <v>2018</v>
      </c>
      <c r="F46" s="63" t="s">
        <v>2019</v>
      </c>
      <c r="G46" s="63" t="s">
        <v>1879</v>
      </c>
      <c r="H46" s="63" t="s">
        <v>2020</v>
      </c>
      <c r="I46" s="63" t="s">
        <v>2021</v>
      </c>
      <c r="J46" s="63" t="s">
        <v>2022</v>
      </c>
      <c r="K46" s="62">
        <v>85731399141</v>
      </c>
      <c r="L46" s="62">
        <v>85706467065</v>
      </c>
      <c r="M46" s="63"/>
      <c r="N46" s="63" t="s">
        <v>2023</v>
      </c>
      <c r="O46" s="62">
        <v>1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2">
      <c r="A47" s="61">
        <v>24</v>
      </c>
      <c r="B47" s="61" t="s">
        <v>774</v>
      </c>
      <c r="C47" s="62" t="s">
        <v>362</v>
      </c>
      <c r="D47" s="62" t="str">
        <f t="shared" si="0"/>
        <v>2406046</v>
      </c>
      <c r="E47" s="63" t="s">
        <v>2024</v>
      </c>
      <c r="F47" s="63" t="s">
        <v>2025</v>
      </c>
      <c r="G47" s="63" t="s">
        <v>1879</v>
      </c>
      <c r="H47" s="63" t="s">
        <v>2026</v>
      </c>
      <c r="I47" s="63" t="s">
        <v>2027</v>
      </c>
      <c r="J47" s="63"/>
      <c r="K47" s="62">
        <v>85732590773</v>
      </c>
      <c r="L47" s="62"/>
      <c r="M47" s="63"/>
      <c r="N47" s="63" t="s">
        <v>2028</v>
      </c>
      <c r="O47" s="62">
        <v>3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2">
      <c r="A48" s="61">
        <v>24</v>
      </c>
      <c r="B48" s="61" t="s">
        <v>774</v>
      </c>
      <c r="C48" s="62" t="s">
        <v>368</v>
      </c>
      <c r="D48" s="62" t="str">
        <f t="shared" si="0"/>
        <v>2406047</v>
      </c>
      <c r="E48" s="63" t="s">
        <v>2029</v>
      </c>
      <c r="F48" s="63" t="s">
        <v>2030</v>
      </c>
      <c r="G48" s="63" t="s">
        <v>1879</v>
      </c>
      <c r="H48" s="63" t="s">
        <v>2031</v>
      </c>
      <c r="I48" s="63" t="s">
        <v>2032</v>
      </c>
      <c r="J48" s="63"/>
      <c r="K48" s="62">
        <v>85791275637</v>
      </c>
      <c r="L48" s="62"/>
      <c r="M48" s="63"/>
      <c r="N48" s="63" t="s">
        <v>2033</v>
      </c>
      <c r="O48" s="62">
        <v>3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2">
      <c r="A49" s="61">
        <v>24</v>
      </c>
      <c r="B49" s="61" t="s">
        <v>774</v>
      </c>
      <c r="C49" s="62" t="s">
        <v>374</v>
      </c>
      <c r="D49" s="62" t="str">
        <f t="shared" si="0"/>
        <v>2406048</v>
      </c>
      <c r="E49" s="63" t="s">
        <v>2034</v>
      </c>
      <c r="F49" s="63" t="s">
        <v>2035</v>
      </c>
      <c r="G49" s="63" t="s">
        <v>1775</v>
      </c>
      <c r="H49" s="63" t="s">
        <v>2036</v>
      </c>
      <c r="I49" s="63" t="s">
        <v>2037</v>
      </c>
      <c r="J49" s="63"/>
      <c r="K49" s="62" t="s">
        <v>2038</v>
      </c>
      <c r="L49" s="62"/>
      <c r="M49" s="63"/>
      <c r="N49" s="63" t="s">
        <v>2039</v>
      </c>
      <c r="O49" s="62">
        <v>4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2">
      <c r="A50" s="153">
        <v>24</v>
      </c>
      <c r="B50" s="61" t="s">
        <v>774</v>
      </c>
      <c r="C50" s="62" t="s">
        <v>380</v>
      </c>
      <c r="D50" s="62" t="str">
        <f t="shared" si="0"/>
        <v>2406049</v>
      </c>
      <c r="E50" s="63" t="s">
        <v>1541</v>
      </c>
      <c r="F50" s="63" t="s">
        <v>2040</v>
      </c>
      <c r="G50" s="63" t="s">
        <v>1775</v>
      </c>
      <c r="H50" s="63" t="s">
        <v>2041</v>
      </c>
      <c r="I50" s="63" t="s">
        <v>2042</v>
      </c>
      <c r="J50" s="63"/>
      <c r="K50" s="62" t="s">
        <v>2043</v>
      </c>
      <c r="L50" s="62"/>
      <c r="M50" s="63"/>
      <c r="N50" s="63" t="s">
        <v>2044</v>
      </c>
      <c r="O50" s="62">
        <v>5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2">
      <c r="A51" s="153">
        <v>24</v>
      </c>
      <c r="B51" s="61" t="s">
        <v>774</v>
      </c>
      <c r="C51" s="62" t="s">
        <v>386</v>
      </c>
      <c r="D51" s="62" t="str">
        <f t="shared" si="0"/>
        <v>2406050</v>
      </c>
      <c r="E51" s="54" t="s">
        <v>2045</v>
      </c>
      <c r="F51" s="54" t="s">
        <v>2046</v>
      </c>
      <c r="G51" s="54" t="s">
        <v>1775</v>
      </c>
      <c r="H51" s="54" t="s">
        <v>2047</v>
      </c>
      <c r="I51" s="54" t="s">
        <v>2048</v>
      </c>
      <c r="J51" s="54"/>
      <c r="K51" s="93" t="s">
        <v>2049</v>
      </c>
      <c r="L51" s="96"/>
      <c r="M51" s="54"/>
      <c r="N51" s="54" t="s">
        <v>2050</v>
      </c>
      <c r="O51" s="96" t="s">
        <v>2051</v>
      </c>
      <c r="R51" s="43"/>
      <c r="S51" s="43"/>
      <c r="T51" s="43"/>
      <c r="U51" s="43"/>
      <c r="V51" s="43"/>
      <c r="W51" s="43"/>
      <c r="X51" s="43"/>
      <c r="Y51" s="23"/>
      <c r="Z51" s="23"/>
      <c r="AA51" s="23"/>
    </row>
    <row r="52" spans="1:27" ht="15.75" customHeight="1" x14ac:dyDescent="0.2">
      <c r="A52" s="153">
        <v>24</v>
      </c>
      <c r="B52" s="61" t="s">
        <v>774</v>
      </c>
      <c r="C52" s="62" t="s">
        <v>392</v>
      </c>
      <c r="D52" s="62" t="str">
        <f t="shared" si="0"/>
        <v>2406051</v>
      </c>
      <c r="E52" s="54" t="s">
        <v>2052</v>
      </c>
      <c r="F52" s="54" t="s">
        <v>2053</v>
      </c>
      <c r="G52" s="54" t="s">
        <v>1863</v>
      </c>
      <c r="H52" s="54" t="s">
        <v>2054</v>
      </c>
      <c r="I52" s="54" t="s">
        <v>2055</v>
      </c>
      <c r="J52" s="54" t="s">
        <v>2056</v>
      </c>
      <c r="K52" s="96">
        <v>6285784416077</v>
      </c>
      <c r="L52" s="96">
        <v>6285784314864</v>
      </c>
      <c r="M52" s="54"/>
      <c r="N52" s="54" t="s">
        <v>2057</v>
      </c>
      <c r="O52" s="96">
        <v>10</v>
      </c>
      <c r="R52" s="43"/>
      <c r="S52" s="43"/>
      <c r="T52" s="43"/>
      <c r="U52" s="43"/>
      <c r="V52" s="43"/>
      <c r="W52" s="43"/>
      <c r="X52" s="43"/>
      <c r="Y52" s="23"/>
      <c r="Z52" s="23"/>
      <c r="AA52" s="23"/>
    </row>
    <row r="53" spans="1:27" ht="15.75" customHeight="1" x14ac:dyDescent="0.2">
      <c r="A53" s="153">
        <v>25</v>
      </c>
      <c r="B53" s="61" t="s">
        <v>774</v>
      </c>
      <c r="C53" s="62" t="s">
        <v>400</v>
      </c>
      <c r="D53" s="62" t="str">
        <f t="shared" si="0"/>
        <v>2506052</v>
      </c>
      <c r="E53" s="54" t="s">
        <v>2058</v>
      </c>
      <c r="F53" s="54" t="s">
        <v>2059</v>
      </c>
      <c r="G53" s="54" t="s">
        <v>1879</v>
      </c>
      <c r="H53" s="54" t="s">
        <v>2060</v>
      </c>
      <c r="I53" s="54" t="s">
        <v>2061</v>
      </c>
      <c r="J53" s="54"/>
      <c r="K53" s="93" t="s">
        <v>2062</v>
      </c>
      <c r="L53" s="96"/>
      <c r="M53" s="154"/>
      <c r="N53" s="54"/>
      <c r="O53" s="96">
        <v>23</v>
      </c>
      <c r="R53" s="43"/>
      <c r="S53" s="43"/>
      <c r="T53" s="43"/>
      <c r="U53" s="43"/>
      <c r="V53" s="43"/>
      <c r="W53" s="43"/>
      <c r="X53" s="43"/>
      <c r="Y53" s="23"/>
      <c r="Z53" s="23"/>
      <c r="AA53" s="23"/>
    </row>
    <row r="54" spans="1:27" ht="15.75" customHeight="1" x14ac:dyDescent="0.2">
      <c r="A54" s="153">
        <v>25</v>
      </c>
      <c r="B54" s="61" t="s">
        <v>774</v>
      </c>
      <c r="C54" s="62" t="s">
        <v>406</v>
      </c>
      <c r="D54" s="62" t="str">
        <f t="shared" si="0"/>
        <v>2506053</v>
      </c>
      <c r="E54" s="54" t="s">
        <v>2063</v>
      </c>
      <c r="F54" s="54" t="s">
        <v>2064</v>
      </c>
      <c r="G54" s="54" t="s">
        <v>1879</v>
      </c>
      <c r="H54" s="54" t="s">
        <v>2065</v>
      </c>
      <c r="I54" s="54" t="s">
        <v>2066</v>
      </c>
      <c r="J54" s="54"/>
      <c r="K54" s="93" t="s">
        <v>2067</v>
      </c>
      <c r="L54" s="96"/>
      <c r="M54" s="54"/>
      <c r="N54" s="54" t="s">
        <v>2068</v>
      </c>
      <c r="O54" s="96">
        <v>3</v>
      </c>
      <c r="R54" s="43"/>
      <c r="S54" s="43"/>
      <c r="T54" s="43"/>
      <c r="U54" s="43"/>
      <c r="V54" s="43"/>
      <c r="W54" s="43"/>
      <c r="X54" s="43"/>
      <c r="Y54" s="23"/>
      <c r="Z54" s="23"/>
      <c r="AA54" s="23"/>
    </row>
    <row r="55" spans="1:27" ht="15.75" customHeight="1" x14ac:dyDescent="0.2">
      <c r="A55" s="61">
        <v>25</v>
      </c>
      <c r="B55" s="61" t="s">
        <v>774</v>
      </c>
      <c r="C55" s="62" t="s">
        <v>412</v>
      </c>
      <c r="D55" s="62" t="str">
        <f t="shared" si="0"/>
        <v>2506054</v>
      </c>
      <c r="E55" s="54" t="s">
        <v>2069</v>
      </c>
      <c r="F55" s="54" t="s">
        <v>2070</v>
      </c>
      <c r="G55" s="54" t="s">
        <v>1879</v>
      </c>
      <c r="H55" s="54" t="s">
        <v>2071</v>
      </c>
      <c r="I55" s="54" t="s">
        <v>2072</v>
      </c>
      <c r="J55" s="54"/>
      <c r="K55" s="93" t="s">
        <v>2073</v>
      </c>
      <c r="L55" s="96"/>
      <c r="M55" s="154"/>
      <c r="N55" s="54" t="s">
        <v>2074</v>
      </c>
      <c r="O55" s="96">
        <v>15</v>
      </c>
      <c r="R55" s="43"/>
      <c r="S55" s="43"/>
      <c r="T55" s="43"/>
      <c r="U55" s="43"/>
      <c r="V55" s="43"/>
      <c r="W55" s="43"/>
      <c r="X55" s="43"/>
      <c r="Y55" s="23"/>
      <c r="Z55" s="23"/>
      <c r="AA55" s="23"/>
    </row>
    <row r="56" spans="1:27" ht="15.75" customHeight="1" x14ac:dyDescent="0.2">
      <c r="A56" s="61">
        <v>25</v>
      </c>
      <c r="B56" s="61" t="s">
        <v>774</v>
      </c>
      <c r="C56" s="62" t="s">
        <v>418</v>
      </c>
      <c r="D56" s="62" t="str">
        <f t="shared" si="0"/>
        <v>2506055</v>
      </c>
      <c r="E56" s="54" t="s">
        <v>2075</v>
      </c>
      <c r="F56" s="54" t="s">
        <v>2076</v>
      </c>
      <c r="G56" s="54" t="s">
        <v>1863</v>
      </c>
      <c r="H56" s="54" t="s">
        <v>2077</v>
      </c>
      <c r="I56" s="54" t="s">
        <v>2078</v>
      </c>
      <c r="J56" s="154"/>
      <c r="K56" s="96" t="s">
        <v>2079</v>
      </c>
      <c r="L56" s="54"/>
      <c r="M56" s="155"/>
      <c r="N56" s="54" t="s">
        <v>2080</v>
      </c>
      <c r="O56" s="96">
        <v>2</v>
      </c>
      <c r="Q56" s="43"/>
      <c r="S56" s="43"/>
      <c r="T56" s="43"/>
      <c r="U56" s="43"/>
      <c r="V56" s="43"/>
      <c r="W56" s="43"/>
      <c r="X56" s="43"/>
      <c r="Y56" s="23"/>
      <c r="Z56" s="23"/>
      <c r="AA56" s="23"/>
    </row>
    <row r="57" spans="1:27" ht="15.75" customHeight="1" x14ac:dyDescent="0.2">
      <c r="A57" s="61">
        <v>25</v>
      </c>
      <c r="B57" s="61" t="s">
        <v>774</v>
      </c>
      <c r="C57" s="62" t="s">
        <v>424</v>
      </c>
      <c r="D57" s="62" t="str">
        <f t="shared" si="0"/>
        <v>2506056</v>
      </c>
      <c r="E57" s="54" t="s">
        <v>2081</v>
      </c>
      <c r="F57" s="54" t="s">
        <v>2082</v>
      </c>
      <c r="G57" s="54" t="s">
        <v>1775</v>
      </c>
      <c r="H57" s="54" t="s">
        <v>2083</v>
      </c>
      <c r="I57" s="54" t="s">
        <v>2084</v>
      </c>
      <c r="J57" s="154"/>
      <c r="K57" s="93" t="s">
        <v>2085</v>
      </c>
      <c r="L57" s="54"/>
      <c r="M57" s="155"/>
      <c r="N57" s="54" t="s">
        <v>2086</v>
      </c>
      <c r="O57" s="96">
        <v>5</v>
      </c>
      <c r="Q57" s="43"/>
      <c r="S57" s="43"/>
      <c r="T57" s="43"/>
      <c r="U57" s="43"/>
      <c r="V57" s="43"/>
      <c r="W57" s="43"/>
      <c r="X57" s="43"/>
      <c r="Y57" s="23"/>
      <c r="Z57" s="23"/>
      <c r="AA57" s="23"/>
    </row>
    <row r="58" spans="1:27" ht="15.75" customHeight="1" x14ac:dyDescent="0.2">
      <c r="A58" s="61">
        <v>25</v>
      </c>
      <c r="B58" s="61" t="s">
        <v>774</v>
      </c>
      <c r="C58" s="62" t="s">
        <v>430</v>
      </c>
      <c r="D58" s="62" t="str">
        <f t="shared" si="0"/>
        <v>2506057</v>
      </c>
      <c r="E58" s="54" t="s">
        <v>2087</v>
      </c>
      <c r="F58" s="54" t="s">
        <v>2088</v>
      </c>
      <c r="G58" s="54" t="s">
        <v>1879</v>
      </c>
      <c r="H58" s="54" t="s">
        <v>2089</v>
      </c>
      <c r="I58" s="54" t="s">
        <v>2090</v>
      </c>
      <c r="J58" s="54"/>
      <c r="K58" s="93" t="s">
        <v>2091</v>
      </c>
      <c r="L58" s="54"/>
      <c r="M58" s="155"/>
      <c r="N58" s="54" t="s">
        <v>2092</v>
      </c>
      <c r="O58" s="96">
        <v>6</v>
      </c>
      <c r="Q58" s="43"/>
      <c r="S58" s="43"/>
      <c r="T58" s="43"/>
      <c r="U58" s="43"/>
      <c r="V58" s="43"/>
      <c r="W58" s="43"/>
      <c r="X58" s="43"/>
      <c r="Y58" s="23"/>
      <c r="Z58" s="23"/>
      <c r="AA58" s="23"/>
    </row>
    <row r="59" spans="1:27" ht="15.75" customHeight="1" x14ac:dyDescent="0.2">
      <c r="A59" s="156">
        <v>25</v>
      </c>
      <c r="B59" s="156" t="s">
        <v>774</v>
      </c>
      <c r="C59" s="157" t="s">
        <v>436</v>
      </c>
      <c r="D59" s="157" t="str">
        <f t="shared" si="0"/>
        <v>2506058</v>
      </c>
      <c r="E59" s="158" t="s">
        <v>2093</v>
      </c>
      <c r="F59" s="158" t="s">
        <v>2094</v>
      </c>
      <c r="G59" s="158" t="s">
        <v>1879</v>
      </c>
      <c r="H59" s="158" t="s">
        <v>2095</v>
      </c>
      <c r="I59" s="158" t="s">
        <v>2096</v>
      </c>
      <c r="J59" s="158"/>
      <c r="K59" s="159" t="s">
        <v>2097</v>
      </c>
      <c r="L59" s="158"/>
      <c r="M59" s="158"/>
      <c r="N59" s="158" t="s">
        <v>2098</v>
      </c>
      <c r="O59" s="160">
        <v>3</v>
      </c>
      <c r="P59" s="161"/>
      <c r="Q59" s="162"/>
      <c r="R59" s="163"/>
      <c r="S59" s="162"/>
      <c r="T59" s="161"/>
      <c r="U59" s="163"/>
      <c r="V59" s="163"/>
      <c r="W59" s="163"/>
      <c r="X59" s="163"/>
      <c r="Y59" s="163"/>
      <c r="Z59" s="163"/>
      <c r="AA59" s="163"/>
    </row>
    <row r="60" spans="1:27" ht="15.75" customHeight="1" x14ac:dyDescent="0.2">
      <c r="A60" s="61">
        <v>25</v>
      </c>
      <c r="B60" s="61" t="s">
        <v>774</v>
      </c>
      <c r="C60" s="62" t="s">
        <v>444</v>
      </c>
      <c r="D60" s="62" t="str">
        <f t="shared" si="0"/>
        <v>2506059</v>
      </c>
      <c r="E60" s="54" t="s">
        <v>2099</v>
      </c>
      <c r="F60" s="54" t="s">
        <v>2100</v>
      </c>
      <c r="G60" s="54" t="s">
        <v>1863</v>
      </c>
      <c r="H60" s="54" t="s">
        <v>2101</v>
      </c>
      <c r="I60" s="54" t="s">
        <v>2102</v>
      </c>
      <c r="J60" s="54"/>
      <c r="K60" s="93" t="s">
        <v>2103</v>
      </c>
      <c r="L60" s="54"/>
      <c r="M60" s="54"/>
      <c r="N60" s="54" t="s">
        <v>2104</v>
      </c>
      <c r="O60" s="96">
        <v>5</v>
      </c>
      <c r="P60" s="44"/>
      <c r="R60" s="43"/>
      <c r="T60" s="44"/>
      <c r="V60" s="23"/>
      <c r="W60" s="23"/>
      <c r="X60" s="23"/>
      <c r="Y60" s="23"/>
      <c r="Z60" s="23"/>
      <c r="AA60" s="23"/>
    </row>
    <row r="61" spans="1:27" ht="15.75" customHeight="1" x14ac:dyDescent="0.2">
      <c r="A61" s="61">
        <v>25</v>
      </c>
      <c r="B61" s="61" t="s">
        <v>774</v>
      </c>
      <c r="C61" s="62" t="s">
        <v>450</v>
      </c>
      <c r="D61" s="62" t="str">
        <f t="shared" si="0"/>
        <v>2506060</v>
      </c>
      <c r="E61" s="43" t="s">
        <v>2105</v>
      </c>
      <c r="F61" s="43" t="s">
        <v>2106</v>
      </c>
      <c r="G61" s="43" t="s">
        <v>1775</v>
      </c>
      <c r="H61" s="43" t="s">
        <v>2107</v>
      </c>
      <c r="I61" s="43" t="s">
        <v>2108</v>
      </c>
      <c r="J61" s="43" t="s">
        <v>2109</v>
      </c>
      <c r="K61" s="43" t="s">
        <v>2110</v>
      </c>
      <c r="L61" s="43" t="s">
        <v>2111</v>
      </c>
      <c r="M61" s="43" t="s">
        <v>653</v>
      </c>
      <c r="N61" s="43" t="s">
        <v>2110</v>
      </c>
      <c r="O61" s="43" t="s">
        <v>653</v>
      </c>
      <c r="P61" s="44">
        <v>3</v>
      </c>
      <c r="Q61" s="43" t="s">
        <v>2112</v>
      </c>
      <c r="R61" s="43" t="s">
        <v>742</v>
      </c>
      <c r="S61" s="55" t="s">
        <v>2113</v>
      </c>
      <c r="T61" s="55" t="s">
        <v>2113</v>
      </c>
      <c r="U61" s="43" t="s">
        <v>2114</v>
      </c>
      <c r="V61" s="43"/>
      <c r="W61" s="43"/>
      <c r="X61" s="43"/>
      <c r="Y61" s="43"/>
      <c r="Z61" s="43"/>
      <c r="AA61" s="43"/>
    </row>
    <row r="62" spans="1:27" ht="15.75" customHeight="1" x14ac:dyDescent="0.2">
      <c r="A62" s="61">
        <v>25</v>
      </c>
      <c r="B62" s="61" t="s">
        <v>774</v>
      </c>
      <c r="C62" s="62" t="s">
        <v>456</v>
      </c>
      <c r="D62" s="62" t="str">
        <f t="shared" si="0"/>
        <v>2506061</v>
      </c>
      <c r="E62" s="43" t="s">
        <v>2115</v>
      </c>
      <c r="F62" s="43" t="s">
        <v>2116</v>
      </c>
      <c r="G62" s="43" t="s">
        <v>1879</v>
      </c>
      <c r="H62" s="43" t="s">
        <v>2117</v>
      </c>
      <c r="I62" s="43" t="s">
        <v>2118</v>
      </c>
      <c r="J62" s="43" t="s">
        <v>2118</v>
      </c>
      <c r="K62" s="43" t="s">
        <v>2118</v>
      </c>
      <c r="L62" s="43" t="s">
        <v>2118</v>
      </c>
      <c r="M62" s="78" t="s">
        <v>2119</v>
      </c>
      <c r="N62" s="43" t="s">
        <v>2118</v>
      </c>
      <c r="O62" s="43"/>
      <c r="P62" s="44">
        <v>3</v>
      </c>
      <c r="Q62" s="43" t="s">
        <v>2120</v>
      </c>
      <c r="R62" s="43" t="s">
        <v>2121</v>
      </c>
      <c r="S62" s="55" t="s">
        <v>2122</v>
      </c>
      <c r="T62" s="44">
        <v>0</v>
      </c>
      <c r="U62" s="43" t="s">
        <v>2123</v>
      </c>
      <c r="V62" s="43"/>
      <c r="W62" s="43"/>
      <c r="X62" s="43"/>
      <c r="Y62" s="43"/>
      <c r="Z62" s="43"/>
      <c r="AA62" s="43"/>
    </row>
    <row r="63" spans="1:27" ht="15.75" customHeight="1" x14ac:dyDescent="0.2">
      <c r="A63" s="61">
        <v>25</v>
      </c>
      <c r="B63" s="61" t="s">
        <v>774</v>
      </c>
      <c r="C63" s="62" t="s">
        <v>462</v>
      </c>
      <c r="D63" s="62" t="str">
        <f t="shared" si="0"/>
        <v>2506062</v>
      </c>
      <c r="E63" s="43" t="s">
        <v>2124</v>
      </c>
      <c r="F63" s="43" t="s">
        <v>2125</v>
      </c>
      <c r="G63" s="43" t="s">
        <v>1775</v>
      </c>
      <c r="H63" s="43" t="s">
        <v>2126</v>
      </c>
      <c r="I63" s="43" t="s">
        <v>2127</v>
      </c>
      <c r="J63" s="43" t="s">
        <v>2128</v>
      </c>
      <c r="K63" s="43" t="s">
        <v>2129</v>
      </c>
      <c r="L63" s="43" t="s">
        <v>2129</v>
      </c>
      <c r="M63" s="78" t="s">
        <v>2130</v>
      </c>
      <c r="N63" s="43" t="s">
        <v>2128</v>
      </c>
      <c r="O63" s="43"/>
      <c r="P63" s="43"/>
      <c r="Q63" s="43" t="s">
        <v>2131</v>
      </c>
      <c r="R63" s="43" t="s">
        <v>2132</v>
      </c>
      <c r="S63" s="55" t="s">
        <v>2133</v>
      </c>
      <c r="T63" s="44">
        <v>0</v>
      </c>
      <c r="U63" s="43" t="s">
        <v>2134</v>
      </c>
      <c r="V63" s="43"/>
      <c r="W63" s="43"/>
      <c r="X63" s="43"/>
      <c r="Y63" s="43"/>
      <c r="Z63" s="43"/>
      <c r="AA63" s="43"/>
    </row>
    <row r="64" spans="1:27" ht="15.75" customHeight="1" x14ac:dyDescent="0.2">
      <c r="A64" s="61">
        <v>25</v>
      </c>
      <c r="B64" s="61" t="s">
        <v>774</v>
      </c>
      <c r="C64" s="62" t="s">
        <v>468</v>
      </c>
      <c r="D64" s="62" t="str">
        <f t="shared" si="0"/>
        <v>2506063</v>
      </c>
      <c r="E64" s="43" t="s">
        <v>2135</v>
      </c>
      <c r="F64" s="43" t="s">
        <v>2136</v>
      </c>
      <c r="G64" s="43" t="s">
        <v>1879</v>
      </c>
      <c r="H64" s="43" t="s">
        <v>2137</v>
      </c>
      <c r="I64" s="43" t="s">
        <v>2138</v>
      </c>
      <c r="J64" s="43" t="s">
        <v>2139</v>
      </c>
      <c r="K64" s="43" t="s">
        <v>2138</v>
      </c>
      <c r="L64" s="43" t="s">
        <v>2139</v>
      </c>
      <c r="M64" s="43" t="s">
        <v>2139</v>
      </c>
      <c r="N64" s="43" t="s">
        <v>2138</v>
      </c>
      <c r="O64" s="43" t="s">
        <v>2139</v>
      </c>
      <c r="P64" s="44">
        <v>2</v>
      </c>
      <c r="Q64" s="43" t="s">
        <v>2140</v>
      </c>
      <c r="R64" s="43" t="s">
        <v>2141</v>
      </c>
      <c r="S64" s="55" t="s">
        <v>2142</v>
      </c>
      <c r="T64" s="55" t="s">
        <v>2142</v>
      </c>
      <c r="U64" s="43" t="s">
        <v>2139</v>
      </c>
      <c r="V64" s="43"/>
      <c r="W64" s="43"/>
      <c r="X64" s="43"/>
      <c r="Y64" s="43"/>
      <c r="Z64" s="43"/>
      <c r="AA64" s="43"/>
    </row>
    <row r="65" spans="1:27" ht="15.75" customHeight="1" x14ac:dyDescent="0.2">
      <c r="A65" s="61">
        <v>25</v>
      </c>
      <c r="B65" s="61" t="s">
        <v>774</v>
      </c>
      <c r="C65" s="62" t="s">
        <v>474</v>
      </c>
      <c r="D65" s="62" t="str">
        <f t="shared" si="0"/>
        <v>2506064</v>
      </c>
      <c r="E65" s="43" t="s">
        <v>2143</v>
      </c>
      <c r="F65" s="43" t="s">
        <v>2144</v>
      </c>
      <c r="G65" s="43" t="s">
        <v>1863</v>
      </c>
      <c r="H65" s="43" t="s">
        <v>2145</v>
      </c>
      <c r="I65" s="43" t="s">
        <v>2146</v>
      </c>
      <c r="J65" s="43"/>
      <c r="K65" s="43" t="s">
        <v>2147</v>
      </c>
      <c r="L65" s="43"/>
      <c r="M65" s="43"/>
      <c r="N65" s="43" t="s">
        <v>2148</v>
      </c>
      <c r="O65" s="43"/>
      <c r="P65" s="44">
        <v>7</v>
      </c>
      <c r="Q65" s="43" t="s">
        <v>2149</v>
      </c>
      <c r="R65" s="43" t="s">
        <v>2150</v>
      </c>
      <c r="S65" s="55" t="s">
        <v>2151</v>
      </c>
      <c r="T65" s="55" t="s">
        <v>2151</v>
      </c>
      <c r="U65" s="43" t="s">
        <v>2152</v>
      </c>
      <c r="V65" s="43"/>
      <c r="W65" s="43"/>
      <c r="X65" s="43"/>
      <c r="Y65" s="43"/>
      <c r="Z65" s="43"/>
      <c r="AA65" s="4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2">
      <c r="A74" s="56"/>
      <c r="B74" s="56"/>
      <c r="C74" s="126"/>
      <c r="D74" s="126"/>
      <c r="E74" s="164"/>
      <c r="F74" s="164"/>
      <c r="G74" s="164"/>
      <c r="H74" s="164"/>
      <c r="I74" s="164"/>
      <c r="J74" s="164"/>
      <c r="K74" s="126"/>
      <c r="L74" s="126"/>
      <c r="M74" s="164"/>
      <c r="N74" s="164"/>
      <c r="O74" s="12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2">
      <c r="A75" s="56"/>
      <c r="B75" s="56"/>
      <c r="C75" s="126"/>
      <c r="D75" s="126"/>
      <c r="E75" s="164"/>
      <c r="F75" s="164"/>
      <c r="G75" s="164"/>
      <c r="H75" s="164"/>
      <c r="I75" s="164"/>
      <c r="J75" s="164"/>
      <c r="K75" s="126"/>
      <c r="L75" s="126"/>
      <c r="M75" s="164"/>
      <c r="N75" s="164"/>
      <c r="O75" s="12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23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23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23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23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23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23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.75" customHeight="1" x14ac:dyDescent="0.15">
      <c r="A242" s="56"/>
      <c r="B242" s="56"/>
      <c r="C242" s="23"/>
      <c r="D242" s="23"/>
      <c r="E242" s="23"/>
      <c r="F242" s="23"/>
      <c r="G242" s="23"/>
      <c r="H242" s="23"/>
      <c r="I242" s="23"/>
      <c r="J242" s="23"/>
      <c r="K242" s="56"/>
      <c r="L242" s="56"/>
      <c r="M242" s="23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3" x14ac:dyDescent="0.15">
      <c r="A243" s="56"/>
      <c r="B243" s="56"/>
      <c r="K243" s="56"/>
      <c r="L243" s="56"/>
      <c r="O243" s="56"/>
    </row>
    <row r="244" spans="1:27" ht="13" x14ac:dyDescent="0.15">
      <c r="A244" s="56"/>
      <c r="B244" s="56"/>
      <c r="K244" s="56"/>
      <c r="L244" s="56"/>
      <c r="O244" s="56"/>
    </row>
    <row r="245" spans="1:27" ht="13" x14ac:dyDescent="0.15">
      <c r="A245" s="56"/>
      <c r="B245" s="56"/>
      <c r="K245" s="56"/>
      <c r="L245" s="56"/>
      <c r="O245" s="56"/>
    </row>
    <row r="246" spans="1:27" ht="13" x14ac:dyDescent="0.15">
      <c r="A246" s="56"/>
      <c r="B246" s="56"/>
      <c r="K246" s="56"/>
      <c r="L246" s="56"/>
      <c r="O246" s="56"/>
    </row>
    <row r="247" spans="1:27" ht="13" x14ac:dyDescent="0.15">
      <c r="A247" s="56"/>
      <c r="B247" s="56"/>
      <c r="K247" s="56"/>
      <c r="L247" s="56"/>
      <c r="O247" s="56"/>
    </row>
    <row r="248" spans="1:27" ht="13" x14ac:dyDescent="0.15">
      <c r="A248" s="56"/>
      <c r="B248" s="56"/>
      <c r="K248" s="56"/>
      <c r="L248" s="56"/>
      <c r="O248" s="56"/>
    </row>
    <row r="249" spans="1:27" ht="13" x14ac:dyDescent="0.15">
      <c r="A249" s="56"/>
      <c r="B249" s="56"/>
      <c r="K249" s="56"/>
      <c r="L249" s="56"/>
      <c r="O249" s="56"/>
    </row>
    <row r="250" spans="1:27" ht="13" x14ac:dyDescent="0.15">
      <c r="A250" s="56"/>
      <c r="B250" s="56"/>
      <c r="K250" s="56"/>
      <c r="L250" s="56"/>
      <c r="O250" s="56"/>
    </row>
    <row r="251" spans="1:27" ht="13" x14ac:dyDescent="0.15">
      <c r="A251" s="56"/>
      <c r="B251" s="56"/>
      <c r="K251" s="56"/>
      <c r="L251" s="56"/>
      <c r="O251" s="56"/>
    </row>
    <row r="252" spans="1:27" ht="13" x14ac:dyDescent="0.15">
      <c r="A252" s="56"/>
      <c r="B252" s="56"/>
      <c r="K252" s="56"/>
      <c r="L252" s="56"/>
      <c r="O252" s="56"/>
    </row>
    <row r="253" spans="1:27" ht="13" x14ac:dyDescent="0.15">
      <c r="A253" s="56"/>
      <c r="B253" s="56"/>
      <c r="K253" s="56"/>
      <c r="L253" s="56"/>
      <c r="O253" s="56"/>
    </row>
    <row r="254" spans="1:27" ht="13" x14ac:dyDescent="0.15">
      <c r="A254" s="56"/>
      <c r="B254" s="56"/>
      <c r="K254" s="56"/>
      <c r="L254" s="56"/>
      <c r="O254" s="56"/>
    </row>
    <row r="255" spans="1:27" ht="13" x14ac:dyDescent="0.15">
      <c r="A255" s="56"/>
      <c r="B255" s="56"/>
      <c r="K255" s="56"/>
      <c r="L255" s="56"/>
      <c r="O255" s="56"/>
    </row>
    <row r="256" spans="1:27" ht="13" x14ac:dyDescent="0.15">
      <c r="A256" s="56"/>
      <c r="B256" s="56"/>
      <c r="K256" s="56"/>
      <c r="L256" s="56"/>
      <c r="O256" s="56"/>
    </row>
    <row r="257" spans="1:15" ht="13" x14ac:dyDescent="0.15">
      <c r="A257" s="56"/>
      <c r="B257" s="56"/>
      <c r="K257" s="56"/>
      <c r="L257" s="56"/>
      <c r="O257" s="56"/>
    </row>
    <row r="258" spans="1:15" ht="13" x14ac:dyDescent="0.15">
      <c r="A258" s="56"/>
      <c r="B258" s="56"/>
      <c r="K258" s="56"/>
      <c r="L258" s="56"/>
      <c r="O258" s="56"/>
    </row>
    <row r="259" spans="1:15" ht="13" x14ac:dyDescent="0.15">
      <c r="A259" s="56"/>
      <c r="B259" s="56"/>
      <c r="K259" s="56"/>
      <c r="L259" s="56"/>
      <c r="O259" s="56"/>
    </row>
    <row r="260" spans="1:15" ht="13" x14ac:dyDescent="0.15">
      <c r="A260" s="56"/>
      <c r="B260" s="56"/>
      <c r="K260" s="56"/>
      <c r="L260" s="56"/>
      <c r="O260" s="56"/>
    </row>
    <row r="261" spans="1:15" ht="13" x14ac:dyDescent="0.15">
      <c r="A261" s="56"/>
      <c r="B261" s="56"/>
      <c r="K261" s="56"/>
      <c r="L261" s="56"/>
      <c r="O261" s="56"/>
    </row>
    <row r="262" spans="1:15" ht="13" x14ac:dyDescent="0.15">
      <c r="A262" s="56"/>
      <c r="B262" s="56"/>
      <c r="K262" s="56"/>
      <c r="L262" s="56"/>
      <c r="O262" s="56"/>
    </row>
    <row r="263" spans="1:15" ht="13" x14ac:dyDescent="0.15">
      <c r="A263" s="56"/>
      <c r="B263" s="56"/>
      <c r="K263" s="56"/>
      <c r="L263" s="56"/>
      <c r="O263" s="56"/>
    </row>
    <row r="264" spans="1:15" ht="13" x14ac:dyDescent="0.15">
      <c r="A264" s="56"/>
      <c r="B264" s="56"/>
      <c r="K264" s="56"/>
      <c r="L264" s="56"/>
      <c r="O264" s="56"/>
    </row>
    <row r="265" spans="1:15" ht="13" x14ac:dyDescent="0.15">
      <c r="A265" s="56"/>
      <c r="B265" s="56"/>
      <c r="K265" s="56"/>
      <c r="L265" s="56"/>
      <c r="O265" s="56"/>
    </row>
    <row r="266" spans="1:15" ht="13" x14ac:dyDescent="0.15">
      <c r="A266" s="56"/>
      <c r="B266" s="56"/>
      <c r="K266" s="56"/>
      <c r="L266" s="56"/>
      <c r="O266" s="56"/>
    </row>
    <row r="267" spans="1:15" ht="13" x14ac:dyDescent="0.15">
      <c r="A267" s="56"/>
      <c r="B267" s="56"/>
      <c r="K267" s="56"/>
      <c r="L267" s="56"/>
      <c r="O267" s="56"/>
    </row>
    <row r="268" spans="1:15" ht="13" x14ac:dyDescent="0.15">
      <c r="A268" s="56"/>
      <c r="B268" s="56"/>
      <c r="K268" s="56"/>
      <c r="L268" s="56"/>
      <c r="O268" s="56"/>
    </row>
    <row r="269" spans="1:15" ht="13" x14ac:dyDescent="0.15">
      <c r="A269" s="56"/>
      <c r="B269" s="56"/>
      <c r="K269" s="56"/>
      <c r="L269" s="56"/>
      <c r="O269" s="56"/>
    </row>
    <row r="270" spans="1:15" ht="13" x14ac:dyDescent="0.15">
      <c r="A270" s="56"/>
      <c r="B270" s="56"/>
      <c r="K270" s="56"/>
      <c r="L270" s="56"/>
      <c r="O270" s="56"/>
    </row>
    <row r="271" spans="1:15" ht="13" x14ac:dyDescent="0.15">
      <c r="A271" s="56"/>
      <c r="B271" s="56"/>
      <c r="K271" s="56"/>
      <c r="L271" s="56"/>
      <c r="O271" s="56"/>
    </row>
    <row r="272" spans="1:15" ht="13" x14ac:dyDescent="0.15">
      <c r="A272" s="56"/>
      <c r="B272" s="56"/>
      <c r="K272" s="56"/>
      <c r="L272" s="56"/>
      <c r="O272" s="56"/>
    </row>
    <row r="273" spans="1:15" ht="13" x14ac:dyDescent="0.15">
      <c r="A273" s="56"/>
      <c r="B273" s="56"/>
      <c r="K273" s="56"/>
      <c r="L273" s="56"/>
      <c r="O273" s="56"/>
    </row>
    <row r="274" spans="1:15" ht="13" x14ac:dyDescent="0.15">
      <c r="A274" s="56"/>
      <c r="B274" s="56"/>
      <c r="K274" s="56"/>
      <c r="L274" s="56"/>
      <c r="O274" s="56"/>
    </row>
    <row r="275" spans="1:15" ht="13" x14ac:dyDescent="0.15">
      <c r="A275" s="56"/>
      <c r="B275" s="56"/>
      <c r="K275" s="56"/>
      <c r="L275" s="56"/>
      <c r="O275" s="56"/>
    </row>
    <row r="276" spans="1:15" ht="13" x14ac:dyDescent="0.15">
      <c r="A276" s="56"/>
      <c r="B276" s="56"/>
      <c r="K276" s="56"/>
      <c r="L276" s="56"/>
      <c r="O276" s="56"/>
    </row>
    <row r="277" spans="1:15" ht="13" x14ac:dyDescent="0.15">
      <c r="A277" s="56"/>
      <c r="B277" s="56"/>
      <c r="K277" s="56"/>
      <c r="L277" s="56"/>
      <c r="O277" s="56"/>
    </row>
    <row r="278" spans="1:15" ht="13" x14ac:dyDescent="0.15">
      <c r="A278" s="56"/>
      <c r="B278" s="56"/>
      <c r="K278" s="56"/>
      <c r="L278" s="56"/>
      <c r="O278" s="56"/>
    </row>
    <row r="279" spans="1:15" ht="13" x14ac:dyDescent="0.15">
      <c r="A279" s="56"/>
      <c r="B279" s="56"/>
      <c r="K279" s="56"/>
      <c r="L279" s="56"/>
      <c r="O279" s="56"/>
    </row>
    <row r="280" spans="1:15" ht="13" x14ac:dyDescent="0.15">
      <c r="A280" s="56"/>
      <c r="B280" s="56"/>
      <c r="K280" s="56"/>
      <c r="L280" s="56"/>
      <c r="O280" s="56"/>
    </row>
    <row r="281" spans="1:15" ht="13" x14ac:dyDescent="0.15">
      <c r="A281" s="56"/>
      <c r="B281" s="56"/>
      <c r="K281" s="56"/>
      <c r="L281" s="56"/>
      <c r="O281" s="56"/>
    </row>
    <row r="282" spans="1:15" ht="13" x14ac:dyDescent="0.15">
      <c r="A282" s="56"/>
      <c r="B282" s="56"/>
      <c r="K282" s="56"/>
      <c r="L282" s="56"/>
      <c r="O282" s="56"/>
    </row>
    <row r="283" spans="1:15" ht="13" x14ac:dyDescent="0.15">
      <c r="A283" s="56"/>
      <c r="B283" s="56"/>
      <c r="K283" s="56"/>
      <c r="L283" s="56"/>
      <c r="O283" s="56"/>
    </row>
    <row r="284" spans="1:15" ht="13" x14ac:dyDescent="0.15">
      <c r="A284" s="56"/>
      <c r="B284" s="56"/>
      <c r="K284" s="56"/>
      <c r="L284" s="56"/>
      <c r="O284" s="56"/>
    </row>
    <row r="285" spans="1:15" ht="13" x14ac:dyDescent="0.15">
      <c r="A285" s="56"/>
      <c r="B285" s="56"/>
      <c r="K285" s="56"/>
      <c r="L285" s="56"/>
      <c r="O285" s="56"/>
    </row>
    <row r="286" spans="1:15" ht="13" x14ac:dyDescent="0.15">
      <c r="A286" s="56"/>
      <c r="B286" s="56"/>
      <c r="K286" s="56"/>
      <c r="L286" s="56"/>
      <c r="O286" s="56"/>
    </row>
    <row r="287" spans="1:15" ht="13" x14ac:dyDescent="0.15">
      <c r="A287" s="56"/>
      <c r="B287" s="56"/>
      <c r="K287" s="56"/>
      <c r="L287" s="56"/>
      <c r="O287" s="56"/>
    </row>
    <row r="288" spans="1:15" ht="13" x14ac:dyDescent="0.15">
      <c r="A288" s="56"/>
      <c r="B288" s="56"/>
      <c r="K288" s="56"/>
      <c r="L288" s="56"/>
      <c r="O288" s="56"/>
    </row>
    <row r="289" spans="1:15" ht="13" x14ac:dyDescent="0.15">
      <c r="A289" s="56"/>
      <c r="B289" s="56"/>
      <c r="K289" s="56"/>
      <c r="L289" s="56"/>
      <c r="O289" s="56"/>
    </row>
    <row r="290" spans="1:15" ht="13" x14ac:dyDescent="0.15">
      <c r="A290" s="56"/>
      <c r="B290" s="56"/>
      <c r="K290" s="56"/>
      <c r="L290" s="56"/>
      <c r="O290" s="56"/>
    </row>
    <row r="291" spans="1:15" ht="13" x14ac:dyDescent="0.15">
      <c r="A291" s="56"/>
      <c r="B291" s="56"/>
      <c r="K291" s="56"/>
      <c r="L291" s="56"/>
      <c r="O291" s="56"/>
    </row>
    <row r="292" spans="1:15" ht="13" x14ac:dyDescent="0.15">
      <c r="A292" s="56"/>
      <c r="B292" s="56"/>
      <c r="K292" s="56"/>
      <c r="L292" s="56"/>
      <c r="O292" s="56"/>
    </row>
    <row r="293" spans="1:15" ht="13" x14ac:dyDescent="0.15">
      <c r="A293" s="56"/>
      <c r="B293" s="56"/>
      <c r="K293" s="56"/>
      <c r="L293" s="56"/>
      <c r="O293" s="56"/>
    </row>
    <row r="294" spans="1:15" ht="13" x14ac:dyDescent="0.15">
      <c r="A294" s="56"/>
      <c r="B294" s="56"/>
      <c r="K294" s="56"/>
      <c r="L294" s="56"/>
      <c r="O294" s="56"/>
    </row>
    <row r="295" spans="1:15" ht="13" x14ac:dyDescent="0.15">
      <c r="A295" s="56"/>
      <c r="B295" s="56"/>
      <c r="K295" s="56"/>
      <c r="L295" s="56"/>
      <c r="O295" s="56"/>
    </row>
    <row r="296" spans="1:15" ht="13" x14ac:dyDescent="0.15">
      <c r="A296" s="56"/>
      <c r="B296" s="56"/>
      <c r="K296" s="56"/>
      <c r="L296" s="56"/>
      <c r="O296" s="56"/>
    </row>
    <row r="297" spans="1:15" ht="13" x14ac:dyDescent="0.15">
      <c r="A297" s="56"/>
      <c r="B297" s="56"/>
      <c r="K297" s="56"/>
      <c r="L297" s="56"/>
      <c r="O297" s="56"/>
    </row>
    <row r="298" spans="1:15" ht="13" x14ac:dyDescent="0.15">
      <c r="A298" s="56"/>
      <c r="B298" s="56"/>
      <c r="K298" s="56"/>
      <c r="L298" s="56"/>
      <c r="O298" s="56"/>
    </row>
    <row r="299" spans="1:15" ht="13" x14ac:dyDescent="0.15">
      <c r="A299" s="56"/>
      <c r="B299" s="56"/>
      <c r="K299" s="56"/>
      <c r="L299" s="56"/>
      <c r="O299" s="56"/>
    </row>
    <row r="300" spans="1:15" ht="13" x14ac:dyDescent="0.15">
      <c r="A300" s="56"/>
      <c r="B300" s="56"/>
      <c r="K300" s="56"/>
      <c r="L300" s="56"/>
      <c r="O300" s="56"/>
    </row>
    <row r="301" spans="1:15" ht="13" x14ac:dyDescent="0.15">
      <c r="A301" s="56"/>
      <c r="B301" s="56"/>
      <c r="K301" s="56"/>
      <c r="L301" s="56"/>
      <c r="O301" s="56"/>
    </row>
    <row r="302" spans="1:15" ht="13" x14ac:dyDescent="0.15">
      <c r="A302" s="56"/>
      <c r="B302" s="56"/>
      <c r="K302" s="56"/>
      <c r="L302" s="56"/>
      <c r="O302" s="56"/>
    </row>
    <row r="303" spans="1:15" ht="13" x14ac:dyDescent="0.15">
      <c r="A303" s="56"/>
      <c r="B303" s="56"/>
      <c r="K303" s="56"/>
      <c r="L303" s="56"/>
      <c r="O303" s="56"/>
    </row>
    <row r="304" spans="1:15" ht="13" x14ac:dyDescent="0.15">
      <c r="A304" s="56"/>
      <c r="B304" s="56"/>
      <c r="K304" s="56"/>
      <c r="L304" s="56"/>
      <c r="O304" s="56"/>
    </row>
    <row r="305" spans="1:15" ht="13" x14ac:dyDescent="0.15">
      <c r="A305" s="56"/>
      <c r="B305" s="56"/>
      <c r="K305" s="56"/>
      <c r="L305" s="56"/>
      <c r="O305" s="56"/>
    </row>
    <row r="306" spans="1:15" ht="13" x14ac:dyDescent="0.15">
      <c r="A306" s="56"/>
      <c r="B306" s="56"/>
      <c r="K306" s="56"/>
      <c r="L306" s="56"/>
      <c r="O306" s="56"/>
    </row>
    <row r="307" spans="1:15" ht="13" x14ac:dyDescent="0.15">
      <c r="A307" s="56"/>
      <c r="B307" s="56"/>
      <c r="K307" s="56"/>
      <c r="L307" s="56"/>
      <c r="O307" s="56"/>
    </row>
    <row r="308" spans="1:15" ht="13" x14ac:dyDescent="0.15">
      <c r="A308" s="56"/>
      <c r="B308" s="56"/>
      <c r="K308" s="56"/>
      <c r="L308" s="56"/>
      <c r="O308" s="56"/>
    </row>
    <row r="309" spans="1:15" ht="13" x14ac:dyDescent="0.15">
      <c r="A309" s="56"/>
      <c r="B309" s="56"/>
      <c r="K309" s="56"/>
      <c r="L309" s="56"/>
      <c r="O309" s="56"/>
    </row>
    <row r="310" spans="1:15" ht="13" x14ac:dyDescent="0.15">
      <c r="A310" s="56"/>
      <c r="B310" s="56"/>
      <c r="K310" s="56"/>
      <c r="L310" s="56"/>
      <c r="O310" s="56"/>
    </row>
    <row r="311" spans="1:15" ht="13" x14ac:dyDescent="0.15">
      <c r="A311" s="56"/>
      <c r="B311" s="56"/>
      <c r="K311" s="56"/>
      <c r="L311" s="56"/>
      <c r="O311" s="56"/>
    </row>
    <row r="312" spans="1:15" ht="13" x14ac:dyDescent="0.15">
      <c r="A312" s="56"/>
      <c r="B312" s="56"/>
      <c r="K312" s="56"/>
      <c r="L312" s="56"/>
      <c r="O312" s="56"/>
    </row>
    <row r="313" spans="1:15" ht="13" x14ac:dyDescent="0.15">
      <c r="A313" s="56"/>
      <c r="B313" s="56"/>
      <c r="K313" s="56"/>
      <c r="L313" s="56"/>
      <c r="O313" s="56"/>
    </row>
    <row r="314" spans="1:15" ht="13" x14ac:dyDescent="0.15">
      <c r="A314" s="56"/>
      <c r="B314" s="56"/>
      <c r="K314" s="56"/>
      <c r="L314" s="56"/>
      <c r="O314" s="56"/>
    </row>
    <row r="315" spans="1:15" ht="13" x14ac:dyDescent="0.15">
      <c r="A315" s="56"/>
      <c r="B315" s="56"/>
      <c r="K315" s="56"/>
      <c r="L315" s="56"/>
      <c r="O315" s="56"/>
    </row>
    <row r="316" spans="1:15" ht="13" x14ac:dyDescent="0.15">
      <c r="A316" s="56"/>
      <c r="B316" s="56"/>
      <c r="K316" s="56"/>
      <c r="L316" s="56"/>
      <c r="O316" s="56"/>
    </row>
    <row r="317" spans="1:15" ht="13" x14ac:dyDescent="0.15">
      <c r="A317" s="56"/>
      <c r="B317" s="56"/>
      <c r="K317" s="56"/>
      <c r="L317" s="56"/>
      <c r="O317" s="56"/>
    </row>
    <row r="318" spans="1:15" ht="13" x14ac:dyDescent="0.15">
      <c r="A318" s="56"/>
      <c r="B318" s="56"/>
      <c r="K318" s="56"/>
      <c r="L318" s="56"/>
      <c r="O318" s="56"/>
    </row>
    <row r="319" spans="1:15" ht="13" x14ac:dyDescent="0.15">
      <c r="A319" s="56"/>
      <c r="B319" s="56"/>
      <c r="K319" s="56"/>
      <c r="L319" s="56"/>
      <c r="O319" s="56"/>
    </row>
    <row r="320" spans="1:15" ht="13" x14ac:dyDescent="0.15">
      <c r="A320" s="56"/>
      <c r="B320" s="56"/>
      <c r="K320" s="56"/>
      <c r="L320" s="56"/>
      <c r="O320" s="56"/>
    </row>
    <row r="321" spans="1:15" ht="13" x14ac:dyDescent="0.15">
      <c r="A321" s="56"/>
      <c r="B321" s="56"/>
      <c r="K321" s="56"/>
      <c r="L321" s="56"/>
      <c r="O321" s="56"/>
    </row>
    <row r="322" spans="1:15" ht="13" x14ac:dyDescent="0.15">
      <c r="A322" s="56"/>
      <c r="B322" s="56"/>
      <c r="K322" s="56"/>
      <c r="L322" s="56"/>
      <c r="O322" s="56"/>
    </row>
    <row r="323" spans="1:15" ht="13" x14ac:dyDescent="0.15">
      <c r="A323" s="56"/>
      <c r="B323" s="56"/>
      <c r="K323" s="56"/>
      <c r="L323" s="56"/>
      <c r="O323" s="56"/>
    </row>
    <row r="324" spans="1:15" ht="13" x14ac:dyDescent="0.15">
      <c r="A324" s="56"/>
      <c r="B324" s="56"/>
      <c r="K324" s="56"/>
      <c r="L324" s="56"/>
      <c r="O324" s="56"/>
    </row>
    <row r="325" spans="1:15" ht="13" x14ac:dyDescent="0.15">
      <c r="A325" s="56"/>
      <c r="B325" s="56"/>
      <c r="K325" s="56"/>
      <c r="L325" s="56"/>
      <c r="O325" s="56"/>
    </row>
    <row r="326" spans="1:15" ht="13" x14ac:dyDescent="0.15">
      <c r="A326" s="56"/>
      <c r="B326" s="56"/>
      <c r="K326" s="56"/>
      <c r="L326" s="56"/>
      <c r="O326" s="56"/>
    </row>
    <row r="327" spans="1:15" ht="13" x14ac:dyDescent="0.15">
      <c r="A327" s="56"/>
      <c r="B327" s="56"/>
      <c r="K327" s="56"/>
      <c r="L327" s="56"/>
      <c r="O327" s="56"/>
    </row>
    <row r="328" spans="1:15" ht="13" x14ac:dyDescent="0.15">
      <c r="A328" s="56"/>
      <c r="B328" s="56"/>
      <c r="K328" s="56"/>
      <c r="L328" s="56"/>
      <c r="O328" s="56"/>
    </row>
    <row r="329" spans="1:15" ht="13" x14ac:dyDescent="0.15">
      <c r="A329" s="56"/>
      <c r="B329" s="56"/>
      <c r="K329" s="56"/>
      <c r="L329" s="56"/>
      <c r="O329" s="56"/>
    </row>
    <row r="330" spans="1:15" ht="13" x14ac:dyDescent="0.15">
      <c r="A330" s="56"/>
      <c r="B330" s="56"/>
      <c r="K330" s="56"/>
      <c r="L330" s="56"/>
      <c r="O330" s="56"/>
    </row>
    <row r="331" spans="1:15" ht="13" x14ac:dyDescent="0.15">
      <c r="A331" s="56"/>
      <c r="B331" s="56"/>
      <c r="K331" s="56"/>
      <c r="L331" s="56"/>
      <c r="O331" s="56"/>
    </row>
    <row r="332" spans="1:15" ht="13" x14ac:dyDescent="0.15">
      <c r="A332" s="56"/>
      <c r="B332" s="56"/>
      <c r="K332" s="56"/>
      <c r="L332" s="56"/>
      <c r="O332" s="56"/>
    </row>
    <row r="333" spans="1:15" ht="13" x14ac:dyDescent="0.15">
      <c r="A333" s="56"/>
      <c r="B333" s="56"/>
      <c r="K333" s="56"/>
      <c r="L333" s="56"/>
      <c r="O333" s="56"/>
    </row>
    <row r="334" spans="1:15" ht="13" x14ac:dyDescent="0.15">
      <c r="A334" s="56"/>
      <c r="B334" s="56"/>
      <c r="K334" s="56"/>
      <c r="L334" s="56"/>
      <c r="O334" s="56"/>
    </row>
    <row r="335" spans="1:15" ht="13" x14ac:dyDescent="0.15">
      <c r="A335" s="56"/>
      <c r="B335" s="56"/>
      <c r="K335" s="56"/>
      <c r="L335" s="56"/>
      <c r="O335" s="56"/>
    </row>
    <row r="336" spans="1:15" ht="13" x14ac:dyDescent="0.15">
      <c r="A336" s="56"/>
      <c r="B336" s="56"/>
      <c r="K336" s="56"/>
      <c r="L336" s="56"/>
      <c r="O336" s="56"/>
    </row>
    <row r="337" spans="1:15" ht="13" x14ac:dyDescent="0.15">
      <c r="A337" s="56"/>
      <c r="B337" s="56"/>
      <c r="K337" s="56"/>
      <c r="L337" s="56"/>
      <c r="O337" s="56"/>
    </row>
    <row r="338" spans="1:15" ht="13" x14ac:dyDescent="0.15">
      <c r="A338" s="56"/>
      <c r="B338" s="56"/>
      <c r="K338" s="56"/>
      <c r="L338" s="56"/>
      <c r="O338" s="56"/>
    </row>
    <row r="339" spans="1:15" ht="13" x14ac:dyDescent="0.15">
      <c r="A339" s="56"/>
      <c r="B339" s="56"/>
      <c r="K339" s="56"/>
      <c r="L339" s="56"/>
      <c r="O339" s="56"/>
    </row>
    <row r="340" spans="1:15" ht="13" x14ac:dyDescent="0.15">
      <c r="A340" s="56"/>
      <c r="B340" s="56"/>
      <c r="K340" s="56"/>
      <c r="L340" s="56"/>
      <c r="O340" s="56"/>
    </row>
    <row r="341" spans="1:15" ht="13" x14ac:dyDescent="0.15">
      <c r="A341" s="56"/>
      <c r="B341" s="56"/>
      <c r="K341" s="56"/>
      <c r="L341" s="56"/>
      <c r="O341" s="56"/>
    </row>
    <row r="342" spans="1:15" ht="13" x14ac:dyDescent="0.15">
      <c r="A342" s="56"/>
      <c r="B342" s="56"/>
      <c r="K342" s="56"/>
      <c r="L342" s="56"/>
      <c r="O342" s="56"/>
    </row>
    <row r="343" spans="1:15" ht="13" x14ac:dyDescent="0.15">
      <c r="A343" s="56"/>
      <c r="B343" s="56"/>
      <c r="K343" s="56"/>
      <c r="L343" s="56"/>
      <c r="O343" s="56"/>
    </row>
    <row r="344" spans="1:15" ht="13" x14ac:dyDescent="0.15">
      <c r="A344" s="56"/>
      <c r="B344" s="56"/>
      <c r="K344" s="56"/>
      <c r="L344" s="56"/>
      <c r="O344" s="56"/>
    </row>
    <row r="345" spans="1:15" ht="13" x14ac:dyDescent="0.15">
      <c r="A345" s="56"/>
      <c r="B345" s="56"/>
      <c r="K345" s="56"/>
      <c r="L345" s="56"/>
      <c r="O345" s="56"/>
    </row>
    <row r="346" spans="1:15" ht="13" x14ac:dyDescent="0.15">
      <c r="A346" s="56"/>
      <c r="B346" s="56"/>
      <c r="K346" s="56"/>
      <c r="L346" s="56"/>
      <c r="O346" s="56"/>
    </row>
    <row r="347" spans="1:15" ht="13" x14ac:dyDescent="0.15">
      <c r="A347" s="56"/>
      <c r="B347" s="56"/>
      <c r="K347" s="56"/>
      <c r="L347" s="56"/>
      <c r="O347" s="56"/>
    </row>
    <row r="348" spans="1:15" ht="13" x14ac:dyDescent="0.15">
      <c r="A348" s="56"/>
      <c r="B348" s="56"/>
      <c r="K348" s="56"/>
      <c r="L348" s="56"/>
      <c r="O348" s="56"/>
    </row>
    <row r="349" spans="1:15" ht="13" x14ac:dyDescent="0.15">
      <c r="A349" s="56"/>
      <c r="B349" s="56"/>
      <c r="K349" s="56"/>
      <c r="L349" s="56"/>
      <c r="O349" s="56"/>
    </row>
    <row r="350" spans="1:15" ht="13" x14ac:dyDescent="0.15">
      <c r="A350" s="56"/>
      <c r="B350" s="56"/>
      <c r="K350" s="56"/>
      <c r="L350" s="56"/>
      <c r="O350" s="56"/>
    </row>
    <row r="351" spans="1:15" ht="13" x14ac:dyDescent="0.15">
      <c r="A351" s="56"/>
      <c r="B351" s="56"/>
      <c r="K351" s="56"/>
      <c r="L351" s="56"/>
      <c r="O351" s="56"/>
    </row>
    <row r="352" spans="1:15" ht="13" x14ac:dyDescent="0.15">
      <c r="A352" s="56"/>
      <c r="B352" s="56"/>
      <c r="K352" s="56"/>
      <c r="L352" s="56"/>
      <c r="O352" s="56"/>
    </row>
    <row r="353" spans="1:15" ht="13" x14ac:dyDescent="0.15">
      <c r="A353" s="56"/>
      <c r="B353" s="56"/>
      <c r="K353" s="56"/>
      <c r="L353" s="56"/>
      <c r="O353" s="56"/>
    </row>
    <row r="354" spans="1:15" ht="13" x14ac:dyDescent="0.15">
      <c r="A354" s="56"/>
      <c r="B354" s="56"/>
      <c r="K354" s="56"/>
      <c r="L354" s="56"/>
      <c r="O354" s="56"/>
    </row>
    <row r="355" spans="1:15" ht="13" x14ac:dyDescent="0.15">
      <c r="A355" s="56"/>
      <c r="B355" s="56"/>
      <c r="K355" s="56"/>
      <c r="L355" s="56"/>
      <c r="O355" s="56"/>
    </row>
    <row r="356" spans="1:15" ht="13" x14ac:dyDescent="0.15">
      <c r="A356" s="56"/>
      <c r="B356" s="56"/>
      <c r="K356" s="56"/>
      <c r="L356" s="56"/>
      <c r="O356" s="56"/>
    </row>
    <row r="357" spans="1:15" ht="13" x14ac:dyDescent="0.15">
      <c r="A357" s="56"/>
      <c r="B357" s="56"/>
      <c r="K357" s="56"/>
      <c r="L357" s="56"/>
      <c r="O357" s="56"/>
    </row>
    <row r="358" spans="1:15" ht="13" x14ac:dyDescent="0.15">
      <c r="A358" s="56"/>
      <c r="B358" s="56"/>
      <c r="K358" s="56"/>
      <c r="L358" s="56"/>
      <c r="O358" s="56"/>
    </row>
    <row r="359" spans="1:15" ht="13" x14ac:dyDescent="0.15">
      <c r="A359" s="56"/>
      <c r="B359" s="56"/>
      <c r="K359" s="56"/>
      <c r="L359" s="56"/>
      <c r="O359" s="56"/>
    </row>
    <row r="360" spans="1:15" ht="13" x14ac:dyDescent="0.15">
      <c r="A360" s="56"/>
      <c r="B360" s="56"/>
      <c r="K360" s="56"/>
      <c r="L360" s="56"/>
      <c r="O360" s="56"/>
    </row>
    <row r="361" spans="1:15" ht="13" x14ac:dyDescent="0.15">
      <c r="A361" s="56"/>
      <c r="B361" s="56"/>
      <c r="K361" s="56"/>
      <c r="L361" s="56"/>
      <c r="O361" s="56"/>
    </row>
    <row r="362" spans="1:15" ht="13" x14ac:dyDescent="0.15">
      <c r="A362" s="56"/>
      <c r="B362" s="56"/>
      <c r="K362" s="56"/>
      <c r="L362" s="56"/>
      <c r="O362" s="56"/>
    </row>
    <row r="363" spans="1:15" ht="13" x14ac:dyDescent="0.15">
      <c r="A363" s="56"/>
      <c r="B363" s="56"/>
      <c r="K363" s="56"/>
      <c r="L363" s="56"/>
      <c r="O363" s="56"/>
    </row>
    <row r="364" spans="1:15" ht="13" x14ac:dyDescent="0.15">
      <c r="A364" s="56"/>
      <c r="B364" s="56"/>
      <c r="K364" s="56"/>
      <c r="L364" s="56"/>
      <c r="O364" s="56"/>
    </row>
    <row r="365" spans="1:15" ht="13" x14ac:dyDescent="0.15">
      <c r="A365" s="56"/>
      <c r="B365" s="56"/>
      <c r="K365" s="56"/>
      <c r="L365" s="56"/>
      <c r="O365" s="56"/>
    </row>
    <row r="366" spans="1:15" ht="13" x14ac:dyDescent="0.15">
      <c r="A366" s="56"/>
      <c r="B366" s="56"/>
      <c r="K366" s="56"/>
      <c r="L366" s="56"/>
      <c r="O366" s="56"/>
    </row>
    <row r="367" spans="1:15" ht="13" x14ac:dyDescent="0.15">
      <c r="A367" s="56"/>
      <c r="B367" s="56"/>
      <c r="K367" s="56"/>
      <c r="L367" s="56"/>
      <c r="O367" s="56"/>
    </row>
    <row r="368" spans="1:15" ht="13" x14ac:dyDescent="0.15">
      <c r="A368" s="56"/>
      <c r="B368" s="56"/>
      <c r="K368" s="56"/>
      <c r="L368" s="56"/>
      <c r="O368" s="56"/>
    </row>
    <row r="369" spans="1:15" ht="13" x14ac:dyDescent="0.15">
      <c r="A369" s="56"/>
      <c r="B369" s="56"/>
      <c r="K369" s="56"/>
      <c r="L369" s="56"/>
      <c r="O369" s="56"/>
    </row>
    <row r="370" spans="1:15" ht="13" x14ac:dyDescent="0.15">
      <c r="A370" s="56"/>
      <c r="B370" s="56"/>
      <c r="K370" s="56"/>
      <c r="L370" s="56"/>
      <c r="O370" s="56"/>
    </row>
    <row r="371" spans="1:15" ht="13" x14ac:dyDescent="0.15">
      <c r="A371" s="56"/>
      <c r="B371" s="56"/>
      <c r="K371" s="56"/>
      <c r="L371" s="56"/>
      <c r="O371" s="56"/>
    </row>
    <row r="372" spans="1:15" ht="13" x14ac:dyDescent="0.15">
      <c r="A372" s="56"/>
      <c r="B372" s="56"/>
      <c r="K372" s="56"/>
      <c r="L372" s="56"/>
      <c r="O372" s="56"/>
    </row>
    <row r="373" spans="1:15" ht="13" x14ac:dyDescent="0.15">
      <c r="A373" s="56"/>
      <c r="B373" s="56"/>
      <c r="K373" s="56"/>
      <c r="L373" s="56"/>
      <c r="O373" s="56"/>
    </row>
    <row r="374" spans="1:15" ht="13" x14ac:dyDescent="0.15">
      <c r="A374" s="56"/>
      <c r="B374" s="56"/>
      <c r="K374" s="56"/>
      <c r="L374" s="56"/>
      <c r="O374" s="56"/>
    </row>
    <row r="375" spans="1:15" ht="13" x14ac:dyDescent="0.15">
      <c r="A375" s="56"/>
      <c r="B375" s="56"/>
      <c r="K375" s="56"/>
      <c r="L375" s="56"/>
      <c r="O375" s="56"/>
    </row>
    <row r="376" spans="1:15" ht="13" x14ac:dyDescent="0.15">
      <c r="A376" s="56"/>
      <c r="B376" s="56"/>
      <c r="K376" s="56"/>
      <c r="L376" s="56"/>
      <c r="O376" s="56"/>
    </row>
    <row r="377" spans="1:15" ht="13" x14ac:dyDescent="0.15">
      <c r="A377" s="56"/>
      <c r="B377" s="56"/>
      <c r="K377" s="56"/>
      <c r="L377" s="56"/>
      <c r="O377" s="56"/>
    </row>
    <row r="378" spans="1:15" ht="13" x14ac:dyDescent="0.15">
      <c r="A378" s="56"/>
      <c r="B378" s="56"/>
      <c r="K378" s="56"/>
      <c r="L378" s="56"/>
      <c r="O378" s="56"/>
    </row>
    <row r="379" spans="1:15" ht="13" x14ac:dyDescent="0.15">
      <c r="A379" s="56"/>
      <c r="B379" s="56"/>
      <c r="K379" s="56"/>
      <c r="L379" s="56"/>
      <c r="O379" s="56"/>
    </row>
    <row r="380" spans="1:15" ht="13" x14ac:dyDescent="0.15">
      <c r="A380" s="56"/>
      <c r="B380" s="56"/>
      <c r="K380" s="56"/>
      <c r="L380" s="56"/>
      <c r="O380" s="56"/>
    </row>
    <row r="381" spans="1:15" ht="13" x14ac:dyDescent="0.15">
      <c r="A381" s="56"/>
      <c r="B381" s="56"/>
      <c r="K381" s="56"/>
      <c r="L381" s="56"/>
      <c r="O381" s="56"/>
    </row>
    <row r="382" spans="1:15" ht="13" x14ac:dyDescent="0.15">
      <c r="A382" s="56"/>
      <c r="B382" s="56"/>
      <c r="K382" s="56"/>
      <c r="L382" s="56"/>
      <c r="O382" s="56"/>
    </row>
    <row r="383" spans="1:15" ht="13" x14ac:dyDescent="0.15">
      <c r="A383" s="56"/>
      <c r="B383" s="56"/>
      <c r="K383" s="56"/>
      <c r="L383" s="56"/>
      <c r="O383" s="56"/>
    </row>
    <row r="384" spans="1:15" ht="13" x14ac:dyDescent="0.15">
      <c r="A384" s="56"/>
      <c r="B384" s="56"/>
      <c r="K384" s="56"/>
      <c r="L384" s="56"/>
      <c r="O384" s="56"/>
    </row>
    <row r="385" spans="1:15" ht="13" x14ac:dyDescent="0.15">
      <c r="A385" s="56"/>
      <c r="B385" s="56"/>
      <c r="K385" s="56"/>
      <c r="L385" s="56"/>
      <c r="O385" s="56"/>
    </row>
    <row r="386" spans="1:15" ht="13" x14ac:dyDescent="0.15">
      <c r="A386" s="56"/>
      <c r="B386" s="56"/>
      <c r="K386" s="56"/>
      <c r="L386" s="56"/>
      <c r="O386" s="56"/>
    </row>
    <row r="387" spans="1:15" ht="13" x14ac:dyDescent="0.15">
      <c r="A387" s="56"/>
      <c r="B387" s="56"/>
      <c r="K387" s="56"/>
      <c r="L387" s="56"/>
      <c r="O387" s="56"/>
    </row>
    <row r="388" spans="1:15" ht="13" x14ac:dyDescent="0.15">
      <c r="A388" s="56"/>
      <c r="B388" s="56"/>
      <c r="K388" s="56"/>
      <c r="L388" s="56"/>
      <c r="O388" s="56"/>
    </row>
    <row r="389" spans="1:15" ht="13" x14ac:dyDescent="0.15">
      <c r="A389" s="56"/>
      <c r="B389" s="56"/>
      <c r="K389" s="56"/>
      <c r="L389" s="56"/>
      <c r="O389" s="56"/>
    </row>
    <row r="390" spans="1:15" ht="13" x14ac:dyDescent="0.15">
      <c r="A390" s="56"/>
      <c r="B390" s="56"/>
      <c r="K390" s="56"/>
      <c r="L390" s="56"/>
      <c r="O390" s="56"/>
    </row>
    <row r="391" spans="1:15" ht="13" x14ac:dyDescent="0.15">
      <c r="A391" s="56"/>
      <c r="B391" s="56"/>
      <c r="K391" s="56"/>
      <c r="L391" s="56"/>
      <c r="O391" s="56"/>
    </row>
    <row r="392" spans="1:15" ht="13" x14ac:dyDescent="0.15">
      <c r="A392" s="56"/>
      <c r="B392" s="56"/>
      <c r="K392" s="56"/>
      <c r="L392" s="56"/>
      <c r="O392" s="56"/>
    </row>
    <row r="393" spans="1:15" ht="13" x14ac:dyDescent="0.15">
      <c r="A393" s="56"/>
      <c r="B393" s="56"/>
      <c r="K393" s="56"/>
      <c r="L393" s="56"/>
      <c r="O393" s="56"/>
    </row>
    <row r="394" spans="1:15" ht="13" x14ac:dyDescent="0.15">
      <c r="A394" s="56"/>
      <c r="B394" s="56"/>
      <c r="K394" s="56"/>
      <c r="L394" s="56"/>
      <c r="O394" s="56"/>
    </row>
    <row r="395" spans="1:15" ht="13" x14ac:dyDescent="0.15">
      <c r="A395" s="56"/>
      <c r="B395" s="56"/>
      <c r="K395" s="56"/>
      <c r="L395" s="56"/>
      <c r="O395" s="56"/>
    </row>
    <row r="396" spans="1:15" ht="13" x14ac:dyDescent="0.15">
      <c r="A396" s="56"/>
      <c r="B396" s="56"/>
      <c r="K396" s="56"/>
      <c r="L396" s="56"/>
      <c r="O396" s="56"/>
    </row>
    <row r="397" spans="1:15" ht="13" x14ac:dyDescent="0.15">
      <c r="A397" s="56"/>
      <c r="B397" s="56"/>
      <c r="K397" s="56"/>
      <c r="L397" s="56"/>
      <c r="O397" s="56"/>
    </row>
    <row r="398" spans="1:15" ht="13" x14ac:dyDescent="0.15">
      <c r="A398" s="56"/>
      <c r="B398" s="56"/>
      <c r="K398" s="56"/>
      <c r="L398" s="56"/>
      <c r="O398" s="56"/>
    </row>
    <row r="399" spans="1:15" ht="13" x14ac:dyDescent="0.15">
      <c r="A399" s="56"/>
      <c r="B399" s="56"/>
      <c r="K399" s="56"/>
      <c r="L399" s="56"/>
      <c r="O399" s="56"/>
    </row>
    <row r="400" spans="1:15" ht="13" x14ac:dyDescent="0.15">
      <c r="A400" s="56"/>
      <c r="B400" s="56"/>
      <c r="K400" s="56"/>
      <c r="L400" s="56"/>
      <c r="O400" s="56"/>
    </row>
    <row r="401" spans="1:15" ht="13" x14ac:dyDescent="0.15">
      <c r="A401" s="56"/>
      <c r="B401" s="56"/>
      <c r="K401" s="56"/>
      <c r="L401" s="56"/>
      <c r="O401" s="56"/>
    </row>
    <row r="402" spans="1:15" ht="13" x14ac:dyDescent="0.15">
      <c r="A402" s="56"/>
      <c r="B402" s="56"/>
      <c r="K402" s="56"/>
      <c r="L402" s="56"/>
      <c r="O402" s="56"/>
    </row>
    <row r="403" spans="1:15" ht="13" x14ac:dyDescent="0.15">
      <c r="A403" s="56"/>
      <c r="B403" s="56"/>
      <c r="K403" s="56"/>
      <c r="L403" s="56"/>
      <c r="O403" s="56"/>
    </row>
    <row r="404" spans="1:15" ht="13" x14ac:dyDescent="0.15">
      <c r="A404" s="56"/>
      <c r="B404" s="56"/>
      <c r="K404" s="56"/>
      <c r="L404" s="56"/>
      <c r="O404" s="56"/>
    </row>
    <row r="405" spans="1:15" ht="13" x14ac:dyDescent="0.15">
      <c r="A405" s="56"/>
      <c r="B405" s="56"/>
      <c r="K405" s="56"/>
      <c r="L405" s="56"/>
      <c r="O405" s="56"/>
    </row>
    <row r="406" spans="1:15" ht="13" x14ac:dyDescent="0.15">
      <c r="A406" s="56"/>
      <c r="B406" s="56"/>
      <c r="K406" s="56"/>
      <c r="L406" s="56"/>
      <c r="O406" s="56"/>
    </row>
    <row r="407" spans="1:15" ht="13" x14ac:dyDescent="0.15">
      <c r="A407" s="56"/>
      <c r="B407" s="56"/>
      <c r="K407" s="56"/>
      <c r="L407" s="56"/>
      <c r="O407" s="56"/>
    </row>
    <row r="408" spans="1:15" ht="13" x14ac:dyDescent="0.15">
      <c r="A408" s="56"/>
      <c r="B408" s="56"/>
      <c r="K408" s="56"/>
      <c r="L408" s="56"/>
      <c r="O408" s="56"/>
    </row>
    <row r="409" spans="1:15" ht="13" x14ac:dyDescent="0.15">
      <c r="A409" s="56"/>
      <c r="B409" s="56"/>
      <c r="K409" s="56"/>
      <c r="L409" s="56"/>
      <c r="O409" s="56"/>
    </row>
    <row r="410" spans="1:15" ht="13" x14ac:dyDescent="0.15">
      <c r="A410" s="56"/>
      <c r="B410" s="56"/>
      <c r="K410" s="56"/>
      <c r="L410" s="56"/>
      <c r="O410" s="56"/>
    </row>
    <row r="411" spans="1:15" ht="13" x14ac:dyDescent="0.15">
      <c r="A411" s="56"/>
      <c r="B411" s="56"/>
      <c r="K411" s="56"/>
      <c r="L411" s="56"/>
      <c r="O411" s="56"/>
    </row>
    <row r="412" spans="1:15" ht="13" x14ac:dyDescent="0.15">
      <c r="A412" s="56"/>
      <c r="B412" s="56"/>
      <c r="K412" s="56"/>
      <c r="L412" s="56"/>
      <c r="O412" s="56"/>
    </row>
    <row r="413" spans="1:15" ht="13" x14ac:dyDescent="0.15">
      <c r="A413" s="56"/>
      <c r="B413" s="56"/>
      <c r="K413" s="56"/>
      <c r="L413" s="56"/>
      <c r="O413" s="56"/>
    </row>
    <row r="414" spans="1:15" ht="13" x14ac:dyDescent="0.15">
      <c r="A414" s="56"/>
      <c r="B414" s="56"/>
      <c r="K414" s="56"/>
      <c r="L414" s="56"/>
      <c r="O414" s="56"/>
    </row>
    <row r="415" spans="1:15" ht="13" x14ac:dyDescent="0.15">
      <c r="A415" s="56"/>
      <c r="B415" s="56"/>
      <c r="K415" s="56"/>
      <c r="L415" s="56"/>
      <c r="O415" s="56"/>
    </row>
    <row r="416" spans="1:15" ht="13" x14ac:dyDescent="0.15">
      <c r="A416" s="56"/>
      <c r="B416" s="56"/>
      <c r="K416" s="56"/>
      <c r="L416" s="56"/>
      <c r="O416" s="56"/>
    </row>
    <row r="417" spans="1:15" ht="13" x14ac:dyDescent="0.15">
      <c r="A417" s="56"/>
      <c r="B417" s="56"/>
      <c r="K417" s="56"/>
      <c r="L417" s="56"/>
      <c r="O417" s="56"/>
    </row>
    <row r="418" spans="1:15" ht="13" x14ac:dyDescent="0.15">
      <c r="A418" s="56"/>
      <c r="B418" s="56"/>
      <c r="K418" s="56"/>
      <c r="L418" s="56"/>
      <c r="O418" s="56"/>
    </row>
    <row r="419" spans="1:15" ht="13" x14ac:dyDescent="0.15">
      <c r="A419" s="56"/>
      <c r="B419" s="56"/>
      <c r="K419" s="56"/>
      <c r="L419" s="56"/>
      <c r="O419" s="56"/>
    </row>
    <row r="420" spans="1:15" ht="13" x14ac:dyDescent="0.15">
      <c r="A420" s="56"/>
      <c r="B420" s="56"/>
      <c r="K420" s="56"/>
      <c r="L420" s="56"/>
      <c r="O420" s="56"/>
    </row>
    <row r="421" spans="1:15" ht="13" x14ac:dyDescent="0.15">
      <c r="A421" s="56"/>
      <c r="B421" s="56"/>
      <c r="K421" s="56"/>
      <c r="L421" s="56"/>
      <c r="O421" s="56"/>
    </row>
    <row r="422" spans="1:15" ht="13" x14ac:dyDescent="0.15">
      <c r="A422" s="56"/>
      <c r="B422" s="56"/>
      <c r="K422" s="56"/>
      <c r="L422" s="56"/>
      <c r="O422" s="56"/>
    </row>
    <row r="423" spans="1:15" ht="13" x14ac:dyDescent="0.15">
      <c r="A423" s="56"/>
      <c r="B423" s="56"/>
      <c r="K423" s="56"/>
      <c r="L423" s="56"/>
      <c r="O423" s="56"/>
    </row>
    <row r="424" spans="1:15" ht="13" x14ac:dyDescent="0.15">
      <c r="A424" s="56"/>
      <c r="B424" s="56"/>
      <c r="K424" s="56"/>
      <c r="L424" s="56"/>
      <c r="O424" s="56"/>
    </row>
    <row r="425" spans="1:15" ht="13" x14ac:dyDescent="0.15">
      <c r="A425" s="56"/>
      <c r="B425" s="56"/>
      <c r="K425" s="56"/>
      <c r="L425" s="56"/>
      <c r="O425" s="56"/>
    </row>
    <row r="426" spans="1:15" ht="13" x14ac:dyDescent="0.15">
      <c r="A426" s="56"/>
      <c r="B426" s="56"/>
      <c r="K426" s="56"/>
      <c r="L426" s="56"/>
      <c r="O426" s="56"/>
    </row>
    <row r="427" spans="1:15" ht="13" x14ac:dyDescent="0.15">
      <c r="A427" s="56"/>
      <c r="B427" s="56"/>
      <c r="K427" s="56"/>
      <c r="L427" s="56"/>
      <c r="O427" s="56"/>
    </row>
    <row r="428" spans="1:15" ht="13" x14ac:dyDescent="0.15">
      <c r="A428" s="56"/>
      <c r="B428" s="56"/>
      <c r="K428" s="56"/>
      <c r="L428" s="56"/>
      <c r="O428" s="56"/>
    </row>
    <row r="429" spans="1:15" ht="13" x14ac:dyDescent="0.15">
      <c r="A429" s="56"/>
      <c r="B429" s="56"/>
      <c r="K429" s="56"/>
      <c r="L429" s="56"/>
      <c r="O429" s="56"/>
    </row>
    <row r="430" spans="1:15" ht="13" x14ac:dyDescent="0.15">
      <c r="A430" s="56"/>
      <c r="B430" s="56"/>
      <c r="K430" s="56"/>
      <c r="L430" s="56"/>
      <c r="O430" s="56"/>
    </row>
    <row r="431" spans="1:15" ht="13" x14ac:dyDescent="0.15">
      <c r="A431" s="56"/>
      <c r="B431" s="56"/>
      <c r="K431" s="56"/>
      <c r="L431" s="56"/>
      <c r="O431" s="56"/>
    </row>
    <row r="432" spans="1:15" ht="13" x14ac:dyDescent="0.15">
      <c r="A432" s="56"/>
      <c r="B432" s="56"/>
      <c r="K432" s="56"/>
      <c r="L432" s="56"/>
      <c r="O432" s="56"/>
    </row>
    <row r="433" spans="1:15" ht="13" x14ac:dyDescent="0.15">
      <c r="A433" s="56"/>
      <c r="B433" s="56"/>
      <c r="K433" s="56"/>
      <c r="L433" s="56"/>
      <c r="O433" s="56"/>
    </row>
    <row r="434" spans="1:15" ht="13" x14ac:dyDescent="0.15">
      <c r="A434" s="56"/>
      <c r="B434" s="56"/>
      <c r="K434" s="56"/>
      <c r="L434" s="56"/>
      <c r="O434" s="56"/>
    </row>
    <row r="435" spans="1:15" ht="13" x14ac:dyDescent="0.15">
      <c r="A435" s="56"/>
      <c r="B435" s="56"/>
      <c r="K435" s="56"/>
      <c r="L435" s="56"/>
      <c r="O435" s="56"/>
    </row>
    <row r="436" spans="1:15" ht="13" x14ac:dyDescent="0.15">
      <c r="A436" s="56"/>
      <c r="B436" s="56"/>
      <c r="K436" s="56"/>
      <c r="L436" s="56"/>
      <c r="O436" s="56"/>
    </row>
    <row r="437" spans="1:15" ht="13" x14ac:dyDescent="0.15">
      <c r="A437" s="56"/>
      <c r="B437" s="56"/>
      <c r="K437" s="56"/>
      <c r="L437" s="56"/>
      <c r="O437" s="56"/>
    </row>
    <row r="438" spans="1:15" ht="13" x14ac:dyDescent="0.15">
      <c r="A438" s="56"/>
      <c r="B438" s="56"/>
      <c r="K438" s="56"/>
      <c r="L438" s="56"/>
      <c r="O438" s="56"/>
    </row>
    <row r="439" spans="1:15" ht="13" x14ac:dyDescent="0.15">
      <c r="A439" s="56"/>
      <c r="B439" s="56"/>
      <c r="K439" s="56"/>
      <c r="L439" s="56"/>
      <c r="O439" s="56"/>
    </row>
    <row r="440" spans="1:15" ht="13" x14ac:dyDescent="0.15">
      <c r="A440" s="56"/>
      <c r="B440" s="56"/>
      <c r="K440" s="56"/>
      <c r="L440" s="56"/>
      <c r="O440" s="56"/>
    </row>
    <row r="441" spans="1:15" ht="13" x14ac:dyDescent="0.15">
      <c r="A441" s="56"/>
      <c r="B441" s="56"/>
      <c r="K441" s="56"/>
      <c r="L441" s="56"/>
      <c r="O441" s="56"/>
    </row>
    <row r="442" spans="1:15" ht="13" x14ac:dyDescent="0.15">
      <c r="A442" s="56"/>
      <c r="B442" s="56"/>
      <c r="K442" s="56"/>
      <c r="L442" s="56"/>
      <c r="O442" s="56"/>
    </row>
    <row r="443" spans="1:15" ht="13" x14ac:dyDescent="0.15">
      <c r="A443" s="56"/>
      <c r="B443" s="56"/>
      <c r="K443" s="56"/>
      <c r="L443" s="56"/>
      <c r="O443" s="56"/>
    </row>
    <row r="444" spans="1:15" ht="13" x14ac:dyDescent="0.15">
      <c r="A444" s="56"/>
      <c r="B444" s="56"/>
      <c r="K444" s="56"/>
      <c r="L444" s="56"/>
      <c r="O444" s="56"/>
    </row>
    <row r="445" spans="1:15" ht="13" x14ac:dyDescent="0.15">
      <c r="A445" s="56"/>
      <c r="B445" s="56"/>
      <c r="K445" s="56"/>
      <c r="L445" s="56"/>
      <c r="O445" s="56"/>
    </row>
    <row r="446" spans="1:15" ht="13" x14ac:dyDescent="0.15">
      <c r="A446" s="56"/>
      <c r="B446" s="56"/>
      <c r="K446" s="56"/>
      <c r="L446" s="56"/>
      <c r="O446" s="56"/>
    </row>
    <row r="447" spans="1:15" ht="13" x14ac:dyDescent="0.15">
      <c r="A447" s="56"/>
      <c r="B447" s="56"/>
      <c r="K447" s="56"/>
      <c r="L447" s="56"/>
      <c r="O447" s="56"/>
    </row>
    <row r="448" spans="1:15" ht="13" x14ac:dyDescent="0.15">
      <c r="A448" s="56"/>
      <c r="B448" s="56"/>
      <c r="K448" s="56"/>
      <c r="L448" s="56"/>
      <c r="O448" s="56"/>
    </row>
    <row r="449" spans="1:15" ht="13" x14ac:dyDescent="0.15">
      <c r="A449" s="56"/>
      <c r="B449" s="56"/>
      <c r="K449" s="56"/>
      <c r="L449" s="56"/>
      <c r="O449" s="56"/>
    </row>
    <row r="450" spans="1:15" ht="13" x14ac:dyDescent="0.15">
      <c r="A450" s="56"/>
      <c r="B450" s="56"/>
      <c r="K450" s="56"/>
      <c r="L450" s="56"/>
      <c r="O450" s="56"/>
    </row>
    <row r="451" spans="1:15" ht="13" x14ac:dyDescent="0.15">
      <c r="A451" s="56"/>
      <c r="B451" s="56"/>
      <c r="K451" s="56"/>
      <c r="L451" s="56"/>
      <c r="O451" s="56"/>
    </row>
    <row r="452" spans="1:15" ht="13" x14ac:dyDescent="0.15">
      <c r="A452" s="56"/>
      <c r="B452" s="56"/>
      <c r="K452" s="56"/>
      <c r="L452" s="56"/>
      <c r="O452" s="56"/>
    </row>
    <row r="453" spans="1:15" ht="13" x14ac:dyDescent="0.15">
      <c r="A453" s="56"/>
      <c r="B453" s="56"/>
      <c r="K453" s="56"/>
      <c r="L453" s="56"/>
      <c r="O453" s="56"/>
    </row>
    <row r="454" spans="1:15" ht="13" x14ac:dyDescent="0.15">
      <c r="A454" s="56"/>
      <c r="B454" s="56"/>
      <c r="K454" s="56"/>
      <c r="L454" s="56"/>
      <c r="O454" s="56"/>
    </row>
    <row r="455" spans="1:15" ht="13" x14ac:dyDescent="0.15">
      <c r="A455" s="56"/>
      <c r="B455" s="56"/>
      <c r="K455" s="56"/>
      <c r="L455" s="56"/>
      <c r="O455" s="56"/>
    </row>
    <row r="456" spans="1:15" ht="13" x14ac:dyDescent="0.15">
      <c r="A456" s="56"/>
      <c r="B456" s="56"/>
      <c r="K456" s="56"/>
      <c r="L456" s="56"/>
      <c r="O456" s="56"/>
    </row>
    <row r="457" spans="1:15" ht="13" x14ac:dyDescent="0.15">
      <c r="A457" s="56"/>
      <c r="B457" s="56"/>
      <c r="K457" s="56"/>
      <c r="L457" s="56"/>
      <c r="O457" s="56"/>
    </row>
    <row r="458" spans="1:15" ht="13" x14ac:dyDescent="0.15">
      <c r="A458" s="56"/>
      <c r="B458" s="56"/>
      <c r="K458" s="56"/>
      <c r="L458" s="56"/>
      <c r="O458" s="56"/>
    </row>
    <row r="459" spans="1:15" ht="13" x14ac:dyDescent="0.15">
      <c r="A459" s="56"/>
      <c r="B459" s="56"/>
      <c r="K459" s="56"/>
      <c r="L459" s="56"/>
      <c r="O459" s="56"/>
    </row>
    <row r="460" spans="1:15" ht="13" x14ac:dyDescent="0.15">
      <c r="A460" s="56"/>
      <c r="B460" s="56"/>
      <c r="K460" s="56"/>
      <c r="L460" s="56"/>
      <c r="O460" s="56"/>
    </row>
    <row r="461" spans="1:15" ht="13" x14ac:dyDescent="0.15">
      <c r="A461" s="56"/>
      <c r="B461" s="56"/>
      <c r="K461" s="56"/>
      <c r="L461" s="56"/>
      <c r="O461" s="56"/>
    </row>
    <row r="462" spans="1:15" ht="13" x14ac:dyDescent="0.15">
      <c r="A462" s="56"/>
      <c r="B462" s="56"/>
      <c r="K462" s="56"/>
      <c r="L462" s="56"/>
      <c r="O462" s="56"/>
    </row>
    <row r="463" spans="1:15" ht="13" x14ac:dyDescent="0.15">
      <c r="A463" s="56"/>
      <c r="B463" s="56"/>
      <c r="K463" s="56"/>
      <c r="L463" s="56"/>
      <c r="O463" s="56"/>
    </row>
    <row r="464" spans="1:15" ht="13" x14ac:dyDescent="0.15">
      <c r="A464" s="56"/>
      <c r="B464" s="56"/>
      <c r="K464" s="56"/>
      <c r="L464" s="56"/>
      <c r="O464" s="56"/>
    </row>
    <row r="465" spans="1:15" ht="13" x14ac:dyDescent="0.15">
      <c r="A465" s="56"/>
      <c r="B465" s="56"/>
      <c r="K465" s="56"/>
      <c r="L465" s="56"/>
      <c r="O465" s="56"/>
    </row>
    <row r="466" spans="1:15" ht="13" x14ac:dyDescent="0.15">
      <c r="A466" s="56"/>
      <c r="B466" s="56"/>
      <c r="K466" s="56"/>
      <c r="L466" s="56"/>
      <c r="O466" s="56"/>
    </row>
    <row r="467" spans="1:15" ht="13" x14ac:dyDescent="0.15">
      <c r="A467" s="56"/>
      <c r="B467" s="56"/>
      <c r="K467" s="56"/>
      <c r="L467" s="56"/>
      <c r="O467" s="56"/>
    </row>
    <row r="468" spans="1:15" ht="13" x14ac:dyDescent="0.15">
      <c r="A468" s="56"/>
      <c r="B468" s="56"/>
      <c r="K468" s="56"/>
      <c r="L468" s="56"/>
      <c r="O468" s="56"/>
    </row>
    <row r="469" spans="1:15" ht="13" x14ac:dyDescent="0.15">
      <c r="A469" s="56"/>
      <c r="B469" s="56"/>
      <c r="K469" s="56"/>
      <c r="L469" s="56"/>
      <c r="O469" s="56"/>
    </row>
    <row r="470" spans="1:15" ht="13" x14ac:dyDescent="0.15">
      <c r="A470" s="56"/>
      <c r="B470" s="56"/>
      <c r="K470" s="56"/>
      <c r="L470" s="56"/>
      <c r="O470" s="56"/>
    </row>
    <row r="471" spans="1:15" ht="13" x14ac:dyDescent="0.15">
      <c r="A471" s="56"/>
      <c r="B471" s="56"/>
      <c r="K471" s="56"/>
      <c r="L471" s="56"/>
      <c r="O471" s="56"/>
    </row>
    <row r="472" spans="1:15" ht="13" x14ac:dyDescent="0.15">
      <c r="A472" s="56"/>
      <c r="B472" s="56"/>
      <c r="K472" s="56"/>
      <c r="L472" s="56"/>
      <c r="O472" s="56"/>
    </row>
    <row r="473" spans="1:15" ht="13" x14ac:dyDescent="0.15">
      <c r="A473" s="56"/>
      <c r="B473" s="56"/>
      <c r="K473" s="56"/>
      <c r="L473" s="56"/>
      <c r="O473" s="56"/>
    </row>
    <row r="474" spans="1:15" ht="13" x14ac:dyDescent="0.15">
      <c r="A474" s="56"/>
      <c r="B474" s="56"/>
      <c r="K474" s="56"/>
      <c r="L474" s="56"/>
      <c r="O474" s="56"/>
    </row>
    <row r="475" spans="1:15" ht="13" x14ac:dyDescent="0.15">
      <c r="A475" s="56"/>
      <c r="B475" s="56"/>
      <c r="K475" s="56"/>
      <c r="L475" s="56"/>
      <c r="O475" s="56"/>
    </row>
    <row r="476" spans="1:15" ht="13" x14ac:dyDescent="0.15">
      <c r="A476" s="56"/>
      <c r="B476" s="56"/>
      <c r="K476" s="56"/>
      <c r="L476" s="56"/>
      <c r="O476" s="56"/>
    </row>
    <row r="477" spans="1:15" ht="13" x14ac:dyDescent="0.15">
      <c r="A477" s="56"/>
      <c r="B477" s="56"/>
      <c r="K477" s="56"/>
      <c r="L477" s="56"/>
      <c r="O477" s="56"/>
    </row>
    <row r="478" spans="1:15" ht="13" x14ac:dyDescent="0.15">
      <c r="A478" s="56"/>
      <c r="B478" s="56"/>
      <c r="K478" s="56"/>
      <c r="L478" s="56"/>
      <c r="O478" s="56"/>
    </row>
    <row r="479" spans="1:15" ht="13" x14ac:dyDescent="0.15">
      <c r="A479" s="56"/>
      <c r="B479" s="56"/>
      <c r="K479" s="56"/>
      <c r="L479" s="56"/>
      <c r="O479" s="56"/>
    </row>
    <row r="480" spans="1:15" ht="13" x14ac:dyDescent="0.15">
      <c r="A480" s="56"/>
      <c r="B480" s="56"/>
      <c r="K480" s="56"/>
      <c r="L480" s="56"/>
      <c r="O480" s="56"/>
    </row>
    <row r="481" spans="1:15" ht="13" x14ac:dyDescent="0.15">
      <c r="A481" s="56"/>
      <c r="B481" s="56"/>
      <c r="K481" s="56"/>
      <c r="L481" s="56"/>
      <c r="O481" s="56"/>
    </row>
    <row r="482" spans="1:15" ht="13" x14ac:dyDescent="0.15">
      <c r="A482" s="56"/>
      <c r="B482" s="56"/>
      <c r="K482" s="56"/>
      <c r="L482" s="56"/>
      <c r="O482" s="56"/>
    </row>
    <row r="483" spans="1:15" ht="13" x14ac:dyDescent="0.15">
      <c r="A483" s="56"/>
      <c r="B483" s="56"/>
      <c r="K483" s="56"/>
      <c r="L483" s="56"/>
      <c r="O483" s="56"/>
    </row>
    <row r="484" spans="1:15" ht="13" x14ac:dyDescent="0.15">
      <c r="A484" s="56"/>
      <c r="B484" s="56"/>
      <c r="K484" s="56"/>
      <c r="L484" s="56"/>
      <c r="O484" s="56"/>
    </row>
    <row r="485" spans="1:15" ht="13" x14ac:dyDescent="0.15">
      <c r="A485" s="56"/>
      <c r="B485" s="56"/>
      <c r="K485" s="56"/>
      <c r="L485" s="56"/>
      <c r="O485" s="56"/>
    </row>
    <row r="486" spans="1:15" ht="13" x14ac:dyDescent="0.15">
      <c r="A486" s="56"/>
      <c r="B486" s="56"/>
      <c r="K486" s="56"/>
      <c r="L486" s="56"/>
      <c r="O486" s="56"/>
    </row>
    <row r="487" spans="1:15" ht="13" x14ac:dyDescent="0.15">
      <c r="A487" s="56"/>
      <c r="B487" s="56"/>
      <c r="K487" s="56"/>
      <c r="L487" s="56"/>
      <c r="O487" s="56"/>
    </row>
    <row r="488" spans="1:15" ht="13" x14ac:dyDescent="0.15">
      <c r="A488" s="56"/>
      <c r="B488" s="56"/>
      <c r="K488" s="56"/>
      <c r="L488" s="56"/>
      <c r="O488" s="56"/>
    </row>
    <row r="489" spans="1:15" ht="13" x14ac:dyDescent="0.15">
      <c r="A489" s="56"/>
      <c r="B489" s="56"/>
      <c r="K489" s="56"/>
      <c r="L489" s="56"/>
      <c r="O489" s="56"/>
    </row>
    <row r="490" spans="1:15" ht="13" x14ac:dyDescent="0.15">
      <c r="A490" s="56"/>
      <c r="B490" s="56"/>
      <c r="K490" s="56"/>
      <c r="L490" s="56"/>
      <c r="O490" s="56"/>
    </row>
    <row r="491" spans="1:15" ht="13" x14ac:dyDescent="0.15">
      <c r="A491" s="56"/>
      <c r="B491" s="56"/>
      <c r="K491" s="56"/>
      <c r="L491" s="56"/>
      <c r="O491" s="56"/>
    </row>
    <row r="492" spans="1:15" ht="13" x14ac:dyDescent="0.15">
      <c r="A492" s="56"/>
      <c r="B492" s="56"/>
      <c r="K492" s="56"/>
      <c r="L492" s="56"/>
      <c r="O492" s="56"/>
    </row>
    <row r="493" spans="1:15" ht="13" x14ac:dyDescent="0.15">
      <c r="A493" s="56"/>
      <c r="B493" s="56"/>
      <c r="K493" s="56"/>
      <c r="L493" s="56"/>
      <c r="O493" s="56"/>
    </row>
    <row r="494" spans="1:15" ht="13" x14ac:dyDescent="0.15">
      <c r="A494" s="56"/>
      <c r="B494" s="56"/>
      <c r="K494" s="56"/>
      <c r="L494" s="56"/>
      <c r="O494" s="56"/>
    </row>
    <row r="495" spans="1:15" ht="13" x14ac:dyDescent="0.15">
      <c r="A495" s="56"/>
      <c r="B495" s="56"/>
      <c r="K495" s="56"/>
      <c r="L495" s="56"/>
      <c r="O495" s="56"/>
    </row>
    <row r="496" spans="1:15" ht="13" x14ac:dyDescent="0.15">
      <c r="A496" s="56"/>
      <c r="B496" s="56"/>
      <c r="K496" s="56"/>
      <c r="L496" s="56"/>
      <c r="O496" s="56"/>
    </row>
    <row r="497" spans="1:15" ht="13" x14ac:dyDescent="0.15">
      <c r="A497" s="56"/>
      <c r="B497" s="56"/>
      <c r="K497" s="56"/>
      <c r="L497" s="56"/>
      <c r="O497" s="56"/>
    </row>
    <row r="498" spans="1:15" ht="13" x14ac:dyDescent="0.15">
      <c r="A498" s="56"/>
      <c r="B498" s="56"/>
      <c r="K498" s="56"/>
      <c r="L498" s="56"/>
      <c r="O498" s="56"/>
    </row>
    <row r="499" spans="1:15" ht="13" x14ac:dyDescent="0.15">
      <c r="A499" s="56"/>
      <c r="B499" s="56"/>
      <c r="K499" s="56"/>
      <c r="L499" s="56"/>
      <c r="O499" s="56"/>
    </row>
    <row r="500" spans="1:15" ht="13" x14ac:dyDescent="0.15">
      <c r="A500" s="56"/>
      <c r="B500" s="56"/>
      <c r="K500" s="56"/>
      <c r="L500" s="56"/>
      <c r="O500" s="56"/>
    </row>
    <row r="501" spans="1:15" ht="13" x14ac:dyDescent="0.15">
      <c r="A501" s="56"/>
      <c r="B501" s="56"/>
      <c r="K501" s="56"/>
      <c r="L501" s="56"/>
      <c r="O501" s="56"/>
    </row>
    <row r="502" spans="1:15" ht="13" x14ac:dyDescent="0.15">
      <c r="A502" s="56"/>
      <c r="B502" s="56"/>
      <c r="K502" s="56"/>
      <c r="L502" s="56"/>
      <c r="O502" s="56"/>
    </row>
    <row r="503" spans="1:15" ht="13" x14ac:dyDescent="0.15">
      <c r="A503" s="56"/>
      <c r="B503" s="56"/>
      <c r="K503" s="56"/>
      <c r="L503" s="56"/>
      <c r="O503" s="56"/>
    </row>
    <row r="504" spans="1:15" ht="13" x14ac:dyDescent="0.15">
      <c r="A504" s="56"/>
      <c r="B504" s="56"/>
      <c r="K504" s="56"/>
      <c r="L504" s="56"/>
      <c r="O504" s="56"/>
    </row>
    <row r="505" spans="1:15" ht="13" x14ac:dyDescent="0.15">
      <c r="A505" s="56"/>
      <c r="B505" s="56"/>
      <c r="K505" s="56"/>
      <c r="L505" s="56"/>
      <c r="O505" s="56"/>
    </row>
    <row r="506" spans="1:15" ht="13" x14ac:dyDescent="0.15">
      <c r="A506" s="56"/>
      <c r="B506" s="56"/>
      <c r="K506" s="56"/>
      <c r="L506" s="56"/>
      <c r="O506" s="56"/>
    </row>
    <row r="507" spans="1:15" ht="13" x14ac:dyDescent="0.15">
      <c r="A507" s="56"/>
      <c r="B507" s="56"/>
      <c r="K507" s="56"/>
      <c r="L507" s="56"/>
      <c r="O507" s="56"/>
    </row>
    <row r="508" spans="1:15" ht="13" x14ac:dyDescent="0.15">
      <c r="A508" s="56"/>
      <c r="B508" s="56"/>
      <c r="K508" s="56"/>
      <c r="L508" s="56"/>
      <c r="O508" s="56"/>
    </row>
    <row r="509" spans="1:15" ht="13" x14ac:dyDescent="0.15">
      <c r="A509" s="56"/>
      <c r="B509" s="56"/>
      <c r="K509" s="56"/>
      <c r="L509" s="56"/>
      <c r="O509" s="56"/>
    </row>
    <row r="510" spans="1:15" ht="13" x14ac:dyDescent="0.15">
      <c r="A510" s="56"/>
      <c r="B510" s="56"/>
      <c r="K510" s="56"/>
      <c r="L510" s="56"/>
      <c r="O510" s="56"/>
    </row>
    <row r="511" spans="1:15" ht="13" x14ac:dyDescent="0.15">
      <c r="A511" s="56"/>
      <c r="B511" s="56"/>
      <c r="K511" s="56"/>
      <c r="L511" s="56"/>
      <c r="O511" s="56"/>
    </row>
    <row r="512" spans="1:15" ht="13" x14ac:dyDescent="0.15">
      <c r="A512" s="56"/>
      <c r="B512" s="56"/>
      <c r="K512" s="56"/>
      <c r="L512" s="56"/>
      <c r="O512" s="56"/>
    </row>
    <row r="513" spans="1:15" ht="13" x14ac:dyDescent="0.15">
      <c r="A513" s="56"/>
      <c r="B513" s="56"/>
      <c r="K513" s="56"/>
      <c r="L513" s="56"/>
      <c r="O513" s="56"/>
    </row>
    <row r="514" spans="1:15" ht="13" x14ac:dyDescent="0.15">
      <c r="A514" s="56"/>
      <c r="B514" s="56"/>
      <c r="K514" s="56"/>
      <c r="L514" s="56"/>
      <c r="O514" s="56"/>
    </row>
    <row r="515" spans="1:15" ht="13" x14ac:dyDescent="0.15">
      <c r="A515" s="56"/>
      <c r="B515" s="56"/>
      <c r="K515" s="56"/>
      <c r="L515" s="56"/>
      <c r="O515" s="56"/>
    </row>
    <row r="516" spans="1:15" ht="13" x14ac:dyDescent="0.15">
      <c r="A516" s="56"/>
      <c r="B516" s="56"/>
      <c r="K516" s="56"/>
      <c r="L516" s="56"/>
      <c r="O516" s="56"/>
    </row>
    <row r="517" spans="1:15" ht="13" x14ac:dyDescent="0.15">
      <c r="A517" s="56"/>
      <c r="B517" s="56"/>
      <c r="K517" s="56"/>
      <c r="L517" s="56"/>
      <c r="O517" s="56"/>
    </row>
    <row r="518" spans="1:15" ht="13" x14ac:dyDescent="0.15">
      <c r="A518" s="56"/>
      <c r="B518" s="56"/>
      <c r="K518" s="56"/>
      <c r="L518" s="56"/>
      <c r="O518" s="56"/>
    </row>
    <row r="519" spans="1:15" ht="13" x14ac:dyDescent="0.15">
      <c r="A519" s="56"/>
      <c r="B519" s="56"/>
      <c r="K519" s="56"/>
      <c r="L519" s="56"/>
      <c r="O519" s="56"/>
    </row>
    <row r="520" spans="1:15" ht="13" x14ac:dyDescent="0.15">
      <c r="A520" s="56"/>
      <c r="B520" s="56"/>
      <c r="K520" s="56"/>
      <c r="L520" s="56"/>
      <c r="O520" s="56"/>
    </row>
    <row r="521" spans="1:15" ht="13" x14ac:dyDescent="0.15">
      <c r="A521" s="56"/>
      <c r="B521" s="56"/>
      <c r="K521" s="56"/>
      <c r="L521" s="56"/>
      <c r="O521" s="56"/>
    </row>
    <row r="522" spans="1:15" ht="13" x14ac:dyDescent="0.15">
      <c r="A522" s="56"/>
      <c r="B522" s="56"/>
      <c r="K522" s="56"/>
      <c r="L522" s="56"/>
      <c r="O522" s="56"/>
    </row>
    <row r="523" spans="1:15" ht="13" x14ac:dyDescent="0.15">
      <c r="A523" s="56"/>
      <c r="B523" s="56"/>
      <c r="K523" s="56"/>
      <c r="L523" s="56"/>
      <c r="O523" s="56"/>
    </row>
    <row r="524" spans="1:15" ht="13" x14ac:dyDescent="0.15">
      <c r="A524" s="56"/>
      <c r="B524" s="56"/>
      <c r="K524" s="56"/>
      <c r="L524" s="56"/>
      <c r="O524" s="56"/>
    </row>
    <row r="525" spans="1:15" ht="13" x14ac:dyDescent="0.15">
      <c r="A525" s="56"/>
      <c r="B525" s="56"/>
      <c r="K525" s="56"/>
      <c r="L525" s="56"/>
      <c r="O525" s="56"/>
    </row>
    <row r="526" spans="1:15" ht="13" x14ac:dyDescent="0.15">
      <c r="A526" s="56"/>
      <c r="B526" s="56"/>
      <c r="K526" s="56"/>
      <c r="L526" s="56"/>
      <c r="O526" s="56"/>
    </row>
    <row r="527" spans="1:15" ht="13" x14ac:dyDescent="0.15">
      <c r="A527" s="56"/>
      <c r="B527" s="56"/>
      <c r="K527" s="56"/>
      <c r="L527" s="56"/>
      <c r="O527" s="56"/>
    </row>
    <row r="528" spans="1:15" ht="13" x14ac:dyDescent="0.15">
      <c r="A528" s="56"/>
      <c r="B528" s="56"/>
      <c r="K528" s="56"/>
      <c r="L528" s="56"/>
      <c r="O528" s="56"/>
    </row>
    <row r="529" spans="1:15" ht="13" x14ac:dyDescent="0.15">
      <c r="A529" s="56"/>
      <c r="B529" s="56"/>
      <c r="K529" s="56"/>
      <c r="L529" s="56"/>
      <c r="O529" s="56"/>
    </row>
    <row r="530" spans="1:15" ht="13" x14ac:dyDescent="0.15">
      <c r="A530" s="56"/>
      <c r="B530" s="56"/>
      <c r="K530" s="56"/>
      <c r="L530" s="56"/>
      <c r="O530" s="56"/>
    </row>
    <row r="531" spans="1:15" ht="13" x14ac:dyDescent="0.15">
      <c r="A531" s="56"/>
      <c r="B531" s="56"/>
      <c r="K531" s="56"/>
      <c r="L531" s="56"/>
      <c r="O531" s="56"/>
    </row>
    <row r="532" spans="1:15" ht="13" x14ac:dyDescent="0.15">
      <c r="A532" s="56"/>
      <c r="B532" s="56"/>
      <c r="K532" s="56"/>
      <c r="L532" s="56"/>
      <c r="O532" s="56"/>
    </row>
    <row r="533" spans="1:15" ht="13" x14ac:dyDescent="0.15">
      <c r="A533" s="56"/>
      <c r="B533" s="56"/>
      <c r="K533" s="56"/>
      <c r="L533" s="56"/>
      <c r="O533" s="56"/>
    </row>
    <row r="534" spans="1:15" ht="13" x14ac:dyDescent="0.15">
      <c r="A534" s="56"/>
      <c r="B534" s="56"/>
      <c r="K534" s="56"/>
      <c r="L534" s="56"/>
      <c r="O534" s="56"/>
    </row>
    <row r="535" spans="1:15" ht="13" x14ac:dyDescent="0.15">
      <c r="A535" s="56"/>
      <c r="B535" s="56"/>
      <c r="K535" s="56"/>
      <c r="L535" s="56"/>
      <c r="O535" s="56"/>
    </row>
    <row r="536" spans="1:15" ht="13" x14ac:dyDescent="0.15">
      <c r="A536" s="56"/>
      <c r="B536" s="56"/>
      <c r="K536" s="56"/>
      <c r="L536" s="56"/>
      <c r="O536" s="56"/>
    </row>
    <row r="537" spans="1:15" ht="13" x14ac:dyDescent="0.15">
      <c r="A537" s="56"/>
      <c r="B537" s="56"/>
      <c r="K537" s="56"/>
      <c r="L537" s="56"/>
      <c r="O537" s="56"/>
    </row>
    <row r="538" spans="1:15" ht="13" x14ac:dyDescent="0.15">
      <c r="A538" s="56"/>
      <c r="B538" s="56"/>
      <c r="K538" s="56"/>
      <c r="L538" s="56"/>
      <c r="O538" s="56"/>
    </row>
    <row r="539" spans="1:15" ht="13" x14ac:dyDescent="0.15">
      <c r="A539" s="56"/>
      <c r="B539" s="56"/>
      <c r="K539" s="56"/>
      <c r="L539" s="56"/>
      <c r="O539" s="56"/>
    </row>
    <row r="540" spans="1:15" ht="13" x14ac:dyDescent="0.15">
      <c r="A540" s="56"/>
      <c r="B540" s="56"/>
      <c r="K540" s="56"/>
      <c r="L540" s="56"/>
      <c r="O540" s="56"/>
    </row>
    <row r="541" spans="1:15" ht="13" x14ac:dyDescent="0.15">
      <c r="A541" s="56"/>
      <c r="B541" s="56"/>
      <c r="K541" s="56"/>
      <c r="L541" s="56"/>
      <c r="O541" s="56"/>
    </row>
    <row r="542" spans="1:15" ht="13" x14ac:dyDescent="0.15">
      <c r="A542" s="56"/>
      <c r="B542" s="56"/>
      <c r="K542" s="56"/>
      <c r="L542" s="56"/>
      <c r="O542" s="56"/>
    </row>
    <row r="543" spans="1:15" ht="13" x14ac:dyDescent="0.15">
      <c r="A543" s="56"/>
      <c r="B543" s="56"/>
      <c r="K543" s="56"/>
      <c r="L543" s="56"/>
      <c r="O543" s="56"/>
    </row>
    <row r="544" spans="1:15" ht="13" x14ac:dyDescent="0.15">
      <c r="A544" s="56"/>
      <c r="B544" s="56"/>
      <c r="K544" s="56"/>
      <c r="L544" s="56"/>
      <c r="O544" s="56"/>
    </row>
    <row r="545" spans="1:15" ht="13" x14ac:dyDescent="0.15">
      <c r="A545" s="56"/>
      <c r="B545" s="56"/>
      <c r="K545" s="56"/>
      <c r="L545" s="56"/>
      <c r="O545" s="56"/>
    </row>
    <row r="546" spans="1:15" ht="13" x14ac:dyDescent="0.15">
      <c r="A546" s="56"/>
      <c r="B546" s="56"/>
      <c r="K546" s="56"/>
      <c r="L546" s="56"/>
      <c r="O546" s="56"/>
    </row>
    <row r="547" spans="1:15" ht="13" x14ac:dyDescent="0.15">
      <c r="A547" s="56"/>
      <c r="B547" s="56"/>
      <c r="K547" s="56"/>
      <c r="L547" s="56"/>
      <c r="O547" s="56"/>
    </row>
    <row r="548" spans="1:15" ht="13" x14ac:dyDescent="0.15">
      <c r="A548" s="56"/>
      <c r="B548" s="56"/>
      <c r="K548" s="56"/>
      <c r="L548" s="56"/>
      <c r="O548" s="56"/>
    </row>
    <row r="549" spans="1:15" ht="13" x14ac:dyDescent="0.15">
      <c r="A549" s="56"/>
      <c r="B549" s="56"/>
      <c r="K549" s="56"/>
      <c r="L549" s="56"/>
      <c r="O549" s="56"/>
    </row>
    <row r="550" spans="1:15" ht="13" x14ac:dyDescent="0.15">
      <c r="A550" s="56"/>
      <c r="B550" s="56"/>
      <c r="K550" s="56"/>
      <c r="L550" s="56"/>
      <c r="O550" s="56"/>
    </row>
    <row r="551" spans="1:15" ht="13" x14ac:dyDescent="0.15">
      <c r="A551" s="56"/>
      <c r="B551" s="56"/>
      <c r="K551" s="56"/>
      <c r="L551" s="56"/>
      <c r="O551" s="56"/>
    </row>
    <row r="552" spans="1:15" ht="13" x14ac:dyDescent="0.15">
      <c r="A552" s="56"/>
      <c r="B552" s="56"/>
      <c r="K552" s="56"/>
      <c r="L552" s="56"/>
      <c r="O552" s="56"/>
    </row>
    <row r="553" spans="1:15" ht="13" x14ac:dyDescent="0.15">
      <c r="A553" s="56"/>
      <c r="B553" s="56"/>
      <c r="K553" s="56"/>
      <c r="L553" s="56"/>
      <c r="O553" s="56"/>
    </row>
    <row r="554" spans="1:15" ht="13" x14ac:dyDescent="0.15">
      <c r="A554" s="56"/>
      <c r="B554" s="56"/>
      <c r="K554" s="56"/>
      <c r="L554" s="56"/>
      <c r="O554" s="56"/>
    </row>
    <row r="555" spans="1:15" ht="13" x14ac:dyDescent="0.15">
      <c r="A555" s="56"/>
      <c r="B555" s="56"/>
      <c r="K555" s="56"/>
      <c r="L555" s="56"/>
      <c r="O555" s="56"/>
    </row>
    <row r="556" spans="1:15" ht="13" x14ac:dyDescent="0.15">
      <c r="A556" s="56"/>
      <c r="B556" s="56"/>
      <c r="K556" s="56"/>
      <c r="L556" s="56"/>
      <c r="O556" s="56"/>
    </row>
    <row r="557" spans="1:15" ht="13" x14ac:dyDescent="0.15">
      <c r="A557" s="56"/>
      <c r="B557" s="56"/>
      <c r="K557" s="56"/>
      <c r="L557" s="56"/>
      <c r="O557" s="56"/>
    </row>
    <row r="558" spans="1:15" ht="13" x14ac:dyDescent="0.15">
      <c r="A558" s="56"/>
      <c r="B558" s="56"/>
      <c r="K558" s="56"/>
      <c r="L558" s="56"/>
      <c r="O558" s="56"/>
    </row>
    <row r="559" spans="1:15" ht="13" x14ac:dyDescent="0.15">
      <c r="A559" s="56"/>
      <c r="B559" s="56"/>
      <c r="K559" s="56"/>
      <c r="L559" s="56"/>
      <c r="O559" s="56"/>
    </row>
    <row r="560" spans="1:15" ht="13" x14ac:dyDescent="0.15">
      <c r="A560" s="56"/>
      <c r="B560" s="56"/>
      <c r="K560" s="56"/>
      <c r="L560" s="56"/>
      <c r="O560" s="56"/>
    </row>
    <row r="561" spans="1:15" ht="13" x14ac:dyDescent="0.15">
      <c r="A561" s="56"/>
      <c r="B561" s="56"/>
      <c r="K561" s="56"/>
      <c r="L561" s="56"/>
      <c r="O561" s="56"/>
    </row>
    <row r="562" spans="1:15" ht="13" x14ac:dyDescent="0.15">
      <c r="A562" s="56"/>
      <c r="B562" s="56"/>
      <c r="K562" s="56"/>
      <c r="L562" s="56"/>
      <c r="O562" s="56"/>
    </row>
    <row r="563" spans="1:15" ht="13" x14ac:dyDescent="0.15">
      <c r="A563" s="56"/>
      <c r="B563" s="56"/>
      <c r="K563" s="56"/>
      <c r="L563" s="56"/>
      <c r="O563" s="56"/>
    </row>
    <row r="564" spans="1:15" ht="13" x14ac:dyDescent="0.15">
      <c r="A564" s="56"/>
      <c r="B564" s="56"/>
      <c r="K564" s="56"/>
      <c r="L564" s="56"/>
      <c r="O564" s="56"/>
    </row>
    <row r="565" spans="1:15" ht="13" x14ac:dyDescent="0.15">
      <c r="A565" s="56"/>
      <c r="B565" s="56"/>
      <c r="K565" s="56"/>
      <c r="L565" s="56"/>
      <c r="O565" s="56"/>
    </row>
    <row r="566" spans="1:15" ht="13" x14ac:dyDescent="0.15">
      <c r="A566" s="56"/>
      <c r="B566" s="56"/>
      <c r="K566" s="56"/>
      <c r="L566" s="56"/>
      <c r="O566" s="56"/>
    </row>
    <row r="567" spans="1:15" ht="13" x14ac:dyDescent="0.15">
      <c r="A567" s="56"/>
      <c r="B567" s="56"/>
      <c r="K567" s="56"/>
      <c r="L567" s="56"/>
      <c r="O567" s="56"/>
    </row>
    <row r="568" spans="1:15" ht="13" x14ac:dyDescent="0.15">
      <c r="A568" s="56"/>
      <c r="B568" s="56"/>
      <c r="K568" s="56"/>
      <c r="L568" s="56"/>
      <c r="O568" s="56"/>
    </row>
    <row r="569" spans="1:15" ht="13" x14ac:dyDescent="0.15">
      <c r="A569" s="56"/>
      <c r="B569" s="56"/>
      <c r="K569" s="56"/>
      <c r="L569" s="56"/>
      <c r="O569" s="56"/>
    </row>
    <row r="570" spans="1:15" ht="13" x14ac:dyDescent="0.15">
      <c r="A570" s="56"/>
      <c r="B570" s="56"/>
      <c r="K570" s="56"/>
      <c r="L570" s="56"/>
      <c r="O570" s="56"/>
    </row>
    <row r="571" spans="1:15" ht="13" x14ac:dyDescent="0.15">
      <c r="A571" s="56"/>
      <c r="B571" s="56"/>
      <c r="K571" s="56"/>
      <c r="L571" s="56"/>
      <c r="O571" s="56"/>
    </row>
    <row r="572" spans="1:15" ht="13" x14ac:dyDescent="0.15">
      <c r="A572" s="56"/>
      <c r="B572" s="56"/>
      <c r="K572" s="56"/>
      <c r="L572" s="56"/>
      <c r="O572" s="56"/>
    </row>
    <row r="573" spans="1:15" ht="13" x14ac:dyDescent="0.15">
      <c r="A573" s="56"/>
      <c r="B573" s="56"/>
      <c r="K573" s="56"/>
      <c r="L573" s="56"/>
      <c r="O573" s="56"/>
    </row>
    <row r="574" spans="1:15" ht="13" x14ac:dyDescent="0.15">
      <c r="A574" s="56"/>
      <c r="B574" s="56"/>
      <c r="K574" s="56"/>
      <c r="L574" s="56"/>
      <c r="O574" s="56"/>
    </row>
    <row r="575" spans="1:15" ht="13" x14ac:dyDescent="0.15">
      <c r="A575" s="56"/>
      <c r="B575" s="56"/>
      <c r="K575" s="56"/>
      <c r="L575" s="56"/>
      <c r="O575" s="56"/>
    </row>
    <row r="576" spans="1:15" ht="13" x14ac:dyDescent="0.15">
      <c r="A576" s="56"/>
      <c r="B576" s="56"/>
      <c r="K576" s="56"/>
      <c r="L576" s="56"/>
      <c r="O576" s="56"/>
    </row>
    <row r="577" spans="1:15" ht="13" x14ac:dyDescent="0.15">
      <c r="A577" s="56"/>
      <c r="B577" s="56"/>
      <c r="K577" s="56"/>
      <c r="L577" s="56"/>
      <c r="O577" s="56"/>
    </row>
    <row r="578" spans="1:15" ht="13" x14ac:dyDescent="0.15">
      <c r="A578" s="56"/>
      <c r="B578" s="56"/>
      <c r="K578" s="56"/>
      <c r="L578" s="56"/>
      <c r="O578" s="56"/>
    </row>
    <row r="579" spans="1:15" ht="13" x14ac:dyDescent="0.15">
      <c r="A579" s="56"/>
      <c r="B579" s="56"/>
      <c r="K579" s="56"/>
      <c r="L579" s="56"/>
      <c r="O579" s="56"/>
    </row>
    <row r="580" spans="1:15" ht="13" x14ac:dyDescent="0.15">
      <c r="A580" s="56"/>
      <c r="B580" s="56"/>
      <c r="K580" s="56"/>
      <c r="L580" s="56"/>
      <c r="O580" s="56"/>
    </row>
    <row r="581" spans="1:15" ht="13" x14ac:dyDescent="0.15">
      <c r="A581" s="56"/>
      <c r="B581" s="56"/>
      <c r="K581" s="56"/>
      <c r="L581" s="56"/>
      <c r="O581" s="56"/>
    </row>
    <row r="582" spans="1:15" ht="13" x14ac:dyDescent="0.15">
      <c r="A582" s="56"/>
      <c r="B582" s="56"/>
      <c r="K582" s="56"/>
      <c r="L582" s="56"/>
      <c r="O582" s="56"/>
    </row>
    <row r="583" spans="1:15" ht="13" x14ac:dyDescent="0.15">
      <c r="A583" s="56"/>
      <c r="B583" s="56"/>
      <c r="K583" s="56"/>
      <c r="L583" s="56"/>
      <c r="O583" s="56"/>
    </row>
    <row r="584" spans="1:15" ht="13" x14ac:dyDescent="0.15">
      <c r="A584" s="56"/>
      <c r="B584" s="56"/>
      <c r="K584" s="56"/>
      <c r="L584" s="56"/>
      <c r="O584" s="56"/>
    </row>
    <row r="585" spans="1:15" ht="13" x14ac:dyDescent="0.15">
      <c r="A585" s="56"/>
      <c r="B585" s="56"/>
      <c r="K585" s="56"/>
      <c r="L585" s="56"/>
      <c r="O585" s="56"/>
    </row>
    <row r="586" spans="1:15" ht="13" x14ac:dyDescent="0.15">
      <c r="A586" s="56"/>
      <c r="B586" s="56"/>
      <c r="K586" s="56"/>
      <c r="L586" s="56"/>
      <c r="O586" s="56"/>
    </row>
    <row r="587" spans="1:15" ht="13" x14ac:dyDescent="0.15">
      <c r="A587" s="56"/>
      <c r="B587" s="56"/>
      <c r="K587" s="56"/>
      <c r="L587" s="56"/>
      <c r="O587" s="56"/>
    </row>
    <row r="588" spans="1:15" ht="13" x14ac:dyDescent="0.15">
      <c r="A588" s="56"/>
      <c r="B588" s="56"/>
      <c r="K588" s="56"/>
      <c r="L588" s="56"/>
      <c r="O588" s="56"/>
    </row>
    <row r="589" spans="1:15" ht="13" x14ac:dyDescent="0.15">
      <c r="A589" s="56"/>
      <c r="B589" s="56"/>
      <c r="K589" s="56"/>
      <c r="L589" s="56"/>
      <c r="O589" s="56"/>
    </row>
    <row r="590" spans="1:15" ht="13" x14ac:dyDescent="0.15">
      <c r="A590" s="56"/>
      <c r="B590" s="56"/>
      <c r="K590" s="56"/>
      <c r="L590" s="56"/>
      <c r="O590" s="56"/>
    </row>
    <row r="591" spans="1:15" ht="13" x14ac:dyDescent="0.15">
      <c r="A591" s="56"/>
      <c r="B591" s="56"/>
      <c r="K591" s="56"/>
      <c r="L591" s="56"/>
      <c r="O591" s="56"/>
    </row>
    <row r="592" spans="1:15" ht="13" x14ac:dyDescent="0.15">
      <c r="A592" s="56"/>
      <c r="B592" s="56"/>
      <c r="K592" s="56"/>
      <c r="L592" s="56"/>
      <c r="O592" s="56"/>
    </row>
    <row r="593" spans="1:15" ht="13" x14ac:dyDescent="0.15">
      <c r="A593" s="56"/>
      <c r="B593" s="56"/>
      <c r="K593" s="56"/>
      <c r="L593" s="56"/>
      <c r="O593" s="56"/>
    </row>
    <row r="594" spans="1:15" ht="13" x14ac:dyDescent="0.15">
      <c r="A594" s="56"/>
      <c r="B594" s="56"/>
      <c r="K594" s="56"/>
      <c r="L594" s="56"/>
      <c r="O594" s="56"/>
    </row>
    <row r="595" spans="1:15" ht="13" x14ac:dyDescent="0.15">
      <c r="A595" s="56"/>
      <c r="B595" s="56"/>
      <c r="K595" s="56"/>
      <c r="L595" s="56"/>
      <c r="O595" s="56"/>
    </row>
    <row r="596" spans="1:15" ht="13" x14ac:dyDescent="0.15">
      <c r="A596" s="56"/>
      <c r="B596" s="56"/>
      <c r="K596" s="56"/>
      <c r="L596" s="56"/>
      <c r="O596" s="56"/>
    </row>
    <row r="597" spans="1:15" ht="13" x14ac:dyDescent="0.15">
      <c r="A597" s="56"/>
      <c r="B597" s="56"/>
      <c r="K597" s="56"/>
      <c r="L597" s="56"/>
      <c r="O597" s="56"/>
    </row>
    <row r="598" spans="1:15" ht="13" x14ac:dyDescent="0.15">
      <c r="A598" s="56"/>
      <c r="B598" s="56"/>
      <c r="K598" s="56"/>
      <c r="L598" s="56"/>
      <c r="O598" s="56"/>
    </row>
    <row r="599" spans="1:15" ht="13" x14ac:dyDescent="0.15">
      <c r="A599" s="56"/>
      <c r="B599" s="56"/>
      <c r="K599" s="56"/>
      <c r="L599" s="56"/>
      <c r="O599" s="56"/>
    </row>
    <row r="600" spans="1:15" ht="13" x14ac:dyDescent="0.15">
      <c r="A600" s="56"/>
      <c r="B600" s="56"/>
      <c r="K600" s="56"/>
      <c r="L600" s="56"/>
      <c r="O600" s="56"/>
    </row>
    <row r="601" spans="1:15" ht="13" x14ac:dyDescent="0.15">
      <c r="A601" s="56"/>
      <c r="B601" s="56"/>
      <c r="K601" s="56"/>
      <c r="L601" s="56"/>
      <c r="O601" s="56"/>
    </row>
    <row r="602" spans="1:15" ht="13" x14ac:dyDescent="0.15">
      <c r="A602" s="56"/>
      <c r="B602" s="56"/>
      <c r="K602" s="56"/>
      <c r="L602" s="56"/>
      <c r="O602" s="56"/>
    </row>
    <row r="603" spans="1:15" ht="13" x14ac:dyDescent="0.15">
      <c r="A603" s="56"/>
      <c r="B603" s="56"/>
      <c r="K603" s="56"/>
      <c r="L603" s="56"/>
      <c r="O603" s="56"/>
    </row>
    <row r="604" spans="1:15" ht="13" x14ac:dyDescent="0.15">
      <c r="A604" s="56"/>
      <c r="B604" s="56"/>
      <c r="K604" s="56"/>
      <c r="L604" s="56"/>
      <c r="O604" s="56"/>
    </row>
    <row r="605" spans="1:15" ht="13" x14ac:dyDescent="0.15">
      <c r="A605" s="56"/>
      <c r="B605" s="56"/>
      <c r="K605" s="56"/>
      <c r="L605" s="56"/>
      <c r="O605" s="56"/>
    </row>
    <row r="606" spans="1:15" ht="13" x14ac:dyDescent="0.15">
      <c r="A606" s="56"/>
      <c r="B606" s="56"/>
      <c r="K606" s="56"/>
      <c r="L606" s="56"/>
      <c r="O606" s="56"/>
    </row>
    <row r="607" spans="1:15" ht="13" x14ac:dyDescent="0.15">
      <c r="A607" s="56"/>
      <c r="B607" s="56"/>
      <c r="K607" s="56"/>
      <c r="L607" s="56"/>
      <c r="O607" s="56"/>
    </row>
    <row r="608" spans="1:15" ht="13" x14ac:dyDescent="0.15">
      <c r="A608" s="56"/>
      <c r="B608" s="56"/>
      <c r="K608" s="56"/>
      <c r="L608" s="56"/>
      <c r="O608" s="56"/>
    </row>
    <row r="609" spans="1:15" ht="13" x14ac:dyDescent="0.15">
      <c r="A609" s="56"/>
      <c r="B609" s="56"/>
      <c r="K609" s="56"/>
      <c r="L609" s="56"/>
      <c r="O609" s="56"/>
    </row>
    <row r="610" spans="1:15" ht="13" x14ac:dyDescent="0.15">
      <c r="A610" s="56"/>
      <c r="B610" s="56"/>
      <c r="K610" s="56"/>
      <c r="L610" s="56"/>
      <c r="O610" s="56"/>
    </row>
    <row r="611" spans="1:15" ht="13" x14ac:dyDescent="0.15">
      <c r="A611" s="56"/>
      <c r="B611" s="56"/>
      <c r="K611" s="56"/>
      <c r="L611" s="56"/>
      <c r="O611" s="56"/>
    </row>
    <row r="612" spans="1:15" ht="13" x14ac:dyDescent="0.15">
      <c r="A612" s="56"/>
      <c r="B612" s="56"/>
      <c r="K612" s="56"/>
      <c r="L612" s="56"/>
      <c r="O612" s="56"/>
    </row>
    <row r="613" spans="1:15" ht="13" x14ac:dyDescent="0.15">
      <c r="A613" s="56"/>
      <c r="B613" s="56"/>
      <c r="K613" s="56"/>
      <c r="L613" s="56"/>
      <c r="O613" s="56"/>
    </row>
    <row r="614" spans="1:15" ht="13" x14ac:dyDescent="0.15">
      <c r="A614" s="56"/>
      <c r="B614" s="56"/>
      <c r="K614" s="56"/>
      <c r="L614" s="56"/>
      <c r="O614" s="56"/>
    </row>
    <row r="615" spans="1:15" ht="13" x14ac:dyDescent="0.15">
      <c r="A615" s="56"/>
      <c r="B615" s="56"/>
      <c r="K615" s="56"/>
      <c r="L615" s="56"/>
      <c r="O615" s="56"/>
    </row>
    <row r="616" spans="1:15" ht="13" x14ac:dyDescent="0.15">
      <c r="A616" s="56"/>
      <c r="B616" s="56"/>
      <c r="K616" s="56"/>
      <c r="L616" s="56"/>
      <c r="O616" s="56"/>
    </row>
    <row r="617" spans="1:15" ht="13" x14ac:dyDescent="0.15">
      <c r="A617" s="56"/>
      <c r="B617" s="56"/>
      <c r="K617" s="56"/>
      <c r="L617" s="56"/>
      <c r="O617" s="56"/>
    </row>
    <row r="618" spans="1:15" ht="13" x14ac:dyDescent="0.15">
      <c r="A618" s="56"/>
      <c r="B618" s="56"/>
      <c r="K618" s="56"/>
      <c r="L618" s="56"/>
      <c r="O618" s="56"/>
    </row>
    <row r="619" spans="1:15" ht="13" x14ac:dyDescent="0.15">
      <c r="A619" s="56"/>
      <c r="B619" s="56"/>
      <c r="K619" s="56"/>
      <c r="L619" s="56"/>
      <c r="O619" s="56"/>
    </row>
    <row r="620" spans="1:15" ht="13" x14ac:dyDescent="0.15">
      <c r="A620" s="56"/>
      <c r="B620" s="56"/>
      <c r="K620" s="56"/>
      <c r="L620" s="56"/>
      <c r="O620" s="56"/>
    </row>
    <row r="621" spans="1:15" ht="13" x14ac:dyDescent="0.15">
      <c r="A621" s="56"/>
      <c r="B621" s="56"/>
      <c r="K621" s="56"/>
      <c r="L621" s="56"/>
      <c r="O621" s="56"/>
    </row>
    <row r="622" spans="1:15" ht="13" x14ac:dyDescent="0.15">
      <c r="A622" s="56"/>
      <c r="B622" s="56"/>
      <c r="K622" s="56"/>
      <c r="L622" s="56"/>
      <c r="O622" s="56"/>
    </row>
    <row r="623" spans="1:15" ht="13" x14ac:dyDescent="0.15">
      <c r="A623" s="56"/>
      <c r="B623" s="56"/>
      <c r="K623" s="56"/>
      <c r="L623" s="56"/>
      <c r="O623" s="56"/>
    </row>
    <row r="624" spans="1:15" ht="13" x14ac:dyDescent="0.15">
      <c r="A624" s="56"/>
      <c r="B624" s="56"/>
      <c r="K624" s="56"/>
      <c r="L624" s="56"/>
      <c r="O624" s="56"/>
    </row>
    <row r="625" spans="1:15" ht="13" x14ac:dyDescent="0.15">
      <c r="A625" s="56"/>
      <c r="B625" s="56"/>
      <c r="K625" s="56"/>
      <c r="L625" s="56"/>
      <c r="O625" s="56"/>
    </row>
    <row r="626" spans="1:15" ht="13" x14ac:dyDescent="0.15">
      <c r="A626" s="56"/>
      <c r="B626" s="56"/>
      <c r="K626" s="56"/>
      <c r="L626" s="56"/>
      <c r="O626" s="56"/>
    </row>
    <row r="627" spans="1:15" ht="13" x14ac:dyDescent="0.15">
      <c r="A627" s="56"/>
      <c r="B627" s="56"/>
      <c r="K627" s="56"/>
      <c r="L627" s="56"/>
      <c r="O627" s="56"/>
    </row>
    <row r="628" spans="1:15" ht="13" x14ac:dyDescent="0.15">
      <c r="A628" s="56"/>
      <c r="B628" s="56"/>
      <c r="K628" s="56"/>
      <c r="L628" s="56"/>
      <c r="O628" s="56"/>
    </row>
    <row r="629" spans="1:15" ht="13" x14ac:dyDescent="0.15">
      <c r="A629" s="56"/>
      <c r="B629" s="56"/>
      <c r="K629" s="56"/>
      <c r="L629" s="56"/>
      <c r="O629" s="56"/>
    </row>
    <row r="630" spans="1:15" ht="13" x14ac:dyDescent="0.15">
      <c r="A630" s="56"/>
      <c r="B630" s="56"/>
      <c r="K630" s="56"/>
      <c r="L630" s="56"/>
      <c r="O630" s="56"/>
    </row>
    <row r="631" spans="1:15" ht="13" x14ac:dyDescent="0.15">
      <c r="A631" s="56"/>
      <c r="B631" s="56"/>
      <c r="K631" s="56"/>
      <c r="L631" s="56"/>
      <c r="O631" s="56"/>
    </row>
    <row r="632" spans="1:15" ht="13" x14ac:dyDescent="0.15">
      <c r="A632" s="56"/>
      <c r="B632" s="56"/>
      <c r="K632" s="56"/>
      <c r="L632" s="56"/>
      <c r="O632" s="56"/>
    </row>
    <row r="633" spans="1:15" ht="13" x14ac:dyDescent="0.15">
      <c r="A633" s="56"/>
      <c r="B633" s="56"/>
      <c r="K633" s="56"/>
      <c r="L633" s="56"/>
      <c r="O633" s="56"/>
    </row>
    <row r="634" spans="1:15" ht="13" x14ac:dyDescent="0.15">
      <c r="A634" s="56"/>
      <c r="B634" s="56"/>
      <c r="K634" s="56"/>
      <c r="L634" s="56"/>
      <c r="O634" s="56"/>
    </row>
    <row r="635" spans="1:15" ht="13" x14ac:dyDescent="0.15">
      <c r="A635" s="56"/>
      <c r="B635" s="56"/>
      <c r="K635" s="56"/>
      <c r="L635" s="56"/>
      <c r="O635" s="56"/>
    </row>
    <row r="636" spans="1:15" ht="13" x14ac:dyDescent="0.15">
      <c r="A636" s="56"/>
      <c r="B636" s="56"/>
      <c r="K636" s="56"/>
      <c r="L636" s="56"/>
      <c r="O636" s="56"/>
    </row>
    <row r="637" spans="1:15" ht="13" x14ac:dyDescent="0.15">
      <c r="A637" s="56"/>
      <c r="B637" s="56"/>
      <c r="K637" s="56"/>
      <c r="L637" s="56"/>
      <c r="O637" s="56"/>
    </row>
    <row r="638" spans="1:15" ht="13" x14ac:dyDescent="0.15">
      <c r="A638" s="56"/>
      <c r="B638" s="56"/>
      <c r="K638" s="56"/>
      <c r="L638" s="56"/>
      <c r="O638" s="56"/>
    </row>
    <row r="639" spans="1:15" ht="13" x14ac:dyDescent="0.15">
      <c r="A639" s="56"/>
      <c r="B639" s="56"/>
      <c r="K639" s="56"/>
      <c r="L639" s="56"/>
      <c r="O639" s="56"/>
    </row>
    <row r="640" spans="1:15" ht="13" x14ac:dyDescent="0.15">
      <c r="A640" s="56"/>
      <c r="B640" s="56"/>
      <c r="K640" s="56"/>
      <c r="L640" s="56"/>
      <c r="O640" s="56"/>
    </row>
    <row r="641" spans="1:15" ht="13" x14ac:dyDescent="0.15">
      <c r="A641" s="56"/>
      <c r="B641" s="56"/>
      <c r="K641" s="56"/>
      <c r="L641" s="56"/>
      <c r="O641" s="56"/>
    </row>
    <row r="642" spans="1:15" ht="13" x14ac:dyDescent="0.15">
      <c r="A642" s="56"/>
      <c r="B642" s="56"/>
      <c r="K642" s="56"/>
      <c r="L642" s="56"/>
      <c r="O642" s="56"/>
    </row>
    <row r="643" spans="1:15" ht="13" x14ac:dyDescent="0.15">
      <c r="A643" s="56"/>
      <c r="B643" s="56"/>
      <c r="K643" s="56"/>
      <c r="L643" s="56"/>
      <c r="O643" s="56"/>
    </row>
    <row r="644" spans="1:15" ht="13" x14ac:dyDescent="0.15">
      <c r="A644" s="56"/>
      <c r="B644" s="56"/>
      <c r="K644" s="56"/>
      <c r="L644" s="56"/>
      <c r="O644" s="56"/>
    </row>
    <row r="645" spans="1:15" ht="13" x14ac:dyDescent="0.15">
      <c r="A645" s="56"/>
      <c r="B645" s="56"/>
      <c r="K645" s="56"/>
      <c r="L645" s="56"/>
      <c r="O645" s="56"/>
    </row>
    <row r="646" spans="1:15" ht="13" x14ac:dyDescent="0.15">
      <c r="A646" s="56"/>
      <c r="B646" s="56"/>
      <c r="K646" s="56"/>
      <c r="L646" s="56"/>
      <c r="O646" s="56"/>
    </row>
    <row r="647" spans="1:15" ht="13" x14ac:dyDescent="0.15">
      <c r="A647" s="56"/>
      <c r="B647" s="56"/>
      <c r="K647" s="56"/>
      <c r="L647" s="56"/>
      <c r="O647" s="56"/>
    </row>
    <row r="648" spans="1:15" ht="13" x14ac:dyDescent="0.15">
      <c r="A648" s="56"/>
      <c r="B648" s="56"/>
      <c r="K648" s="56"/>
      <c r="L648" s="56"/>
      <c r="O648" s="56"/>
    </row>
    <row r="649" spans="1:15" ht="13" x14ac:dyDescent="0.15">
      <c r="A649" s="56"/>
      <c r="B649" s="56"/>
      <c r="K649" s="56"/>
      <c r="L649" s="56"/>
      <c r="O649" s="56"/>
    </row>
    <row r="650" spans="1:15" ht="13" x14ac:dyDescent="0.15">
      <c r="A650" s="56"/>
      <c r="B650" s="56"/>
      <c r="K650" s="56"/>
      <c r="L650" s="56"/>
      <c r="O650" s="56"/>
    </row>
    <row r="651" spans="1:15" ht="13" x14ac:dyDescent="0.15">
      <c r="A651" s="56"/>
      <c r="B651" s="56"/>
      <c r="K651" s="56"/>
      <c r="L651" s="56"/>
      <c r="O651" s="56"/>
    </row>
    <row r="652" spans="1:15" ht="13" x14ac:dyDescent="0.15">
      <c r="A652" s="56"/>
      <c r="B652" s="56"/>
      <c r="K652" s="56"/>
      <c r="L652" s="56"/>
      <c r="O652" s="56"/>
    </row>
    <row r="653" spans="1:15" ht="13" x14ac:dyDescent="0.15">
      <c r="A653" s="56"/>
      <c r="B653" s="56"/>
      <c r="K653" s="56"/>
      <c r="L653" s="56"/>
      <c r="O653" s="56"/>
    </row>
    <row r="654" spans="1:15" ht="13" x14ac:dyDescent="0.15">
      <c r="A654" s="56"/>
      <c r="B654" s="56"/>
      <c r="K654" s="56"/>
      <c r="L654" s="56"/>
      <c r="O654" s="56"/>
    </row>
    <row r="655" spans="1:15" ht="13" x14ac:dyDescent="0.15">
      <c r="A655" s="56"/>
      <c r="B655" s="56"/>
      <c r="K655" s="56"/>
      <c r="L655" s="56"/>
      <c r="O655" s="56"/>
    </row>
    <row r="656" spans="1:15" ht="13" x14ac:dyDescent="0.15">
      <c r="A656" s="56"/>
      <c r="B656" s="56"/>
      <c r="K656" s="56"/>
      <c r="L656" s="56"/>
      <c r="O656" s="56"/>
    </row>
    <row r="657" spans="1:15" ht="13" x14ac:dyDescent="0.15">
      <c r="A657" s="56"/>
      <c r="B657" s="56"/>
      <c r="K657" s="56"/>
      <c r="L657" s="56"/>
      <c r="O657" s="56"/>
    </row>
    <row r="658" spans="1:15" ht="13" x14ac:dyDescent="0.15">
      <c r="A658" s="56"/>
      <c r="B658" s="56"/>
      <c r="K658" s="56"/>
      <c r="L658" s="56"/>
      <c r="O658" s="56"/>
    </row>
    <row r="659" spans="1:15" ht="13" x14ac:dyDescent="0.15">
      <c r="A659" s="56"/>
      <c r="B659" s="56"/>
      <c r="K659" s="56"/>
      <c r="L659" s="56"/>
      <c r="O659" s="56"/>
    </row>
    <row r="660" spans="1:15" ht="13" x14ac:dyDescent="0.15">
      <c r="A660" s="56"/>
      <c r="B660" s="56"/>
      <c r="K660" s="56"/>
      <c r="L660" s="56"/>
      <c r="O660" s="56"/>
    </row>
    <row r="661" spans="1:15" ht="13" x14ac:dyDescent="0.15">
      <c r="A661" s="56"/>
      <c r="B661" s="56"/>
      <c r="K661" s="56"/>
      <c r="L661" s="56"/>
      <c r="O661" s="56"/>
    </row>
    <row r="662" spans="1:15" ht="13" x14ac:dyDescent="0.15">
      <c r="A662" s="56"/>
      <c r="B662" s="56"/>
      <c r="K662" s="56"/>
      <c r="L662" s="56"/>
      <c r="O662" s="56"/>
    </row>
    <row r="663" spans="1:15" ht="13" x14ac:dyDescent="0.15">
      <c r="A663" s="56"/>
      <c r="B663" s="56"/>
      <c r="K663" s="56"/>
      <c r="L663" s="56"/>
      <c r="O663" s="56"/>
    </row>
    <row r="664" spans="1:15" ht="13" x14ac:dyDescent="0.15">
      <c r="A664" s="56"/>
      <c r="B664" s="56"/>
      <c r="K664" s="56"/>
      <c r="L664" s="56"/>
      <c r="O664" s="56"/>
    </row>
    <row r="665" spans="1:15" ht="13" x14ac:dyDescent="0.15">
      <c r="A665" s="56"/>
      <c r="B665" s="56"/>
      <c r="K665" s="56"/>
      <c r="L665" s="56"/>
      <c r="O665" s="56"/>
    </row>
    <row r="666" spans="1:15" ht="13" x14ac:dyDescent="0.15">
      <c r="A666" s="56"/>
      <c r="B666" s="56"/>
      <c r="K666" s="56"/>
      <c r="L666" s="56"/>
      <c r="O666" s="56"/>
    </row>
    <row r="667" spans="1:15" ht="13" x14ac:dyDescent="0.15">
      <c r="A667" s="56"/>
      <c r="B667" s="56"/>
      <c r="K667" s="56"/>
      <c r="L667" s="56"/>
      <c r="O667" s="56"/>
    </row>
    <row r="668" spans="1:15" ht="13" x14ac:dyDescent="0.15">
      <c r="A668" s="56"/>
      <c r="B668" s="56"/>
      <c r="K668" s="56"/>
      <c r="L668" s="56"/>
      <c r="O668" s="56"/>
    </row>
    <row r="669" spans="1:15" ht="13" x14ac:dyDescent="0.15">
      <c r="A669" s="56"/>
      <c r="B669" s="56"/>
      <c r="K669" s="56"/>
      <c r="L669" s="56"/>
      <c r="O669" s="56"/>
    </row>
    <row r="670" spans="1:15" ht="13" x14ac:dyDescent="0.15">
      <c r="A670" s="56"/>
      <c r="B670" s="56"/>
      <c r="K670" s="56"/>
      <c r="L670" s="56"/>
      <c r="O670" s="56"/>
    </row>
    <row r="671" spans="1:15" ht="13" x14ac:dyDescent="0.15">
      <c r="A671" s="56"/>
      <c r="B671" s="56"/>
      <c r="K671" s="56"/>
      <c r="L671" s="56"/>
      <c r="O671" s="56"/>
    </row>
    <row r="672" spans="1:15" ht="13" x14ac:dyDescent="0.15">
      <c r="A672" s="56"/>
      <c r="B672" s="56"/>
      <c r="K672" s="56"/>
      <c r="L672" s="56"/>
      <c r="O672" s="56"/>
    </row>
    <row r="673" spans="1:15" ht="13" x14ac:dyDescent="0.15">
      <c r="A673" s="56"/>
      <c r="B673" s="56"/>
      <c r="K673" s="56"/>
      <c r="L673" s="56"/>
      <c r="O673" s="56"/>
    </row>
    <row r="674" spans="1:15" ht="13" x14ac:dyDescent="0.15">
      <c r="A674" s="56"/>
      <c r="B674" s="56"/>
      <c r="K674" s="56"/>
      <c r="L674" s="56"/>
      <c r="O674" s="56"/>
    </row>
    <row r="675" spans="1:15" ht="13" x14ac:dyDescent="0.15">
      <c r="A675" s="56"/>
      <c r="B675" s="56"/>
      <c r="K675" s="56"/>
      <c r="L675" s="56"/>
      <c r="O675" s="56"/>
    </row>
    <row r="676" spans="1:15" ht="13" x14ac:dyDescent="0.15">
      <c r="A676" s="56"/>
      <c r="B676" s="56"/>
      <c r="K676" s="56"/>
      <c r="L676" s="56"/>
      <c r="O676" s="56"/>
    </row>
    <row r="677" spans="1:15" ht="13" x14ac:dyDescent="0.15">
      <c r="A677" s="56"/>
      <c r="B677" s="56"/>
      <c r="K677" s="56"/>
      <c r="L677" s="56"/>
      <c r="O677" s="56"/>
    </row>
    <row r="678" spans="1:15" ht="13" x14ac:dyDescent="0.15">
      <c r="A678" s="56"/>
      <c r="B678" s="56"/>
      <c r="K678" s="56"/>
      <c r="L678" s="56"/>
      <c r="O678" s="56"/>
    </row>
    <row r="679" spans="1:15" ht="13" x14ac:dyDescent="0.15">
      <c r="A679" s="56"/>
      <c r="B679" s="56"/>
      <c r="K679" s="56"/>
      <c r="L679" s="56"/>
      <c r="O679" s="56"/>
    </row>
    <row r="680" spans="1:15" ht="13" x14ac:dyDescent="0.15">
      <c r="A680" s="56"/>
      <c r="B680" s="56"/>
      <c r="K680" s="56"/>
      <c r="L680" s="56"/>
      <c r="O680" s="56"/>
    </row>
    <row r="681" spans="1:15" ht="13" x14ac:dyDescent="0.15">
      <c r="A681" s="56"/>
      <c r="B681" s="56"/>
      <c r="K681" s="56"/>
      <c r="L681" s="56"/>
      <c r="O681" s="56"/>
    </row>
    <row r="682" spans="1:15" ht="13" x14ac:dyDescent="0.15">
      <c r="A682" s="56"/>
      <c r="B682" s="56"/>
      <c r="K682" s="56"/>
      <c r="L682" s="56"/>
      <c r="O682" s="56"/>
    </row>
    <row r="683" spans="1:15" ht="13" x14ac:dyDescent="0.15">
      <c r="A683" s="56"/>
      <c r="B683" s="56"/>
      <c r="K683" s="56"/>
      <c r="L683" s="56"/>
      <c r="O683" s="56"/>
    </row>
    <row r="684" spans="1:15" ht="13" x14ac:dyDescent="0.15">
      <c r="A684" s="56"/>
      <c r="B684" s="56"/>
      <c r="K684" s="56"/>
      <c r="L684" s="56"/>
      <c r="O684" s="56"/>
    </row>
    <row r="685" spans="1:15" ht="13" x14ac:dyDescent="0.15">
      <c r="A685" s="56"/>
      <c r="B685" s="56"/>
      <c r="K685" s="56"/>
      <c r="L685" s="56"/>
      <c r="O685" s="56"/>
    </row>
    <row r="686" spans="1:15" ht="13" x14ac:dyDescent="0.15">
      <c r="A686" s="56"/>
      <c r="B686" s="56"/>
      <c r="K686" s="56"/>
      <c r="L686" s="56"/>
      <c r="O686" s="56"/>
    </row>
    <row r="687" spans="1:15" ht="13" x14ac:dyDescent="0.15">
      <c r="A687" s="56"/>
      <c r="B687" s="56"/>
      <c r="K687" s="56"/>
      <c r="L687" s="56"/>
      <c r="O687" s="56"/>
    </row>
    <row r="688" spans="1:15" ht="13" x14ac:dyDescent="0.15">
      <c r="A688" s="56"/>
      <c r="B688" s="56"/>
      <c r="K688" s="56"/>
      <c r="L688" s="56"/>
      <c r="O688" s="56"/>
    </row>
    <row r="689" spans="1:15" ht="13" x14ac:dyDescent="0.15">
      <c r="A689" s="56"/>
      <c r="B689" s="56"/>
      <c r="K689" s="56"/>
      <c r="L689" s="56"/>
      <c r="O689" s="56"/>
    </row>
    <row r="690" spans="1:15" ht="13" x14ac:dyDescent="0.15">
      <c r="A690" s="56"/>
      <c r="B690" s="56"/>
      <c r="K690" s="56"/>
      <c r="L690" s="56"/>
      <c r="O690" s="56"/>
    </row>
    <row r="691" spans="1:15" ht="13" x14ac:dyDescent="0.15">
      <c r="A691" s="56"/>
      <c r="B691" s="56"/>
      <c r="K691" s="56"/>
      <c r="L691" s="56"/>
      <c r="O691" s="56"/>
    </row>
    <row r="692" spans="1:15" ht="13" x14ac:dyDescent="0.15">
      <c r="A692" s="56"/>
      <c r="B692" s="56"/>
      <c r="K692" s="56"/>
      <c r="L692" s="56"/>
      <c r="O692" s="56"/>
    </row>
    <row r="693" spans="1:15" ht="13" x14ac:dyDescent="0.15">
      <c r="A693" s="56"/>
      <c r="B693" s="56"/>
      <c r="K693" s="56"/>
      <c r="L693" s="56"/>
      <c r="O693" s="56"/>
    </row>
    <row r="694" spans="1:15" ht="13" x14ac:dyDescent="0.15">
      <c r="A694" s="56"/>
      <c r="B694" s="56"/>
      <c r="K694" s="56"/>
      <c r="L694" s="56"/>
      <c r="O694" s="56"/>
    </row>
    <row r="695" spans="1:15" ht="13" x14ac:dyDescent="0.15">
      <c r="A695" s="56"/>
      <c r="B695" s="56"/>
      <c r="K695" s="56"/>
      <c r="L695" s="56"/>
      <c r="O695" s="56"/>
    </row>
    <row r="696" spans="1:15" ht="13" x14ac:dyDescent="0.15">
      <c r="A696" s="56"/>
      <c r="B696" s="56"/>
      <c r="K696" s="56"/>
      <c r="L696" s="56"/>
      <c r="O696" s="56"/>
    </row>
    <row r="697" spans="1:15" ht="13" x14ac:dyDescent="0.15">
      <c r="A697" s="56"/>
      <c r="B697" s="56"/>
      <c r="K697" s="56"/>
      <c r="L697" s="56"/>
      <c r="O697" s="56"/>
    </row>
    <row r="698" spans="1:15" ht="13" x14ac:dyDescent="0.15">
      <c r="A698" s="56"/>
      <c r="B698" s="56"/>
      <c r="K698" s="56"/>
      <c r="L698" s="56"/>
      <c r="O698" s="56"/>
    </row>
    <row r="699" spans="1:15" ht="13" x14ac:dyDescent="0.15">
      <c r="A699" s="56"/>
      <c r="B699" s="56"/>
      <c r="K699" s="56"/>
      <c r="L699" s="56"/>
      <c r="O699" s="56"/>
    </row>
    <row r="700" spans="1:15" ht="13" x14ac:dyDescent="0.15">
      <c r="A700" s="56"/>
      <c r="B700" s="56"/>
      <c r="K700" s="56"/>
      <c r="L700" s="56"/>
      <c r="O700" s="56"/>
    </row>
    <row r="701" spans="1:15" ht="13" x14ac:dyDescent="0.15">
      <c r="A701" s="56"/>
      <c r="B701" s="56"/>
      <c r="K701" s="56"/>
      <c r="L701" s="56"/>
      <c r="O701" s="56"/>
    </row>
    <row r="702" spans="1:15" ht="13" x14ac:dyDescent="0.15">
      <c r="A702" s="56"/>
      <c r="B702" s="56"/>
      <c r="K702" s="56"/>
      <c r="L702" s="56"/>
      <c r="O702" s="56"/>
    </row>
    <row r="703" spans="1:15" ht="13" x14ac:dyDescent="0.15">
      <c r="A703" s="56"/>
      <c r="B703" s="56"/>
      <c r="K703" s="56"/>
      <c r="L703" s="56"/>
      <c r="O703" s="56"/>
    </row>
    <row r="704" spans="1:15" ht="13" x14ac:dyDescent="0.15">
      <c r="A704" s="56"/>
      <c r="B704" s="56"/>
      <c r="K704" s="56"/>
      <c r="L704" s="56"/>
      <c r="O704" s="56"/>
    </row>
    <row r="705" spans="1:15" ht="13" x14ac:dyDescent="0.15">
      <c r="A705" s="56"/>
      <c r="B705" s="56"/>
      <c r="K705" s="56"/>
      <c r="L705" s="56"/>
      <c r="O705" s="56"/>
    </row>
    <row r="706" spans="1:15" ht="13" x14ac:dyDescent="0.15">
      <c r="A706" s="56"/>
      <c r="B706" s="56"/>
      <c r="K706" s="56"/>
      <c r="L706" s="56"/>
      <c r="O706" s="56"/>
    </row>
    <row r="707" spans="1:15" ht="13" x14ac:dyDescent="0.15">
      <c r="A707" s="56"/>
      <c r="B707" s="56"/>
      <c r="K707" s="56"/>
      <c r="L707" s="56"/>
      <c r="O707" s="56"/>
    </row>
    <row r="708" spans="1:15" ht="13" x14ac:dyDescent="0.15">
      <c r="A708" s="56"/>
      <c r="B708" s="56"/>
      <c r="K708" s="56"/>
      <c r="L708" s="56"/>
      <c r="O708" s="56"/>
    </row>
    <row r="709" spans="1:15" ht="13" x14ac:dyDescent="0.15">
      <c r="A709" s="56"/>
      <c r="B709" s="56"/>
      <c r="K709" s="56"/>
      <c r="L709" s="56"/>
      <c r="O709" s="56"/>
    </row>
    <row r="710" spans="1:15" ht="13" x14ac:dyDescent="0.15">
      <c r="A710" s="56"/>
      <c r="B710" s="56"/>
      <c r="K710" s="56"/>
      <c r="L710" s="56"/>
      <c r="O710" s="56"/>
    </row>
    <row r="711" spans="1:15" ht="13" x14ac:dyDescent="0.15">
      <c r="A711" s="56"/>
      <c r="B711" s="56"/>
      <c r="K711" s="56"/>
      <c r="L711" s="56"/>
      <c r="O711" s="56"/>
    </row>
    <row r="712" spans="1:15" ht="13" x14ac:dyDescent="0.15">
      <c r="A712" s="56"/>
      <c r="B712" s="56"/>
      <c r="K712" s="56"/>
      <c r="L712" s="56"/>
      <c r="O712" s="56"/>
    </row>
    <row r="713" spans="1:15" ht="13" x14ac:dyDescent="0.15">
      <c r="A713" s="56"/>
      <c r="B713" s="56"/>
      <c r="K713" s="56"/>
      <c r="L713" s="56"/>
      <c r="O713" s="56"/>
    </row>
    <row r="714" spans="1:15" ht="13" x14ac:dyDescent="0.15">
      <c r="A714" s="56"/>
      <c r="B714" s="56"/>
      <c r="K714" s="56"/>
      <c r="L714" s="56"/>
      <c r="O714" s="56"/>
    </row>
    <row r="715" spans="1:15" ht="13" x14ac:dyDescent="0.15">
      <c r="A715" s="56"/>
      <c r="B715" s="56"/>
      <c r="K715" s="56"/>
      <c r="L715" s="56"/>
      <c r="O715" s="56"/>
    </row>
    <row r="716" spans="1:15" ht="13" x14ac:dyDescent="0.15">
      <c r="A716" s="56"/>
      <c r="B716" s="56"/>
      <c r="K716" s="56"/>
      <c r="L716" s="56"/>
      <c r="O716" s="56"/>
    </row>
    <row r="717" spans="1:15" ht="13" x14ac:dyDescent="0.15">
      <c r="A717" s="56"/>
      <c r="B717" s="56"/>
      <c r="K717" s="56"/>
      <c r="L717" s="56"/>
      <c r="O717" s="56"/>
    </row>
    <row r="718" spans="1:15" ht="13" x14ac:dyDescent="0.15">
      <c r="A718" s="56"/>
      <c r="B718" s="56"/>
      <c r="K718" s="56"/>
      <c r="L718" s="56"/>
      <c r="O718" s="56"/>
    </row>
    <row r="719" spans="1:15" ht="13" x14ac:dyDescent="0.15">
      <c r="A719" s="56"/>
      <c r="B719" s="56"/>
      <c r="K719" s="56"/>
      <c r="L719" s="56"/>
      <c r="O719" s="56"/>
    </row>
    <row r="720" spans="1:15" ht="13" x14ac:dyDescent="0.15">
      <c r="A720" s="56"/>
      <c r="B720" s="56"/>
      <c r="K720" s="56"/>
      <c r="L720" s="56"/>
      <c r="O720" s="56"/>
    </row>
    <row r="721" spans="1:15" ht="13" x14ac:dyDescent="0.15">
      <c r="A721" s="56"/>
      <c r="B721" s="56"/>
      <c r="K721" s="56"/>
      <c r="L721" s="56"/>
      <c r="O721" s="56"/>
    </row>
    <row r="722" spans="1:15" ht="13" x14ac:dyDescent="0.15">
      <c r="A722" s="56"/>
      <c r="B722" s="56"/>
      <c r="K722" s="56"/>
      <c r="L722" s="56"/>
      <c r="O722" s="56"/>
    </row>
    <row r="723" spans="1:15" ht="13" x14ac:dyDescent="0.15">
      <c r="A723" s="56"/>
      <c r="B723" s="56"/>
      <c r="K723" s="56"/>
      <c r="L723" s="56"/>
      <c r="O723" s="56"/>
    </row>
    <row r="724" spans="1:15" ht="13" x14ac:dyDescent="0.15">
      <c r="A724" s="56"/>
      <c r="B724" s="56"/>
      <c r="K724" s="56"/>
      <c r="L724" s="56"/>
      <c r="O724" s="56"/>
    </row>
    <row r="725" spans="1:15" ht="13" x14ac:dyDescent="0.15">
      <c r="A725" s="56"/>
      <c r="B725" s="56"/>
      <c r="K725" s="56"/>
      <c r="L725" s="56"/>
      <c r="O725" s="56"/>
    </row>
    <row r="726" spans="1:15" ht="13" x14ac:dyDescent="0.15">
      <c r="A726" s="56"/>
      <c r="B726" s="56"/>
      <c r="K726" s="56"/>
      <c r="L726" s="56"/>
      <c r="O726" s="56"/>
    </row>
    <row r="727" spans="1:15" ht="13" x14ac:dyDescent="0.15">
      <c r="A727" s="56"/>
      <c r="B727" s="56"/>
      <c r="K727" s="56"/>
      <c r="L727" s="56"/>
      <c r="O727" s="56"/>
    </row>
    <row r="728" spans="1:15" ht="13" x14ac:dyDescent="0.15">
      <c r="A728" s="56"/>
      <c r="B728" s="56"/>
      <c r="K728" s="56"/>
      <c r="L728" s="56"/>
      <c r="O728" s="56"/>
    </row>
    <row r="729" spans="1:15" ht="13" x14ac:dyDescent="0.15">
      <c r="A729" s="56"/>
      <c r="B729" s="56"/>
      <c r="K729" s="56"/>
      <c r="L729" s="56"/>
      <c r="O729" s="56"/>
    </row>
    <row r="730" spans="1:15" ht="13" x14ac:dyDescent="0.15">
      <c r="A730" s="56"/>
      <c r="B730" s="56"/>
      <c r="K730" s="56"/>
      <c r="L730" s="56"/>
      <c r="O730" s="56"/>
    </row>
    <row r="731" spans="1:15" ht="13" x14ac:dyDescent="0.15">
      <c r="A731" s="56"/>
      <c r="B731" s="56"/>
      <c r="K731" s="56"/>
      <c r="L731" s="56"/>
      <c r="O731" s="56"/>
    </row>
    <row r="732" spans="1:15" ht="13" x14ac:dyDescent="0.15">
      <c r="A732" s="56"/>
      <c r="B732" s="56"/>
      <c r="K732" s="56"/>
      <c r="L732" s="56"/>
      <c r="O732" s="56"/>
    </row>
    <row r="733" spans="1:15" ht="13" x14ac:dyDescent="0.15">
      <c r="A733" s="56"/>
      <c r="B733" s="56"/>
      <c r="K733" s="56"/>
      <c r="L733" s="56"/>
      <c r="O733" s="56"/>
    </row>
    <row r="734" spans="1:15" ht="13" x14ac:dyDescent="0.15">
      <c r="A734" s="56"/>
      <c r="B734" s="56"/>
      <c r="K734" s="56"/>
      <c r="L734" s="56"/>
      <c r="O734" s="56"/>
    </row>
    <row r="735" spans="1:15" ht="13" x14ac:dyDescent="0.15">
      <c r="A735" s="56"/>
      <c r="B735" s="56"/>
      <c r="K735" s="56"/>
      <c r="L735" s="56"/>
      <c r="O735" s="56"/>
    </row>
    <row r="736" spans="1:15" ht="13" x14ac:dyDescent="0.15">
      <c r="A736" s="56"/>
      <c r="B736" s="56"/>
      <c r="K736" s="56"/>
      <c r="L736" s="56"/>
      <c r="O736" s="56"/>
    </row>
    <row r="737" spans="1:15" ht="13" x14ac:dyDescent="0.15">
      <c r="A737" s="56"/>
      <c r="B737" s="56"/>
      <c r="K737" s="56"/>
      <c r="L737" s="56"/>
      <c r="O737" s="56"/>
    </row>
    <row r="738" spans="1:15" ht="13" x14ac:dyDescent="0.15">
      <c r="A738" s="56"/>
      <c r="B738" s="56"/>
      <c r="K738" s="56"/>
      <c r="L738" s="56"/>
      <c r="O738" s="56"/>
    </row>
    <row r="739" spans="1:15" ht="13" x14ac:dyDescent="0.15">
      <c r="A739" s="56"/>
      <c r="B739" s="56"/>
      <c r="K739" s="56"/>
      <c r="L739" s="56"/>
      <c r="O739" s="56"/>
    </row>
    <row r="740" spans="1:15" ht="13" x14ac:dyDescent="0.15">
      <c r="A740" s="56"/>
      <c r="B740" s="56"/>
      <c r="K740" s="56"/>
      <c r="L740" s="56"/>
      <c r="O740" s="56"/>
    </row>
    <row r="741" spans="1:15" ht="13" x14ac:dyDescent="0.15">
      <c r="A741" s="56"/>
      <c r="B741" s="56"/>
      <c r="K741" s="56"/>
      <c r="L741" s="56"/>
      <c r="O741" s="56"/>
    </row>
    <row r="742" spans="1:15" ht="13" x14ac:dyDescent="0.15">
      <c r="A742" s="56"/>
      <c r="B742" s="56"/>
      <c r="K742" s="56"/>
      <c r="L742" s="56"/>
      <c r="O742" s="56"/>
    </row>
    <row r="743" spans="1:15" ht="13" x14ac:dyDescent="0.15">
      <c r="A743" s="56"/>
      <c r="B743" s="56"/>
      <c r="K743" s="56"/>
      <c r="L743" s="56"/>
      <c r="O743" s="56"/>
    </row>
    <row r="744" spans="1:15" ht="13" x14ac:dyDescent="0.15">
      <c r="A744" s="56"/>
      <c r="B744" s="56"/>
      <c r="K744" s="56"/>
      <c r="L744" s="56"/>
      <c r="O744" s="56"/>
    </row>
    <row r="745" spans="1:15" ht="13" x14ac:dyDescent="0.15">
      <c r="A745" s="56"/>
      <c r="B745" s="56"/>
      <c r="K745" s="56"/>
      <c r="L745" s="56"/>
      <c r="O745" s="56"/>
    </row>
    <row r="746" spans="1:15" ht="13" x14ac:dyDescent="0.15">
      <c r="A746" s="56"/>
      <c r="B746" s="56"/>
      <c r="K746" s="56"/>
      <c r="L746" s="56"/>
      <c r="O746" s="56"/>
    </row>
    <row r="747" spans="1:15" ht="13" x14ac:dyDescent="0.15">
      <c r="A747" s="56"/>
      <c r="B747" s="56"/>
      <c r="K747" s="56"/>
      <c r="L747" s="56"/>
      <c r="O747" s="56"/>
    </row>
    <row r="748" spans="1:15" ht="13" x14ac:dyDescent="0.15">
      <c r="A748" s="56"/>
      <c r="B748" s="56"/>
      <c r="K748" s="56"/>
      <c r="L748" s="56"/>
      <c r="O748" s="56"/>
    </row>
    <row r="749" spans="1:15" ht="13" x14ac:dyDescent="0.15">
      <c r="A749" s="56"/>
      <c r="B749" s="56"/>
      <c r="K749" s="56"/>
      <c r="L749" s="56"/>
      <c r="O749" s="56"/>
    </row>
    <row r="750" spans="1:15" ht="13" x14ac:dyDescent="0.15">
      <c r="A750" s="56"/>
      <c r="B750" s="56"/>
      <c r="K750" s="56"/>
      <c r="L750" s="56"/>
      <c r="O750" s="56"/>
    </row>
    <row r="751" spans="1:15" ht="13" x14ac:dyDescent="0.15">
      <c r="A751" s="56"/>
      <c r="B751" s="56"/>
      <c r="K751" s="56"/>
      <c r="L751" s="56"/>
      <c r="O751" s="56"/>
    </row>
    <row r="752" spans="1:15" ht="13" x14ac:dyDescent="0.15">
      <c r="A752" s="56"/>
      <c r="B752" s="56"/>
      <c r="K752" s="56"/>
      <c r="L752" s="56"/>
      <c r="O752" s="56"/>
    </row>
    <row r="753" spans="1:15" ht="13" x14ac:dyDescent="0.15">
      <c r="A753" s="56"/>
      <c r="B753" s="56"/>
      <c r="K753" s="56"/>
      <c r="L753" s="56"/>
      <c r="O753" s="56"/>
    </row>
    <row r="754" spans="1:15" ht="13" x14ac:dyDescent="0.15">
      <c r="A754" s="56"/>
      <c r="B754" s="56"/>
      <c r="K754" s="56"/>
      <c r="L754" s="56"/>
      <c r="O754" s="56"/>
    </row>
    <row r="755" spans="1:15" ht="13" x14ac:dyDescent="0.15">
      <c r="A755" s="56"/>
      <c r="B755" s="56"/>
      <c r="K755" s="56"/>
      <c r="L755" s="56"/>
      <c r="O755" s="56"/>
    </row>
    <row r="756" spans="1:15" ht="13" x14ac:dyDescent="0.15">
      <c r="A756" s="56"/>
      <c r="B756" s="56"/>
      <c r="K756" s="56"/>
      <c r="L756" s="56"/>
      <c r="O756" s="56"/>
    </row>
    <row r="757" spans="1:15" ht="13" x14ac:dyDescent="0.15">
      <c r="A757" s="56"/>
      <c r="B757" s="56"/>
      <c r="K757" s="56"/>
      <c r="L757" s="56"/>
      <c r="O757" s="56"/>
    </row>
    <row r="758" spans="1:15" ht="13" x14ac:dyDescent="0.15">
      <c r="A758" s="56"/>
      <c r="B758" s="56"/>
      <c r="K758" s="56"/>
      <c r="L758" s="56"/>
      <c r="O758" s="56"/>
    </row>
    <row r="759" spans="1:15" ht="13" x14ac:dyDescent="0.15">
      <c r="A759" s="56"/>
      <c r="B759" s="56"/>
      <c r="K759" s="56"/>
      <c r="L759" s="56"/>
      <c r="O759" s="56"/>
    </row>
    <row r="760" spans="1:15" ht="13" x14ac:dyDescent="0.15">
      <c r="A760" s="56"/>
      <c r="B760" s="56"/>
      <c r="K760" s="56"/>
      <c r="L760" s="56"/>
      <c r="O760" s="56"/>
    </row>
    <row r="761" spans="1:15" ht="13" x14ac:dyDescent="0.15">
      <c r="A761" s="56"/>
      <c r="B761" s="56"/>
      <c r="K761" s="56"/>
      <c r="L761" s="56"/>
      <c r="O761" s="56"/>
    </row>
    <row r="762" spans="1:15" ht="13" x14ac:dyDescent="0.15">
      <c r="A762" s="56"/>
      <c r="B762" s="56"/>
      <c r="K762" s="56"/>
      <c r="L762" s="56"/>
      <c r="O762" s="56"/>
    </row>
    <row r="763" spans="1:15" ht="13" x14ac:dyDescent="0.15">
      <c r="A763" s="56"/>
      <c r="B763" s="56"/>
      <c r="K763" s="56"/>
      <c r="L763" s="56"/>
      <c r="O763" s="56"/>
    </row>
    <row r="764" spans="1:15" ht="13" x14ac:dyDescent="0.15">
      <c r="A764" s="56"/>
      <c r="B764" s="56"/>
      <c r="K764" s="56"/>
      <c r="L764" s="56"/>
      <c r="O764" s="56"/>
    </row>
    <row r="765" spans="1:15" ht="13" x14ac:dyDescent="0.15">
      <c r="A765" s="56"/>
      <c r="B765" s="56"/>
      <c r="K765" s="56"/>
      <c r="L765" s="56"/>
      <c r="O765" s="56"/>
    </row>
    <row r="766" spans="1:15" ht="13" x14ac:dyDescent="0.15">
      <c r="A766" s="56"/>
      <c r="B766" s="56"/>
      <c r="K766" s="56"/>
      <c r="L766" s="56"/>
      <c r="O766" s="56"/>
    </row>
    <row r="767" spans="1:15" ht="13" x14ac:dyDescent="0.15">
      <c r="A767" s="56"/>
      <c r="B767" s="56"/>
      <c r="K767" s="56"/>
      <c r="L767" s="56"/>
      <c r="O767" s="56"/>
    </row>
    <row r="768" spans="1:15" ht="13" x14ac:dyDescent="0.15">
      <c r="A768" s="56"/>
      <c r="B768" s="56"/>
      <c r="K768" s="56"/>
      <c r="L768" s="56"/>
      <c r="O768" s="56"/>
    </row>
    <row r="769" spans="1:15" ht="13" x14ac:dyDescent="0.15">
      <c r="A769" s="56"/>
      <c r="B769" s="56"/>
      <c r="K769" s="56"/>
      <c r="L769" s="56"/>
      <c r="O769" s="56"/>
    </row>
    <row r="770" spans="1:15" ht="13" x14ac:dyDescent="0.15">
      <c r="A770" s="56"/>
      <c r="B770" s="56"/>
      <c r="K770" s="56"/>
      <c r="L770" s="56"/>
      <c r="O770" s="56"/>
    </row>
    <row r="771" spans="1:15" ht="13" x14ac:dyDescent="0.15">
      <c r="A771" s="56"/>
      <c r="B771" s="56"/>
      <c r="K771" s="56"/>
      <c r="L771" s="56"/>
      <c r="O771" s="56"/>
    </row>
    <row r="772" spans="1:15" ht="13" x14ac:dyDescent="0.15">
      <c r="A772" s="56"/>
      <c r="B772" s="56"/>
      <c r="K772" s="56"/>
      <c r="L772" s="56"/>
      <c r="O772" s="56"/>
    </row>
    <row r="773" spans="1:15" ht="13" x14ac:dyDescent="0.15">
      <c r="A773" s="56"/>
      <c r="B773" s="56"/>
      <c r="K773" s="56"/>
      <c r="L773" s="56"/>
      <c r="O773" s="56"/>
    </row>
    <row r="774" spans="1:15" ht="13" x14ac:dyDescent="0.15">
      <c r="A774" s="56"/>
      <c r="B774" s="56"/>
      <c r="K774" s="56"/>
      <c r="L774" s="56"/>
      <c r="O774" s="56"/>
    </row>
    <row r="775" spans="1:15" ht="13" x14ac:dyDescent="0.15">
      <c r="A775" s="56"/>
      <c r="B775" s="56"/>
      <c r="K775" s="56"/>
      <c r="L775" s="56"/>
      <c r="O775" s="56"/>
    </row>
    <row r="776" spans="1:15" ht="13" x14ac:dyDescent="0.15">
      <c r="A776" s="56"/>
      <c r="B776" s="56"/>
      <c r="K776" s="56"/>
      <c r="L776" s="56"/>
      <c r="O776" s="56"/>
    </row>
    <row r="777" spans="1:15" ht="13" x14ac:dyDescent="0.15">
      <c r="A777" s="56"/>
      <c r="B777" s="56"/>
      <c r="K777" s="56"/>
      <c r="L777" s="56"/>
      <c r="O777" s="56"/>
    </row>
    <row r="778" spans="1:15" ht="13" x14ac:dyDescent="0.15">
      <c r="A778" s="56"/>
      <c r="B778" s="56"/>
      <c r="K778" s="56"/>
      <c r="L778" s="56"/>
      <c r="O778" s="56"/>
    </row>
    <row r="779" spans="1:15" ht="13" x14ac:dyDescent="0.15">
      <c r="A779" s="56"/>
      <c r="B779" s="56"/>
      <c r="K779" s="56"/>
      <c r="L779" s="56"/>
      <c r="O779" s="56"/>
    </row>
    <row r="780" spans="1:15" ht="13" x14ac:dyDescent="0.15">
      <c r="A780" s="56"/>
      <c r="B780" s="56"/>
      <c r="K780" s="56"/>
      <c r="L780" s="56"/>
      <c r="O780" s="56"/>
    </row>
    <row r="781" spans="1:15" ht="13" x14ac:dyDescent="0.15">
      <c r="A781" s="56"/>
      <c r="B781" s="56"/>
      <c r="K781" s="56"/>
      <c r="L781" s="56"/>
      <c r="O781" s="56"/>
    </row>
    <row r="782" spans="1:15" ht="13" x14ac:dyDescent="0.15">
      <c r="A782" s="56"/>
      <c r="B782" s="56"/>
      <c r="K782" s="56"/>
      <c r="L782" s="56"/>
      <c r="O782" s="56"/>
    </row>
    <row r="783" spans="1:15" ht="13" x14ac:dyDescent="0.15">
      <c r="A783" s="56"/>
      <c r="B783" s="56"/>
      <c r="K783" s="56"/>
      <c r="L783" s="56"/>
      <c r="O783" s="56"/>
    </row>
    <row r="784" spans="1:15" ht="13" x14ac:dyDescent="0.15">
      <c r="A784" s="56"/>
      <c r="B784" s="56"/>
      <c r="K784" s="56"/>
      <c r="L784" s="56"/>
      <c r="O784" s="56"/>
    </row>
    <row r="785" spans="1:15" ht="13" x14ac:dyDescent="0.15">
      <c r="A785" s="56"/>
      <c r="B785" s="56"/>
      <c r="K785" s="56"/>
      <c r="L785" s="56"/>
      <c r="O785" s="56"/>
    </row>
    <row r="786" spans="1:15" ht="13" x14ac:dyDescent="0.15">
      <c r="A786" s="56"/>
      <c r="B786" s="56"/>
      <c r="K786" s="56"/>
      <c r="L786" s="56"/>
      <c r="O786" s="56"/>
    </row>
    <row r="787" spans="1:15" ht="13" x14ac:dyDescent="0.15">
      <c r="A787" s="56"/>
      <c r="B787" s="56"/>
      <c r="K787" s="56"/>
      <c r="L787" s="56"/>
      <c r="O787" s="56"/>
    </row>
    <row r="788" spans="1:15" ht="13" x14ac:dyDescent="0.15">
      <c r="A788" s="56"/>
      <c r="B788" s="56"/>
      <c r="K788" s="56"/>
      <c r="L788" s="56"/>
      <c r="O788" s="56"/>
    </row>
    <row r="789" spans="1:15" ht="13" x14ac:dyDescent="0.15">
      <c r="A789" s="56"/>
      <c r="B789" s="56"/>
      <c r="K789" s="56"/>
      <c r="L789" s="56"/>
      <c r="O789" s="56"/>
    </row>
    <row r="790" spans="1:15" ht="13" x14ac:dyDescent="0.15">
      <c r="A790" s="56"/>
      <c r="B790" s="56"/>
      <c r="K790" s="56"/>
      <c r="L790" s="56"/>
      <c r="O790" s="56"/>
    </row>
    <row r="791" spans="1:15" ht="13" x14ac:dyDescent="0.15">
      <c r="A791" s="56"/>
      <c r="B791" s="56"/>
      <c r="K791" s="56"/>
      <c r="L791" s="56"/>
      <c r="O791" s="56"/>
    </row>
    <row r="792" spans="1:15" ht="13" x14ac:dyDescent="0.15">
      <c r="A792" s="56"/>
      <c r="B792" s="56"/>
      <c r="K792" s="56"/>
      <c r="L792" s="56"/>
      <c r="O792" s="56"/>
    </row>
    <row r="793" spans="1:15" ht="13" x14ac:dyDescent="0.15">
      <c r="A793" s="56"/>
      <c r="B793" s="56"/>
      <c r="K793" s="56"/>
      <c r="L793" s="56"/>
      <c r="O793" s="56"/>
    </row>
    <row r="794" spans="1:15" ht="13" x14ac:dyDescent="0.15">
      <c r="A794" s="56"/>
      <c r="B794" s="56"/>
      <c r="K794" s="56"/>
      <c r="L794" s="56"/>
      <c r="O794" s="56"/>
    </row>
    <row r="795" spans="1:15" ht="13" x14ac:dyDescent="0.15">
      <c r="A795" s="56"/>
      <c r="B795" s="56"/>
      <c r="K795" s="56"/>
      <c r="L795" s="56"/>
      <c r="O795" s="56"/>
    </row>
    <row r="796" spans="1:15" ht="13" x14ac:dyDescent="0.15">
      <c r="A796" s="56"/>
      <c r="B796" s="56"/>
      <c r="K796" s="56"/>
      <c r="L796" s="56"/>
      <c r="O796" s="56"/>
    </row>
    <row r="797" spans="1:15" ht="13" x14ac:dyDescent="0.15">
      <c r="A797" s="56"/>
      <c r="B797" s="56"/>
      <c r="K797" s="56"/>
      <c r="L797" s="56"/>
      <c r="O797" s="56"/>
    </row>
    <row r="798" spans="1:15" ht="13" x14ac:dyDescent="0.15">
      <c r="A798" s="56"/>
      <c r="B798" s="56"/>
      <c r="K798" s="56"/>
      <c r="L798" s="56"/>
      <c r="O798" s="56"/>
    </row>
    <row r="799" spans="1:15" ht="13" x14ac:dyDescent="0.15">
      <c r="A799" s="56"/>
      <c r="B799" s="56"/>
      <c r="K799" s="56"/>
      <c r="L799" s="56"/>
      <c r="O799" s="56"/>
    </row>
    <row r="800" spans="1:15" ht="13" x14ac:dyDescent="0.15">
      <c r="A800" s="56"/>
      <c r="B800" s="56"/>
      <c r="K800" s="56"/>
      <c r="L800" s="56"/>
      <c r="O800" s="56"/>
    </row>
    <row r="801" spans="1:15" ht="13" x14ac:dyDescent="0.15">
      <c r="A801" s="56"/>
      <c r="B801" s="56"/>
      <c r="K801" s="56"/>
      <c r="L801" s="56"/>
      <c r="O801" s="56"/>
    </row>
    <row r="802" spans="1:15" ht="13" x14ac:dyDescent="0.15">
      <c r="A802" s="56"/>
      <c r="B802" s="56"/>
      <c r="K802" s="56"/>
      <c r="L802" s="56"/>
      <c r="O802" s="56"/>
    </row>
    <row r="803" spans="1:15" ht="13" x14ac:dyDescent="0.15">
      <c r="A803" s="56"/>
      <c r="B803" s="56"/>
      <c r="K803" s="56"/>
      <c r="L803" s="56"/>
      <c r="O803" s="56"/>
    </row>
    <row r="804" spans="1:15" ht="13" x14ac:dyDescent="0.15">
      <c r="A804" s="56"/>
      <c r="B804" s="56"/>
      <c r="K804" s="56"/>
      <c r="L804" s="56"/>
      <c r="O804" s="56"/>
    </row>
    <row r="805" spans="1:15" ht="13" x14ac:dyDescent="0.15">
      <c r="A805" s="56"/>
      <c r="B805" s="56"/>
      <c r="K805" s="56"/>
      <c r="L805" s="56"/>
      <c r="O805" s="56"/>
    </row>
    <row r="806" spans="1:15" ht="13" x14ac:dyDescent="0.15">
      <c r="A806" s="56"/>
      <c r="B806" s="56"/>
      <c r="K806" s="56"/>
      <c r="L806" s="56"/>
      <c r="O806" s="56"/>
    </row>
    <row r="807" spans="1:15" ht="13" x14ac:dyDescent="0.15">
      <c r="A807" s="56"/>
      <c r="B807" s="56"/>
      <c r="K807" s="56"/>
      <c r="L807" s="56"/>
      <c r="O807" s="56"/>
    </row>
    <row r="808" spans="1:15" ht="13" x14ac:dyDescent="0.15">
      <c r="A808" s="56"/>
      <c r="B808" s="56"/>
      <c r="K808" s="56"/>
      <c r="L808" s="56"/>
      <c r="O808" s="56"/>
    </row>
    <row r="809" spans="1:15" ht="13" x14ac:dyDescent="0.15">
      <c r="A809" s="56"/>
      <c r="B809" s="56"/>
      <c r="K809" s="56"/>
      <c r="L809" s="56"/>
      <c r="O809" s="56"/>
    </row>
    <row r="810" spans="1:15" ht="13" x14ac:dyDescent="0.15">
      <c r="A810" s="56"/>
      <c r="B810" s="56"/>
      <c r="K810" s="56"/>
      <c r="L810" s="56"/>
      <c r="O810" s="56"/>
    </row>
    <row r="811" spans="1:15" ht="13" x14ac:dyDescent="0.15">
      <c r="A811" s="56"/>
      <c r="B811" s="56"/>
      <c r="K811" s="56"/>
      <c r="L811" s="56"/>
      <c r="O811" s="56"/>
    </row>
    <row r="812" spans="1:15" ht="13" x14ac:dyDescent="0.15">
      <c r="A812" s="56"/>
      <c r="B812" s="56"/>
      <c r="K812" s="56"/>
      <c r="L812" s="56"/>
      <c r="O812" s="56"/>
    </row>
    <row r="813" spans="1:15" ht="13" x14ac:dyDescent="0.15">
      <c r="A813" s="56"/>
      <c r="B813" s="56"/>
      <c r="K813" s="56"/>
      <c r="L813" s="56"/>
      <c r="O813" s="56"/>
    </row>
    <row r="814" spans="1:15" ht="13" x14ac:dyDescent="0.15">
      <c r="A814" s="56"/>
      <c r="B814" s="56"/>
      <c r="K814" s="56"/>
      <c r="L814" s="56"/>
      <c r="O814" s="56"/>
    </row>
    <row r="815" spans="1:15" ht="13" x14ac:dyDescent="0.15">
      <c r="A815" s="56"/>
      <c r="B815" s="56"/>
      <c r="K815" s="56"/>
      <c r="L815" s="56"/>
      <c r="O815" s="56"/>
    </row>
    <row r="816" spans="1:15" ht="13" x14ac:dyDescent="0.15">
      <c r="A816" s="56"/>
      <c r="B816" s="56"/>
      <c r="K816" s="56"/>
      <c r="L816" s="56"/>
      <c r="O816" s="56"/>
    </row>
    <row r="817" spans="1:15" ht="13" x14ac:dyDescent="0.15">
      <c r="A817" s="56"/>
      <c r="B817" s="56"/>
      <c r="K817" s="56"/>
      <c r="L817" s="56"/>
      <c r="O817" s="56"/>
    </row>
    <row r="818" spans="1:15" ht="13" x14ac:dyDescent="0.15">
      <c r="A818" s="56"/>
      <c r="B818" s="56"/>
      <c r="K818" s="56"/>
      <c r="L818" s="56"/>
      <c r="O818" s="56"/>
    </row>
    <row r="819" spans="1:15" ht="13" x14ac:dyDescent="0.15">
      <c r="A819" s="56"/>
      <c r="B819" s="56"/>
      <c r="K819" s="56"/>
      <c r="L819" s="56"/>
      <c r="O819" s="56"/>
    </row>
    <row r="820" spans="1:15" ht="13" x14ac:dyDescent="0.15">
      <c r="A820" s="56"/>
      <c r="B820" s="56"/>
      <c r="K820" s="56"/>
      <c r="L820" s="56"/>
      <c r="O820" s="56"/>
    </row>
    <row r="821" spans="1:15" ht="13" x14ac:dyDescent="0.15">
      <c r="A821" s="56"/>
      <c r="B821" s="56"/>
      <c r="K821" s="56"/>
      <c r="L821" s="56"/>
      <c r="O821" s="56"/>
    </row>
    <row r="822" spans="1:15" ht="13" x14ac:dyDescent="0.15">
      <c r="A822" s="56"/>
      <c r="B822" s="56"/>
      <c r="K822" s="56"/>
      <c r="L822" s="56"/>
      <c r="O822" s="56"/>
    </row>
    <row r="823" spans="1:15" ht="13" x14ac:dyDescent="0.15">
      <c r="A823" s="56"/>
      <c r="B823" s="56"/>
      <c r="K823" s="56"/>
      <c r="L823" s="56"/>
      <c r="O823" s="56"/>
    </row>
    <row r="824" spans="1:15" ht="13" x14ac:dyDescent="0.15">
      <c r="A824" s="56"/>
      <c r="B824" s="56"/>
      <c r="K824" s="56"/>
      <c r="L824" s="56"/>
      <c r="O824" s="56"/>
    </row>
    <row r="825" spans="1:15" ht="13" x14ac:dyDescent="0.15">
      <c r="A825" s="56"/>
      <c r="B825" s="56"/>
      <c r="K825" s="56"/>
      <c r="L825" s="56"/>
      <c r="O825" s="56"/>
    </row>
    <row r="826" spans="1:15" ht="13" x14ac:dyDescent="0.15">
      <c r="A826" s="56"/>
      <c r="B826" s="56"/>
      <c r="K826" s="56"/>
      <c r="L826" s="56"/>
      <c r="O826" s="56"/>
    </row>
    <row r="827" spans="1:15" ht="13" x14ac:dyDescent="0.15">
      <c r="A827" s="56"/>
      <c r="B827" s="56"/>
      <c r="K827" s="56"/>
      <c r="L827" s="56"/>
      <c r="O827" s="56"/>
    </row>
    <row r="828" spans="1:15" ht="13" x14ac:dyDescent="0.15">
      <c r="A828" s="56"/>
      <c r="B828" s="56"/>
      <c r="K828" s="56"/>
      <c r="L828" s="56"/>
      <c r="O828" s="56"/>
    </row>
    <row r="829" spans="1:15" ht="13" x14ac:dyDescent="0.15">
      <c r="A829" s="56"/>
      <c r="B829" s="56"/>
      <c r="K829" s="56"/>
      <c r="L829" s="56"/>
      <c r="O829" s="56"/>
    </row>
    <row r="830" spans="1:15" ht="13" x14ac:dyDescent="0.15">
      <c r="A830" s="56"/>
      <c r="B830" s="56"/>
      <c r="K830" s="56"/>
      <c r="L830" s="56"/>
      <c r="O830" s="56"/>
    </row>
    <row r="831" spans="1:15" ht="13" x14ac:dyDescent="0.15">
      <c r="A831" s="56"/>
      <c r="B831" s="56"/>
      <c r="K831" s="56"/>
      <c r="L831" s="56"/>
      <c r="O831" s="56"/>
    </row>
    <row r="832" spans="1:15" ht="13" x14ac:dyDescent="0.15">
      <c r="A832" s="56"/>
      <c r="B832" s="56"/>
      <c r="K832" s="56"/>
      <c r="L832" s="56"/>
      <c r="O832" s="56"/>
    </row>
    <row r="833" spans="1:15" ht="13" x14ac:dyDescent="0.15">
      <c r="A833" s="56"/>
      <c r="B833" s="56"/>
      <c r="K833" s="56"/>
      <c r="L833" s="56"/>
      <c r="O833" s="56"/>
    </row>
    <row r="834" spans="1:15" ht="13" x14ac:dyDescent="0.15">
      <c r="A834" s="56"/>
      <c r="B834" s="56"/>
      <c r="K834" s="56"/>
      <c r="L834" s="56"/>
      <c r="O834" s="56"/>
    </row>
    <row r="835" spans="1:15" ht="13" x14ac:dyDescent="0.15">
      <c r="A835" s="56"/>
      <c r="B835" s="56"/>
      <c r="K835" s="56"/>
      <c r="L835" s="56"/>
      <c r="O835" s="56"/>
    </row>
    <row r="836" spans="1:15" ht="13" x14ac:dyDescent="0.15">
      <c r="A836" s="56"/>
      <c r="B836" s="56"/>
      <c r="K836" s="56"/>
      <c r="L836" s="56"/>
      <c r="O836" s="56"/>
    </row>
    <row r="837" spans="1:15" ht="13" x14ac:dyDescent="0.15">
      <c r="A837" s="56"/>
      <c r="B837" s="56"/>
      <c r="K837" s="56"/>
      <c r="L837" s="56"/>
      <c r="O837" s="56"/>
    </row>
    <row r="838" spans="1:15" ht="13" x14ac:dyDescent="0.15">
      <c r="A838" s="56"/>
      <c r="B838" s="56"/>
      <c r="K838" s="56"/>
      <c r="L838" s="56"/>
      <c r="O838" s="56"/>
    </row>
    <row r="839" spans="1:15" ht="13" x14ac:dyDescent="0.15">
      <c r="A839" s="56"/>
      <c r="B839" s="56"/>
      <c r="K839" s="56"/>
      <c r="L839" s="56"/>
      <c r="O839" s="56"/>
    </row>
    <row r="840" spans="1:15" ht="13" x14ac:dyDescent="0.15">
      <c r="A840" s="56"/>
      <c r="B840" s="56"/>
      <c r="K840" s="56"/>
      <c r="L840" s="56"/>
      <c r="O840" s="56"/>
    </row>
    <row r="841" spans="1:15" ht="13" x14ac:dyDescent="0.15">
      <c r="A841" s="56"/>
      <c r="B841" s="56"/>
      <c r="K841" s="56"/>
      <c r="L841" s="56"/>
      <c r="O841" s="56"/>
    </row>
    <row r="842" spans="1:15" ht="13" x14ac:dyDescent="0.15">
      <c r="A842" s="56"/>
      <c r="B842" s="56"/>
      <c r="K842" s="56"/>
      <c r="L842" s="56"/>
      <c r="O842" s="56"/>
    </row>
    <row r="843" spans="1:15" ht="13" x14ac:dyDescent="0.15">
      <c r="A843" s="56"/>
      <c r="B843" s="56"/>
      <c r="K843" s="56"/>
      <c r="L843" s="56"/>
      <c r="O843" s="56"/>
    </row>
    <row r="844" spans="1:15" ht="13" x14ac:dyDescent="0.15">
      <c r="A844" s="56"/>
      <c r="B844" s="56"/>
      <c r="K844" s="56"/>
      <c r="L844" s="56"/>
      <c r="O844" s="56"/>
    </row>
    <row r="845" spans="1:15" ht="13" x14ac:dyDescent="0.15">
      <c r="A845" s="56"/>
      <c r="B845" s="56"/>
      <c r="K845" s="56"/>
      <c r="L845" s="56"/>
      <c r="O845" s="56"/>
    </row>
    <row r="846" spans="1:15" ht="13" x14ac:dyDescent="0.15">
      <c r="A846" s="56"/>
      <c r="B846" s="56"/>
      <c r="K846" s="56"/>
      <c r="L846" s="56"/>
      <c r="O846" s="56"/>
    </row>
    <row r="847" spans="1:15" ht="13" x14ac:dyDescent="0.15">
      <c r="A847" s="56"/>
      <c r="B847" s="56"/>
      <c r="K847" s="56"/>
      <c r="L847" s="56"/>
      <c r="O847" s="56"/>
    </row>
    <row r="848" spans="1:15" ht="13" x14ac:dyDescent="0.15">
      <c r="A848" s="56"/>
      <c r="B848" s="56"/>
      <c r="K848" s="56"/>
      <c r="L848" s="56"/>
      <c r="O848" s="56"/>
    </row>
    <row r="849" spans="1:15" ht="13" x14ac:dyDescent="0.15">
      <c r="A849" s="56"/>
      <c r="B849" s="56"/>
      <c r="K849" s="56"/>
      <c r="L849" s="56"/>
      <c r="O849" s="56"/>
    </row>
    <row r="850" spans="1:15" ht="13" x14ac:dyDescent="0.15">
      <c r="A850" s="56"/>
      <c r="B850" s="56"/>
      <c r="K850" s="56"/>
      <c r="L850" s="56"/>
      <c r="O850" s="56"/>
    </row>
    <row r="851" spans="1:15" ht="13" x14ac:dyDescent="0.15">
      <c r="A851" s="56"/>
      <c r="B851" s="56"/>
      <c r="K851" s="56"/>
      <c r="L851" s="56"/>
      <c r="O851" s="56"/>
    </row>
    <row r="852" spans="1:15" ht="13" x14ac:dyDescent="0.15">
      <c r="A852" s="56"/>
      <c r="B852" s="56"/>
      <c r="K852" s="56"/>
      <c r="L852" s="56"/>
      <c r="O852" s="56"/>
    </row>
    <row r="853" spans="1:15" ht="13" x14ac:dyDescent="0.15">
      <c r="A853" s="56"/>
      <c r="B853" s="56"/>
      <c r="K853" s="56"/>
      <c r="L853" s="56"/>
      <c r="O853" s="56"/>
    </row>
    <row r="854" spans="1:15" ht="13" x14ac:dyDescent="0.15">
      <c r="A854" s="56"/>
      <c r="B854" s="56"/>
      <c r="K854" s="56"/>
      <c r="L854" s="56"/>
      <c r="O854" s="56"/>
    </row>
    <row r="855" spans="1:15" ht="13" x14ac:dyDescent="0.15">
      <c r="A855" s="56"/>
      <c r="B855" s="56"/>
      <c r="K855" s="56"/>
      <c r="L855" s="56"/>
      <c r="O855" s="56"/>
    </row>
    <row r="856" spans="1:15" ht="13" x14ac:dyDescent="0.15">
      <c r="A856" s="56"/>
      <c r="B856" s="56"/>
      <c r="K856" s="56"/>
      <c r="L856" s="56"/>
      <c r="O856" s="56"/>
    </row>
    <row r="857" spans="1:15" ht="13" x14ac:dyDescent="0.15">
      <c r="A857" s="56"/>
      <c r="B857" s="56"/>
      <c r="K857" s="56"/>
      <c r="L857" s="56"/>
      <c r="O857" s="56"/>
    </row>
    <row r="858" spans="1:15" ht="13" x14ac:dyDescent="0.15">
      <c r="A858" s="56"/>
      <c r="B858" s="56"/>
      <c r="K858" s="56"/>
      <c r="L858" s="56"/>
      <c r="O858" s="56"/>
    </row>
    <row r="859" spans="1:15" ht="13" x14ac:dyDescent="0.15">
      <c r="A859" s="56"/>
      <c r="B859" s="56"/>
      <c r="K859" s="56"/>
      <c r="L859" s="56"/>
      <c r="O859" s="56"/>
    </row>
    <row r="860" spans="1:15" ht="13" x14ac:dyDescent="0.15">
      <c r="A860" s="56"/>
      <c r="B860" s="56"/>
      <c r="K860" s="56"/>
      <c r="L860" s="56"/>
      <c r="O860" s="56"/>
    </row>
    <row r="861" spans="1:15" ht="13" x14ac:dyDescent="0.15">
      <c r="A861" s="56"/>
      <c r="B861" s="56"/>
      <c r="K861" s="56"/>
      <c r="L861" s="56"/>
      <c r="O861" s="56"/>
    </row>
    <row r="862" spans="1:15" ht="13" x14ac:dyDescent="0.15">
      <c r="A862" s="56"/>
      <c r="B862" s="56"/>
      <c r="K862" s="56"/>
      <c r="L862" s="56"/>
      <c r="O862" s="56"/>
    </row>
    <row r="863" spans="1:15" ht="13" x14ac:dyDescent="0.15">
      <c r="A863" s="56"/>
      <c r="B863" s="56"/>
      <c r="K863" s="56"/>
      <c r="L863" s="56"/>
      <c r="O863" s="56"/>
    </row>
    <row r="864" spans="1:15" ht="13" x14ac:dyDescent="0.15">
      <c r="A864" s="56"/>
      <c r="B864" s="56"/>
      <c r="K864" s="56"/>
      <c r="L864" s="56"/>
      <c r="O864" s="56"/>
    </row>
    <row r="865" spans="1:15" ht="13" x14ac:dyDescent="0.15">
      <c r="A865" s="56"/>
      <c r="B865" s="56"/>
      <c r="K865" s="56"/>
      <c r="L865" s="56"/>
      <c r="O865" s="56"/>
    </row>
    <row r="866" spans="1:15" ht="13" x14ac:dyDescent="0.15">
      <c r="A866" s="56"/>
      <c r="B866" s="56"/>
      <c r="K866" s="56"/>
      <c r="L866" s="56"/>
      <c r="O866" s="56"/>
    </row>
    <row r="867" spans="1:15" ht="13" x14ac:dyDescent="0.15">
      <c r="A867" s="56"/>
      <c r="B867" s="56"/>
      <c r="K867" s="56"/>
      <c r="L867" s="56"/>
      <c r="O867" s="56"/>
    </row>
    <row r="868" spans="1:15" ht="13" x14ac:dyDescent="0.15">
      <c r="A868" s="56"/>
      <c r="B868" s="56"/>
      <c r="K868" s="56"/>
      <c r="L868" s="56"/>
      <c r="O868" s="56"/>
    </row>
    <row r="869" spans="1:15" ht="13" x14ac:dyDescent="0.15">
      <c r="A869" s="56"/>
      <c r="B869" s="56"/>
      <c r="K869" s="56"/>
      <c r="L869" s="56"/>
      <c r="O869" s="56"/>
    </row>
    <row r="870" spans="1:15" ht="13" x14ac:dyDescent="0.15">
      <c r="A870" s="56"/>
      <c r="B870" s="56"/>
      <c r="K870" s="56"/>
      <c r="L870" s="56"/>
      <c r="O870" s="56"/>
    </row>
    <row r="871" spans="1:15" ht="13" x14ac:dyDescent="0.15">
      <c r="A871" s="56"/>
      <c r="B871" s="56"/>
      <c r="K871" s="56"/>
      <c r="L871" s="56"/>
      <c r="O871" s="56"/>
    </row>
    <row r="872" spans="1:15" ht="13" x14ac:dyDescent="0.15">
      <c r="A872" s="56"/>
      <c r="B872" s="56"/>
      <c r="K872" s="56"/>
      <c r="L872" s="56"/>
      <c r="O872" s="56"/>
    </row>
    <row r="873" spans="1:15" ht="13" x14ac:dyDescent="0.15">
      <c r="A873" s="56"/>
      <c r="B873" s="56"/>
      <c r="K873" s="56"/>
      <c r="L873" s="56"/>
      <c r="O873" s="56"/>
    </row>
    <row r="874" spans="1:15" ht="13" x14ac:dyDescent="0.15">
      <c r="A874" s="56"/>
      <c r="B874" s="56"/>
      <c r="K874" s="56"/>
      <c r="L874" s="56"/>
      <c r="O874" s="56"/>
    </row>
    <row r="875" spans="1:15" ht="13" x14ac:dyDescent="0.15">
      <c r="A875" s="56"/>
      <c r="B875" s="56"/>
      <c r="K875" s="56"/>
      <c r="L875" s="56"/>
      <c r="O875" s="56"/>
    </row>
    <row r="876" spans="1:15" ht="13" x14ac:dyDescent="0.15">
      <c r="A876" s="56"/>
      <c r="B876" s="56"/>
      <c r="K876" s="56"/>
      <c r="L876" s="56"/>
      <c r="O876" s="56"/>
    </row>
    <row r="877" spans="1:15" ht="13" x14ac:dyDescent="0.15">
      <c r="A877" s="56"/>
      <c r="B877" s="56"/>
      <c r="K877" s="56"/>
      <c r="L877" s="56"/>
      <c r="O877" s="56"/>
    </row>
    <row r="878" spans="1:15" ht="13" x14ac:dyDescent="0.15">
      <c r="A878" s="56"/>
      <c r="B878" s="56"/>
      <c r="K878" s="56"/>
      <c r="L878" s="56"/>
      <c r="O878" s="56"/>
    </row>
    <row r="879" spans="1:15" ht="13" x14ac:dyDescent="0.15">
      <c r="A879" s="56"/>
      <c r="B879" s="56"/>
      <c r="K879" s="56"/>
      <c r="L879" s="56"/>
      <c r="O879" s="56"/>
    </row>
    <row r="880" spans="1:15" ht="13" x14ac:dyDescent="0.15">
      <c r="A880" s="56"/>
      <c r="B880" s="56"/>
      <c r="K880" s="56"/>
      <c r="L880" s="56"/>
      <c r="O880" s="56"/>
    </row>
    <row r="881" spans="1:15" ht="13" x14ac:dyDescent="0.15">
      <c r="A881" s="56"/>
      <c r="B881" s="56"/>
      <c r="K881" s="56"/>
      <c r="L881" s="56"/>
      <c r="O881" s="56"/>
    </row>
    <row r="882" spans="1:15" ht="13" x14ac:dyDescent="0.15">
      <c r="A882" s="56"/>
      <c r="B882" s="56"/>
      <c r="K882" s="56"/>
      <c r="L882" s="56"/>
      <c r="O882" s="56"/>
    </row>
    <row r="883" spans="1:15" ht="13" x14ac:dyDescent="0.15">
      <c r="A883" s="56"/>
      <c r="B883" s="56"/>
      <c r="K883" s="56"/>
      <c r="L883" s="56"/>
      <c r="O883" s="56"/>
    </row>
    <row r="884" spans="1:15" ht="13" x14ac:dyDescent="0.15">
      <c r="A884" s="56"/>
      <c r="B884" s="56"/>
      <c r="K884" s="56"/>
      <c r="L884" s="56"/>
      <c r="O884" s="56"/>
    </row>
    <row r="885" spans="1:15" ht="13" x14ac:dyDescent="0.15">
      <c r="A885" s="56"/>
      <c r="B885" s="56"/>
      <c r="K885" s="56"/>
      <c r="L885" s="56"/>
      <c r="O885" s="56"/>
    </row>
    <row r="886" spans="1:15" ht="13" x14ac:dyDescent="0.15">
      <c r="A886" s="56"/>
      <c r="B886" s="56"/>
      <c r="K886" s="56"/>
      <c r="L886" s="56"/>
      <c r="O886" s="56"/>
    </row>
    <row r="887" spans="1:15" ht="13" x14ac:dyDescent="0.15">
      <c r="A887" s="56"/>
      <c r="B887" s="56"/>
      <c r="K887" s="56"/>
      <c r="L887" s="56"/>
      <c r="O887" s="56"/>
    </row>
    <row r="888" spans="1:15" ht="13" x14ac:dyDescent="0.15">
      <c r="A888" s="56"/>
      <c r="B888" s="56"/>
      <c r="K888" s="56"/>
      <c r="L888" s="56"/>
      <c r="O888" s="56"/>
    </row>
    <row r="889" spans="1:15" ht="13" x14ac:dyDescent="0.15">
      <c r="A889" s="56"/>
      <c r="B889" s="56"/>
      <c r="K889" s="56"/>
      <c r="L889" s="56"/>
      <c r="O889" s="56"/>
    </row>
    <row r="890" spans="1:15" ht="13" x14ac:dyDescent="0.15">
      <c r="A890" s="56"/>
      <c r="B890" s="56"/>
      <c r="K890" s="56"/>
      <c r="L890" s="56"/>
      <c r="O890" s="56"/>
    </row>
    <row r="891" spans="1:15" ht="13" x14ac:dyDescent="0.15">
      <c r="A891" s="56"/>
      <c r="B891" s="56"/>
      <c r="K891" s="56"/>
      <c r="L891" s="56"/>
      <c r="O891" s="56"/>
    </row>
    <row r="892" spans="1:15" ht="13" x14ac:dyDescent="0.15">
      <c r="A892" s="56"/>
      <c r="B892" s="56"/>
      <c r="K892" s="56"/>
      <c r="L892" s="56"/>
      <c r="O892" s="56"/>
    </row>
    <row r="893" spans="1:15" ht="13" x14ac:dyDescent="0.15">
      <c r="A893" s="56"/>
      <c r="B893" s="56"/>
      <c r="K893" s="56"/>
      <c r="L893" s="56"/>
      <c r="O893" s="56"/>
    </row>
    <row r="894" spans="1:15" ht="13" x14ac:dyDescent="0.15">
      <c r="A894" s="56"/>
      <c r="B894" s="56"/>
      <c r="K894" s="56"/>
      <c r="L894" s="56"/>
      <c r="O894" s="56"/>
    </row>
    <row r="895" spans="1:15" ht="13" x14ac:dyDescent="0.15">
      <c r="A895" s="56"/>
      <c r="B895" s="56"/>
      <c r="K895" s="56"/>
      <c r="L895" s="56"/>
      <c r="O895" s="56"/>
    </row>
    <row r="896" spans="1:15" ht="13" x14ac:dyDescent="0.15">
      <c r="A896" s="56"/>
      <c r="B896" s="56"/>
      <c r="K896" s="56"/>
      <c r="L896" s="56"/>
      <c r="O896" s="56"/>
    </row>
    <row r="897" spans="1:15" ht="13" x14ac:dyDescent="0.15">
      <c r="A897" s="56"/>
      <c r="B897" s="56"/>
      <c r="K897" s="56"/>
      <c r="L897" s="56"/>
      <c r="O897" s="56"/>
    </row>
    <row r="898" spans="1:15" ht="13" x14ac:dyDescent="0.15">
      <c r="A898" s="56"/>
      <c r="B898" s="56"/>
      <c r="K898" s="56"/>
      <c r="L898" s="56"/>
      <c r="O898" s="56"/>
    </row>
    <row r="899" spans="1:15" ht="13" x14ac:dyDescent="0.15">
      <c r="A899" s="56"/>
      <c r="B899" s="56"/>
      <c r="K899" s="56"/>
      <c r="L899" s="56"/>
      <c r="O899" s="56"/>
    </row>
    <row r="900" spans="1:15" ht="13" x14ac:dyDescent="0.15">
      <c r="A900" s="56"/>
      <c r="B900" s="56"/>
      <c r="K900" s="56"/>
      <c r="L900" s="56"/>
      <c r="O900" s="56"/>
    </row>
    <row r="901" spans="1:15" ht="13" x14ac:dyDescent="0.15">
      <c r="A901" s="56"/>
      <c r="B901" s="56"/>
      <c r="K901" s="56"/>
      <c r="L901" s="56"/>
      <c r="O901" s="56"/>
    </row>
    <row r="902" spans="1:15" ht="13" x14ac:dyDescent="0.15">
      <c r="A902" s="56"/>
      <c r="B902" s="56"/>
      <c r="K902" s="56"/>
      <c r="L902" s="56"/>
      <c r="O902" s="56"/>
    </row>
    <row r="903" spans="1:15" ht="13" x14ac:dyDescent="0.15">
      <c r="A903" s="56"/>
      <c r="B903" s="56"/>
      <c r="K903" s="56"/>
      <c r="L903" s="56"/>
      <c r="O903" s="56"/>
    </row>
    <row r="904" spans="1:15" ht="13" x14ac:dyDescent="0.15">
      <c r="A904" s="56"/>
      <c r="B904" s="56"/>
      <c r="K904" s="56"/>
      <c r="L904" s="56"/>
      <c r="O904" s="56"/>
    </row>
    <row r="905" spans="1:15" ht="13" x14ac:dyDescent="0.15">
      <c r="A905" s="56"/>
      <c r="B905" s="56"/>
      <c r="K905" s="56"/>
      <c r="L905" s="56"/>
      <c r="O905" s="56"/>
    </row>
    <row r="906" spans="1:15" ht="13" x14ac:dyDescent="0.15">
      <c r="A906" s="56"/>
      <c r="B906" s="56"/>
      <c r="K906" s="56"/>
      <c r="L906" s="56"/>
      <c r="O906" s="56"/>
    </row>
    <row r="907" spans="1:15" ht="13" x14ac:dyDescent="0.15">
      <c r="A907" s="56"/>
      <c r="B907" s="56"/>
      <c r="K907" s="56"/>
      <c r="L907" s="56"/>
      <c r="O907" s="56"/>
    </row>
    <row r="908" spans="1:15" ht="13" x14ac:dyDescent="0.15">
      <c r="A908" s="56"/>
      <c r="B908" s="56"/>
      <c r="K908" s="56"/>
      <c r="L908" s="56"/>
      <c r="O908" s="56"/>
    </row>
    <row r="909" spans="1:15" ht="13" x14ac:dyDescent="0.15">
      <c r="A909" s="56"/>
      <c r="B909" s="56"/>
      <c r="K909" s="56"/>
      <c r="L909" s="56"/>
      <c r="O909" s="56"/>
    </row>
    <row r="910" spans="1:15" ht="13" x14ac:dyDescent="0.15">
      <c r="A910" s="56"/>
      <c r="B910" s="56"/>
      <c r="K910" s="56"/>
      <c r="L910" s="56"/>
      <c r="O910" s="56"/>
    </row>
    <row r="911" spans="1:15" ht="13" x14ac:dyDescent="0.15">
      <c r="A911" s="56"/>
      <c r="B911" s="56"/>
      <c r="K911" s="56"/>
      <c r="L911" s="56"/>
      <c r="O911" s="56"/>
    </row>
    <row r="912" spans="1:15" ht="13" x14ac:dyDescent="0.15">
      <c r="A912" s="56"/>
      <c r="B912" s="56"/>
      <c r="K912" s="56"/>
      <c r="L912" s="56"/>
      <c r="O912" s="56"/>
    </row>
    <row r="913" spans="1:15" ht="13" x14ac:dyDescent="0.15">
      <c r="A913" s="56"/>
      <c r="B913" s="56"/>
      <c r="K913" s="56"/>
      <c r="L913" s="56"/>
      <c r="O913" s="56"/>
    </row>
    <row r="914" spans="1:15" ht="13" x14ac:dyDescent="0.15">
      <c r="A914" s="56"/>
      <c r="B914" s="56"/>
      <c r="K914" s="56"/>
      <c r="L914" s="56"/>
      <c r="O914" s="56"/>
    </row>
    <row r="915" spans="1:15" ht="13" x14ac:dyDescent="0.15">
      <c r="A915" s="56"/>
      <c r="B915" s="56"/>
      <c r="K915" s="56"/>
      <c r="L915" s="56"/>
      <c r="O915" s="56"/>
    </row>
    <row r="916" spans="1:15" ht="13" x14ac:dyDescent="0.15">
      <c r="A916" s="56"/>
      <c r="B916" s="56"/>
      <c r="K916" s="56"/>
      <c r="L916" s="56"/>
      <c r="O916" s="56"/>
    </row>
    <row r="917" spans="1:15" ht="13" x14ac:dyDescent="0.15">
      <c r="A917" s="56"/>
      <c r="B917" s="56"/>
      <c r="K917" s="56"/>
      <c r="L917" s="56"/>
      <c r="O917" s="56"/>
    </row>
    <row r="918" spans="1:15" ht="13" x14ac:dyDescent="0.15">
      <c r="A918" s="56"/>
      <c r="B918" s="56"/>
      <c r="K918" s="56"/>
      <c r="L918" s="56"/>
      <c r="O918" s="56"/>
    </row>
    <row r="919" spans="1:15" ht="13" x14ac:dyDescent="0.15">
      <c r="A919" s="56"/>
      <c r="B919" s="56"/>
      <c r="K919" s="56"/>
      <c r="L919" s="56"/>
      <c r="O919" s="56"/>
    </row>
    <row r="920" spans="1:15" ht="13" x14ac:dyDescent="0.15">
      <c r="A920" s="56"/>
      <c r="B920" s="56"/>
      <c r="K920" s="56"/>
      <c r="L920" s="56"/>
      <c r="O920" s="56"/>
    </row>
    <row r="921" spans="1:15" ht="13" x14ac:dyDescent="0.15">
      <c r="A921" s="56"/>
      <c r="B921" s="56"/>
      <c r="K921" s="56"/>
      <c r="L921" s="56"/>
      <c r="O921" s="56"/>
    </row>
    <row r="922" spans="1:15" ht="13" x14ac:dyDescent="0.15">
      <c r="A922" s="56"/>
      <c r="B922" s="56"/>
      <c r="K922" s="56"/>
      <c r="L922" s="56"/>
      <c r="O922" s="56"/>
    </row>
    <row r="923" spans="1:15" ht="13" x14ac:dyDescent="0.15">
      <c r="A923" s="56"/>
      <c r="B923" s="56"/>
      <c r="K923" s="56"/>
      <c r="L923" s="56"/>
      <c r="O923" s="56"/>
    </row>
    <row r="924" spans="1:15" ht="13" x14ac:dyDescent="0.15">
      <c r="A924" s="56"/>
      <c r="B924" s="56"/>
      <c r="K924" s="56"/>
      <c r="L924" s="56"/>
      <c r="O924" s="56"/>
    </row>
    <row r="925" spans="1:15" ht="13" x14ac:dyDescent="0.15">
      <c r="A925" s="56"/>
      <c r="B925" s="56"/>
      <c r="K925" s="56"/>
      <c r="L925" s="56"/>
      <c r="O925" s="56"/>
    </row>
    <row r="926" spans="1:15" ht="13" x14ac:dyDescent="0.15">
      <c r="A926" s="56"/>
      <c r="B926" s="56"/>
      <c r="K926" s="56"/>
      <c r="L926" s="56"/>
      <c r="O926" s="56"/>
    </row>
    <row r="927" spans="1:15" ht="13" x14ac:dyDescent="0.15">
      <c r="A927" s="56"/>
      <c r="B927" s="56"/>
      <c r="K927" s="56"/>
      <c r="L927" s="56"/>
      <c r="O927" s="56"/>
    </row>
    <row r="928" spans="1:15" ht="13" x14ac:dyDescent="0.15">
      <c r="A928" s="56"/>
      <c r="B928" s="56"/>
      <c r="K928" s="56"/>
      <c r="L928" s="56"/>
      <c r="O928" s="56"/>
    </row>
    <row r="929" spans="1:15" ht="13" x14ac:dyDescent="0.15">
      <c r="A929" s="56"/>
      <c r="B929" s="56"/>
      <c r="K929" s="56"/>
      <c r="L929" s="56"/>
      <c r="O929" s="56"/>
    </row>
    <row r="930" spans="1:15" ht="13" x14ac:dyDescent="0.15">
      <c r="A930" s="56"/>
      <c r="B930" s="56"/>
      <c r="K930" s="56"/>
      <c r="L930" s="56"/>
      <c r="O930" s="56"/>
    </row>
    <row r="931" spans="1:15" ht="13" x14ac:dyDescent="0.15">
      <c r="A931" s="56"/>
      <c r="B931" s="56"/>
      <c r="K931" s="56"/>
      <c r="L931" s="56"/>
      <c r="O931" s="56"/>
    </row>
    <row r="932" spans="1:15" ht="13" x14ac:dyDescent="0.15">
      <c r="A932" s="56"/>
      <c r="B932" s="56"/>
      <c r="K932" s="56"/>
      <c r="L932" s="56"/>
      <c r="O932" s="56"/>
    </row>
    <row r="933" spans="1:15" ht="13" x14ac:dyDescent="0.15">
      <c r="A933" s="56"/>
      <c r="B933" s="56"/>
      <c r="K933" s="56"/>
      <c r="L933" s="56"/>
      <c r="O933" s="56"/>
    </row>
    <row r="934" spans="1:15" ht="13" x14ac:dyDescent="0.15">
      <c r="A934" s="56"/>
      <c r="B934" s="56"/>
      <c r="K934" s="56"/>
      <c r="L934" s="56"/>
      <c r="O934" s="56"/>
    </row>
    <row r="935" spans="1:15" ht="13" x14ac:dyDescent="0.15">
      <c r="A935" s="56"/>
      <c r="B935" s="56"/>
      <c r="K935" s="56"/>
      <c r="L935" s="56"/>
      <c r="O935" s="56"/>
    </row>
    <row r="936" spans="1:15" ht="13" x14ac:dyDescent="0.15">
      <c r="A936" s="56"/>
      <c r="B936" s="56"/>
      <c r="K936" s="56"/>
      <c r="L936" s="56"/>
      <c r="O936" s="56"/>
    </row>
    <row r="937" spans="1:15" ht="13" x14ac:dyDescent="0.15">
      <c r="A937" s="56"/>
      <c r="B937" s="56"/>
      <c r="K937" s="56"/>
      <c r="L937" s="56"/>
      <c r="O937" s="56"/>
    </row>
    <row r="938" spans="1:15" ht="13" x14ac:dyDescent="0.15">
      <c r="A938" s="56"/>
      <c r="B938" s="56"/>
      <c r="K938" s="56"/>
      <c r="L938" s="56"/>
      <c r="O938" s="56"/>
    </row>
    <row r="939" spans="1:15" ht="13" x14ac:dyDescent="0.15">
      <c r="A939" s="56"/>
      <c r="B939" s="56"/>
      <c r="K939" s="56"/>
      <c r="L939" s="56"/>
      <c r="O939" s="56"/>
    </row>
    <row r="940" spans="1:15" ht="13" x14ac:dyDescent="0.15">
      <c r="A940" s="56"/>
      <c r="B940" s="56"/>
      <c r="K940" s="56"/>
      <c r="L940" s="56"/>
      <c r="O940" s="56"/>
    </row>
    <row r="941" spans="1:15" ht="13" x14ac:dyDescent="0.15">
      <c r="A941" s="56"/>
      <c r="B941" s="56"/>
      <c r="K941" s="56"/>
      <c r="L941" s="56"/>
      <c r="O941" s="56"/>
    </row>
    <row r="942" spans="1:15" ht="13" x14ac:dyDescent="0.15">
      <c r="A942" s="56"/>
      <c r="B942" s="56"/>
      <c r="K942" s="56"/>
      <c r="L942" s="56"/>
      <c r="O942" s="56"/>
    </row>
    <row r="943" spans="1:15" ht="13" x14ac:dyDescent="0.15">
      <c r="A943" s="56"/>
      <c r="B943" s="56"/>
      <c r="K943" s="56"/>
      <c r="L943" s="56"/>
      <c r="O943" s="56"/>
    </row>
    <row r="944" spans="1:15" ht="13" x14ac:dyDescent="0.15">
      <c r="A944" s="56"/>
      <c r="B944" s="56"/>
      <c r="K944" s="56"/>
      <c r="L944" s="56"/>
      <c r="O944" s="56"/>
    </row>
    <row r="945" spans="1:15" ht="13" x14ac:dyDescent="0.15">
      <c r="A945" s="56"/>
      <c r="B945" s="56"/>
      <c r="K945" s="56"/>
      <c r="L945" s="56"/>
      <c r="O945" s="56"/>
    </row>
    <row r="946" spans="1:15" ht="13" x14ac:dyDescent="0.15">
      <c r="A946" s="56"/>
      <c r="B946" s="56"/>
      <c r="K946" s="56"/>
      <c r="L946" s="56"/>
      <c r="O946" s="56"/>
    </row>
    <row r="947" spans="1:15" ht="13" x14ac:dyDescent="0.15">
      <c r="A947" s="56"/>
      <c r="B947" s="56"/>
      <c r="K947" s="56"/>
      <c r="L947" s="56"/>
      <c r="O947" s="56"/>
    </row>
    <row r="948" spans="1:15" ht="13" x14ac:dyDescent="0.15">
      <c r="A948" s="56"/>
      <c r="B948" s="56"/>
      <c r="K948" s="56"/>
      <c r="L948" s="56"/>
      <c r="O948" s="56"/>
    </row>
    <row r="949" spans="1:15" ht="13" x14ac:dyDescent="0.15">
      <c r="A949" s="56"/>
      <c r="B949" s="56"/>
      <c r="K949" s="56"/>
      <c r="L949" s="56"/>
      <c r="O949" s="56"/>
    </row>
    <row r="950" spans="1:15" ht="13" x14ac:dyDescent="0.15">
      <c r="A950" s="56"/>
      <c r="B950" s="56"/>
      <c r="K950" s="56"/>
      <c r="L950" s="56"/>
      <c r="O950" s="56"/>
    </row>
    <row r="951" spans="1:15" ht="13" x14ac:dyDescent="0.15">
      <c r="A951" s="56"/>
      <c r="B951" s="56"/>
      <c r="K951" s="56"/>
      <c r="L951" s="56"/>
      <c r="O951" s="56"/>
    </row>
    <row r="952" spans="1:15" ht="13" x14ac:dyDescent="0.15">
      <c r="A952" s="56"/>
      <c r="B952" s="56"/>
      <c r="K952" s="56"/>
      <c r="L952" s="56"/>
      <c r="O952" s="56"/>
    </row>
    <row r="953" spans="1:15" ht="13" x14ac:dyDescent="0.15">
      <c r="A953" s="56"/>
      <c r="B953" s="56"/>
      <c r="K953" s="56"/>
      <c r="L953" s="56"/>
      <c r="O953" s="56"/>
    </row>
    <row r="954" spans="1:15" ht="13" x14ac:dyDescent="0.15">
      <c r="A954" s="56"/>
      <c r="B954" s="56"/>
      <c r="K954" s="56"/>
      <c r="L954" s="56"/>
      <c r="O954" s="56"/>
    </row>
    <row r="955" spans="1:15" ht="13" x14ac:dyDescent="0.15">
      <c r="A955" s="56"/>
      <c r="B955" s="56"/>
      <c r="K955" s="56"/>
      <c r="L955" s="56"/>
      <c r="O955" s="56"/>
    </row>
    <row r="956" spans="1:15" ht="13" x14ac:dyDescent="0.15">
      <c r="A956" s="56"/>
      <c r="B956" s="56"/>
      <c r="K956" s="56"/>
      <c r="L956" s="56"/>
      <c r="O956" s="56"/>
    </row>
    <row r="957" spans="1:15" ht="13" x14ac:dyDescent="0.15">
      <c r="A957" s="56"/>
      <c r="B957" s="56"/>
      <c r="K957" s="56"/>
      <c r="L957" s="56"/>
      <c r="O957" s="56"/>
    </row>
    <row r="958" spans="1:15" ht="13" x14ac:dyDescent="0.15">
      <c r="A958" s="56"/>
      <c r="B958" s="56"/>
      <c r="K958" s="56"/>
      <c r="L958" s="56"/>
      <c r="O958" s="56"/>
    </row>
    <row r="959" spans="1:15" ht="13" x14ac:dyDescent="0.15">
      <c r="A959" s="56"/>
      <c r="B959" s="56"/>
      <c r="K959" s="56"/>
      <c r="L959" s="56"/>
      <c r="O959" s="56"/>
    </row>
    <row r="960" spans="1:15" ht="13" x14ac:dyDescent="0.15">
      <c r="A960" s="56"/>
      <c r="B960" s="56"/>
      <c r="K960" s="56"/>
      <c r="L960" s="56"/>
      <c r="O960" s="56"/>
    </row>
    <row r="961" spans="1:15" ht="13" x14ac:dyDescent="0.15">
      <c r="A961" s="56"/>
      <c r="B961" s="56"/>
      <c r="K961" s="56"/>
      <c r="L961" s="56"/>
      <c r="O961" s="56"/>
    </row>
    <row r="962" spans="1:15" ht="13" x14ac:dyDescent="0.15">
      <c r="A962" s="56"/>
      <c r="B962" s="56"/>
      <c r="K962" s="56"/>
      <c r="L962" s="56"/>
      <c r="O962" s="56"/>
    </row>
    <row r="963" spans="1:15" ht="13" x14ac:dyDescent="0.15">
      <c r="A963" s="56"/>
      <c r="B963" s="56"/>
      <c r="K963" s="56"/>
      <c r="L963" s="56"/>
      <c r="O963" s="56"/>
    </row>
    <row r="964" spans="1:15" ht="13" x14ac:dyDescent="0.15">
      <c r="A964" s="56"/>
      <c r="B964" s="56"/>
      <c r="K964" s="56"/>
      <c r="L964" s="56"/>
      <c r="O964" s="56"/>
    </row>
    <row r="965" spans="1:15" ht="13" x14ac:dyDescent="0.15">
      <c r="A965" s="56"/>
      <c r="B965" s="56"/>
      <c r="K965" s="56"/>
      <c r="L965" s="56"/>
      <c r="O965" s="56"/>
    </row>
    <row r="966" spans="1:15" ht="13" x14ac:dyDescent="0.15">
      <c r="A966" s="56"/>
      <c r="B966" s="56"/>
      <c r="K966" s="56"/>
      <c r="L966" s="56"/>
      <c r="O966" s="56"/>
    </row>
    <row r="967" spans="1:15" ht="13" x14ac:dyDescent="0.15">
      <c r="A967" s="56"/>
      <c r="B967" s="56"/>
      <c r="K967" s="56"/>
      <c r="L967" s="56"/>
      <c r="O967" s="56"/>
    </row>
    <row r="968" spans="1:15" ht="13" x14ac:dyDescent="0.15">
      <c r="A968" s="56"/>
      <c r="B968" s="56"/>
      <c r="K968" s="56"/>
      <c r="L968" s="56"/>
      <c r="O968" s="56"/>
    </row>
    <row r="969" spans="1:15" ht="13" x14ac:dyDescent="0.15">
      <c r="A969" s="56"/>
      <c r="B969" s="56"/>
      <c r="K969" s="56"/>
      <c r="L969" s="56"/>
      <c r="O969" s="56"/>
    </row>
    <row r="970" spans="1:15" ht="13" x14ac:dyDescent="0.15">
      <c r="A970" s="56"/>
      <c r="B970" s="56"/>
      <c r="K970" s="56"/>
      <c r="L970" s="56"/>
      <c r="O970" s="56"/>
    </row>
    <row r="971" spans="1:15" ht="13" x14ac:dyDescent="0.15">
      <c r="A971" s="56"/>
      <c r="B971" s="56"/>
      <c r="K971" s="56"/>
      <c r="L971" s="56"/>
      <c r="O971" s="56"/>
    </row>
    <row r="972" spans="1:15" ht="13" x14ac:dyDescent="0.15">
      <c r="A972" s="56"/>
      <c r="B972" s="56"/>
      <c r="K972" s="56"/>
      <c r="L972" s="56"/>
      <c r="O972" s="56"/>
    </row>
    <row r="973" spans="1:15" ht="13" x14ac:dyDescent="0.15">
      <c r="A973" s="56"/>
      <c r="B973" s="56"/>
      <c r="K973" s="56"/>
      <c r="L973" s="56"/>
      <c r="O973" s="56"/>
    </row>
    <row r="974" spans="1:15" ht="13" x14ac:dyDescent="0.15">
      <c r="A974" s="56"/>
      <c r="B974" s="56"/>
      <c r="K974" s="56"/>
      <c r="L974" s="56"/>
      <c r="O974" s="56"/>
    </row>
    <row r="975" spans="1:15" ht="13" x14ac:dyDescent="0.15">
      <c r="A975" s="56"/>
      <c r="B975" s="56"/>
      <c r="K975" s="56"/>
      <c r="L975" s="56"/>
      <c r="O975" s="56"/>
    </row>
    <row r="976" spans="1:15" ht="13" x14ac:dyDescent="0.15">
      <c r="A976" s="56"/>
      <c r="B976" s="56"/>
      <c r="K976" s="56"/>
      <c r="L976" s="56"/>
      <c r="O976" s="56"/>
    </row>
    <row r="977" spans="1:15" ht="13" x14ac:dyDescent="0.15">
      <c r="A977" s="56"/>
      <c r="B977" s="56"/>
      <c r="K977" s="56"/>
      <c r="L977" s="56"/>
      <c r="O977" s="56"/>
    </row>
    <row r="978" spans="1:15" ht="13" x14ac:dyDescent="0.15">
      <c r="A978" s="56"/>
      <c r="B978" s="56"/>
      <c r="K978" s="56"/>
      <c r="L978" s="56"/>
      <c r="O978" s="56"/>
    </row>
    <row r="979" spans="1:15" ht="13" x14ac:dyDescent="0.15">
      <c r="A979" s="56"/>
      <c r="B979" s="56"/>
      <c r="K979" s="56"/>
      <c r="L979" s="56"/>
      <c r="O979" s="56"/>
    </row>
    <row r="980" spans="1:15" ht="13" x14ac:dyDescent="0.15">
      <c r="A980" s="56"/>
      <c r="B980" s="56"/>
      <c r="K980" s="56"/>
      <c r="L980" s="56"/>
      <c r="O980" s="56"/>
    </row>
    <row r="981" spans="1:15" ht="13" x14ac:dyDescent="0.15">
      <c r="A981" s="56"/>
      <c r="B981" s="56"/>
      <c r="K981" s="56"/>
      <c r="L981" s="56"/>
      <c r="O981" s="56"/>
    </row>
    <row r="982" spans="1:15" ht="13" x14ac:dyDescent="0.15">
      <c r="A982" s="56"/>
      <c r="B982" s="56"/>
      <c r="K982" s="56"/>
      <c r="L982" s="56"/>
      <c r="O982" s="56"/>
    </row>
    <row r="983" spans="1:15" ht="13" x14ac:dyDescent="0.15">
      <c r="A983" s="56"/>
      <c r="B983" s="56"/>
      <c r="K983" s="56"/>
      <c r="L983" s="56"/>
      <c r="O983" s="56"/>
    </row>
  </sheetData>
  <hyperlinks>
    <hyperlink ref="M3" r:id="rId1" xr:uid="{00000000-0004-0000-0600-000000000000}"/>
    <hyperlink ref="M4" r:id="rId2" xr:uid="{00000000-0004-0000-0600-000001000000}"/>
    <hyperlink ref="M7" r:id="rId3" xr:uid="{00000000-0004-0000-0600-000002000000}"/>
    <hyperlink ref="M8" r:id="rId4" xr:uid="{00000000-0004-0000-0600-000003000000}"/>
    <hyperlink ref="M10" r:id="rId5" xr:uid="{00000000-0004-0000-0600-000004000000}"/>
    <hyperlink ref="M11" r:id="rId6" xr:uid="{00000000-0004-0000-0600-000005000000}"/>
    <hyperlink ref="M13" r:id="rId7" xr:uid="{00000000-0004-0000-0600-000006000000}"/>
    <hyperlink ref="M62" r:id="rId8" xr:uid="{00000000-0004-0000-0600-000007000000}"/>
    <hyperlink ref="M63" r:id="rId9" xr:uid="{00000000-0004-0000-0600-000008000000}"/>
  </hyperlinks>
  <pageMargins left="0.7" right="0.7" top="0.3" bottom="0.3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99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1640625" customWidth="1"/>
    <col min="2" max="2" width="16.33203125" customWidth="1"/>
    <col min="3" max="4" width="12.1640625" customWidth="1"/>
    <col min="5" max="5" width="64.1640625" customWidth="1"/>
    <col min="6" max="6" width="74.6640625" customWidth="1"/>
    <col min="7" max="7" width="26.1640625" customWidth="1"/>
    <col min="8" max="8" width="41.6640625" customWidth="1"/>
    <col min="9" max="9" width="26.1640625" customWidth="1"/>
    <col min="10" max="10" width="25" customWidth="1"/>
    <col min="11" max="11" width="23.6640625" customWidth="1"/>
    <col min="12" max="12" width="22.6640625" customWidth="1"/>
    <col min="13" max="13" width="41.83203125" customWidth="1"/>
    <col min="14" max="14" width="34.1640625" customWidth="1"/>
    <col min="15" max="15" width="16.1640625" customWidth="1"/>
    <col min="16" max="16" width="17.83203125" customWidth="1"/>
    <col min="17" max="17" width="42.1640625" customWidth="1"/>
    <col min="18" max="18" width="32.5" customWidth="1"/>
    <col min="19" max="19" width="25.33203125" customWidth="1"/>
    <col min="20" max="20" width="23.33203125" customWidth="1"/>
    <col min="21" max="21" width="29.5" customWidth="1"/>
    <col min="22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80" t="s">
        <v>38</v>
      </c>
      <c r="D1" s="80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20</v>
      </c>
      <c r="B2" s="61" t="s">
        <v>788</v>
      </c>
      <c r="C2" s="62" t="s">
        <v>51</v>
      </c>
      <c r="D2" s="62" t="str">
        <f t="shared" ref="D2:D47" si="0">A2&amp;B2&amp;C2</f>
        <v>2007001</v>
      </c>
      <c r="E2" s="67" t="s">
        <v>2153</v>
      </c>
      <c r="F2" s="67"/>
      <c r="G2" s="63"/>
      <c r="H2" s="67"/>
      <c r="I2" s="67"/>
      <c r="J2" s="63"/>
      <c r="K2" s="61"/>
      <c r="L2" s="62"/>
      <c r="M2" s="94"/>
      <c r="N2" s="63"/>
      <c r="O2" s="6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20</v>
      </c>
      <c r="B3" s="61" t="s">
        <v>788</v>
      </c>
      <c r="C3" s="62" t="s">
        <v>60</v>
      </c>
      <c r="D3" s="62" t="str">
        <f t="shared" si="0"/>
        <v>2007002</v>
      </c>
      <c r="E3" s="67" t="s">
        <v>2154</v>
      </c>
      <c r="F3" s="67"/>
      <c r="G3" s="63"/>
      <c r="H3" s="67"/>
      <c r="I3" s="67"/>
      <c r="J3" s="63"/>
      <c r="K3" s="61"/>
      <c r="L3" s="62"/>
      <c r="M3" s="94"/>
      <c r="N3" s="63"/>
      <c r="O3" s="6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20</v>
      </c>
      <c r="B4" s="61" t="s">
        <v>788</v>
      </c>
      <c r="C4" s="62" t="s">
        <v>68</v>
      </c>
      <c r="D4" s="62" t="str">
        <f t="shared" si="0"/>
        <v>2007003</v>
      </c>
      <c r="E4" s="67" t="s">
        <v>2155</v>
      </c>
      <c r="F4" s="67" t="s">
        <v>2156</v>
      </c>
      <c r="G4" s="63" t="s">
        <v>2157</v>
      </c>
      <c r="H4" s="67"/>
      <c r="I4" s="67"/>
      <c r="J4" s="63"/>
      <c r="K4" s="61"/>
      <c r="L4" s="62"/>
      <c r="M4" s="94"/>
      <c r="N4" s="63"/>
      <c r="O4" s="61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20</v>
      </c>
      <c r="B5" s="61" t="s">
        <v>788</v>
      </c>
      <c r="C5" s="62" t="s">
        <v>76</v>
      </c>
      <c r="D5" s="62" t="str">
        <f t="shared" si="0"/>
        <v>2007004</v>
      </c>
      <c r="E5" s="67" t="s">
        <v>2158</v>
      </c>
      <c r="F5" s="67" t="s">
        <v>2159</v>
      </c>
      <c r="G5" s="63" t="s">
        <v>2157</v>
      </c>
      <c r="H5" s="67" t="s">
        <v>2160</v>
      </c>
      <c r="I5" s="67" t="s">
        <v>2161</v>
      </c>
      <c r="J5" s="63"/>
      <c r="K5" s="61">
        <v>85608385464</v>
      </c>
      <c r="L5" s="62"/>
      <c r="M5" s="94" t="s">
        <v>2162</v>
      </c>
      <c r="N5" s="63"/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20</v>
      </c>
      <c r="B6" s="61" t="s">
        <v>788</v>
      </c>
      <c r="C6" s="62" t="s">
        <v>84</v>
      </c>
      <c r="D6" s="62" t="str">
        <f t="shared" si="0"/>
        <v>2007005</v>
      </c>
      <c r="E6" s="67" t="s">
        <v>2163</v>
      </c>
      <c r="F6" s="67"/>
      <c r="G6" s="63"/>
      <c r="H6" s="67"/>
      <c r="I6" s="67"/>
      <c r="J6" s="63"/>
      <c r="K6" s="61"/>
      <c r="L6" s="62"/>
      <c r="M6" s="94"/>
      <c r="N6" s="63"/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20</v>
      </c>
      <c r="B7" s="61" t="s">
        <v>788</v>
      </c>
      <c r="C7" s="62" t="s">
        <v>92</v>
      </c>
      <c r="D7" s="62" t="str">
        <f t="shared" si="0"/>
        <v>2007006</v>
      </c>
      <c r="E7" s="67" t="s">
        <v>2164</v>
      </c>
      <c r="F7" s="67"/>
      <c r="G7" s="63"/>
      <c r="H7" s="67"/>
      <c r="I7" s="67"/>
      <c r="J7" s="63"/>
      <c r="K7" s="61"/>
      <c r="L7" s="62"/>
      <c r="M7" s="94"/>
      <c r="N7" s="63"/>
      <c r="O7" s="6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20</v>
      </c>
      <c r="B8" s="61" t="s">
        <v>788</v>
      </c>
      <c r="C8" s="62" t="s">
        <v>100</v>
      </c>
      <c r="D8" s="62" t="str">
        <f t="shared" si="0"/>
        <v>2007007</v>
      </c>
      <c r="E8" s="67" t="s">
        <v>2165</v>
      </c>
      <c r="F8" s="67" t="s">
        <v>2166</v>
      </c>
      <c r="G8" s="63" t="s">
        <v>2157</v>
      </c>
      <c r="H8" s="67" t="s">
        <v>2167</v>
      </c>
      <c r="I8" s="67" t="s">
        <v>2168</v>
      </c>
      <c r="J8" s="67" t="s">
        <v>2169</v>
      </c>
      <c r="K8" s="61">
        <v>85736344498</v>
      </c>
      <c r="L8" s="61">
        <v>85234138114</v>
      </c>
      <c r="M8" s="86" t="s">
        <v>2170</v>
      </c>
      <c r="N8" s="67" t="s">
        <v>2171</v>
      </c>
      <c r="O8" s="61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21</v>
      </c>
      <c r="B9" s="61" t="s">
        <v>788</v>
      </c>
      <c r="C9" s="62" t="s">
        <v>108</v>
      </c>
      <c r="D9" s="62" t="str">
        <f t="shared" si="0"/>
        <v>2107008</v>
      </c>
      <c r="E9" s="67" t="s">
        <v>2172</v>
      </c>
      <c r="F9" s="67" t="s">
        <v>2173</v>
      </c>
      <c r="G9" s="67" t="s">
        <v>2157</v>
      </c>
      <c r="H9" s="67" t="s">
        <v>2174</v>
      </c>
      <c r="I9" s="67" t="s">
        <v>2175</v>
      </c>
      <c r="J9" s="67" t="s">
        <v>2176</v>
      </c>
      <c r="K9" s="61">
        <v>85815008732</v>
      </c>
      <c r="L9" s="61">
        <v>85895895899</v>
      </c>
      <c r="M9" s="86" t="s">
        <v>2177</v>
      </c>
      <c r="N9" s="67" t="s">
        <v>2178</v>
      </c>
      <c r="O9" s="6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21</v>
      </c>
      <c r="B10" s="61" t="s">
        <v>788</v>
      </c>
      <c r="C10" s="62" t="s">
        <v>116</v>
      </c>
      <c r="D10" s="62" t="str">
        <f t="shared" si="0"/>
        <v>2107009</v>
      </c>
      <c r="E10" s="67" t="s">
        <v>2179</v>
      </c>
      <c r="F10" s="67" t="s">
        <v>2180</v>
      </c>
      <c r="G10" s="67" t="s">
        <v>2157</v>
      </c>
      <c r="H10" s="67" t="s">
        <v>2181</v>
      </c>
      <c r="I10" s="67" t="s">
        <v>2182</v>
      </c>
      <c r="J10" s="67" t="s">
        <v>2183</v>
      </c>
      <c r="K10" s="61">
        <v>85785615550</v>
      </c>
      <c r="L10" s="61">
        <v>85976448813</v>
      </c>
      <c r="M10" s="86" t="s">
        <v>2184</v>
      </c>
      <c r="N10" s="67" t="s">
        <v>2185</v>
      </c>
      <c r="O10" s="6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21</v>
      </c>
      <c r="B11" s="61" t="s">
        <v>788</v>
      </c>
      <c r="C11" s="62" t="s">
        <v>124</v>
      </c>
      <c r="D11" s="62" t="str">
        <f t="shared" si="0"/>
        <v>2107010</v>
      </c>
      <c r="E11" s="67" t="s">
        <v>2186</v>
      </c>
      <c r="F11" s="67" t="s">
        <v>2187</v>
      </c>
      <c r="G11" s="67" t="s">
        <v>2157</v>
      </c>
      <c r="H11" s="67" t="s">
        <v>2188</v>
      </c>
      <c r="I11" s="67" t="s">
        <v>2189</v>
      </c>
      <c r="J11" s="67" t="s">
        <v>2190</v>
      </c>
      <c r="K11" s="61">
        <v>81554090075</v>
      </c>
      <c r="L11" s="61">
        <v>85755127349</v>
      </c>
      <c r="M11" s="86" t="s">
        <v>2191</v>
      </c>
      <c r="N11" s="67" t="s">
        <v>2192</v>
      </c>
      <c r="O11" s="6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21</v>
      </c>
      <c r="B12" s="61" t="s">
        <v>788</v>
      </c>
      <c r="C12" s="62" t="s">
        <v>132</v>
      </c>
      <c r="D12" s="62" t="str">
        <f t="shared" si="0"/>
        <v>2107011</v>
      </c>
      <c r="E12" s="67" t="s">
        <v>2193</v>
      </c>
      <c r="F12" s="67" t="s">
        <v>2194</v>
      </c>
      <c r="G12" s="67" t="s">
        <v>2157</v>
      </c>
      <c r="H12" s="67" t="s">
        <v>2195</v>
      </c>
      <c r="I12" s="75" t="s">
        <v>2196</v>
      </c>
      <c r="J12" s="67"/>
      <c r="K12" s="76" t="s">
        <v>2197</v>
      </c>
      <c r="L12" s="61"/>
      <c r="M12" s="67"/>
      <c r="N12" s="77" t="s">
        <v>2198</v>
      </c>
      <c r="O12" s="76">
        <v>4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21</v>
      </c>
      <c r="B13" s="61" t="s">
        <v>788</v>
      </c>
      <c r="C13" s="62" t="s">
        <v>140</v>
      </c>
      <c r="D13" s="62" t="str">
        <f t="shared" si="0"/>
        <v>2107012</v>
      </c>
      <c r="E13" s="67" t="s">
        <v>2199</v>
      </c>
      <c r="F13" s="67" t="s">
        <v>2200</v>
      </c>
      <c r="G13" s="67" t="s">
        <v>2157</v>
      </c>
      <c r="H13" s="67" t="s">
        <v>2201</v>
      </c>
      <c r="I13" s="67" t="s">
        <v>1299</v>
      </c>
      <c r="J13" s="67" t="s">
        <v>2202</v>
      </c>
      <c r="K13" s="61">
        <v>85649122433</v>
      </c>
      <c r="L13" s="61">
        <v>81274112846</v>
      </c>
      <c r="M13" s="86" t="s">
        <v>2203</v>
      </c>
      <c r="N13" s="67" t="s">
        <v>2204</v>
      </c>
      <c r="O13" s="61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21</v>
      </c>
      <c r="B14" s="61" t="s">
        <v>788</v>
      </c>
      <c r="C14" s="62" t="s">
        <v>148</v>
      </c>
      <c r="D14" s="62" t="str">
        <f t="shared" si="0"/>
        <v>2107013</v>
      </c>
      <c r="E14" s="67" t="s">
        <v>2205</v>
      </c>
      <c r="F14" s="67" t="s">
        <v>2206</v>
      </c>
      <c r="G14" s="67" t="s">
        <v>2157</v>
      </c>
      <c r="H14" s="67" t="s">
        <v>2207</v>
      </c>
      <c r="I14" s="67" t="s">
        <v>2208</v>
      </c>
      <c r="J14" s="67" t="s">
        <v>2209</v>
      </c>
      <c r="K14" s="61">
        <v>85746654800</v>
      </c>
      <c r="L14" s="61">
        <v>82252611209</v>
      </c>
      <c r="M14" s="86" t="s">
        <v>2210</v>
      </c>
      <c r="N14" s="67" t="s">
        <v>2211</v>
      </c>
      <c r="O14" s="6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21</v>
      </c>
      <c r="B15" s="61" t="s">
        <v>788</v>
      </c>
      <c r="C15" s="62" t="s">
        <v>156</v>
      </c>
      <c r="D15" s="62" t="str">
        <f t="shared" si="0"/>
        <v>2107014</v>
      </c>
      <c r="E15" s="67" t="s">
        <v>2212</v>
      </c>
      <c r="F15" s="67" t="s">
        <v>2213</v>
      </c>
      <c r="G15" s="67" t="s">
        <v>2157</v>
      </c>
      <c r="H15" s="67" t="s">
        <v>2214</v>
      </c>
      <c r="I15" s="67" t="s">
        <v>2215</v>
      </c>
      <c r="J15" s="67" t="s">
        <v>2216</v>
      </c>
      <c r="K15" s="61">
        <v>85600871997</v>
      </c>
      <c r="L15" s="61">
        <v>82338848778</v>
      </c>
      <c r="M15" s="63"/>
      <c r="N15" s="63"/>
      <c r="O15" s="6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21</v>
      </c>
      <c r="B16" s="61" t="s">
        <v>788</v>
      </c>
      <c r="C16" s="62" t="s">
        <v>164</v>
      </c>
      <c r="D16" s="62" t="str">
        <f t="shared" si="0"/>
        <v>2107015</v>
      </c>
      <c r="E16" s="67" t="s">
        <v>2217</v>
      </c>
      <c r="F16" s="67" t="s">
        <v>2218</v>
      </c>
      <c r="G16" s="67" t="s">
        <v>2157</v>
      </c>
      <c r="H16" s="67" t="s">
        <v>2219</v>
      </c>
      <c r="I16" s="67" t="s">
        <v>2220</v>
      </c>
      <c r="J16" s="67" t="s">
        <v>2221</v>
      </c>
      <c r="K16" s="61">
        <v>85791182012</v>
      </c>
      <c r="L16" s="61">
        <v>81554541187</v>
      </c>
      <c r="M16" s="86" t="s">
        <v>2222</v>
      </c>
      <c r="N16" s="67" t="s">
        <v>2223</v>
      </c>
      <c r="O16" s="61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21</v>
      </c>
      <c r="B17" s="61" t="s">
        <v>788</v>
      </c>
      <c r="C17" s="62" t="s">
        <v>173</v>
      </c>
      <c r="D17" s="62" t="str">
        <f t="shared" si="0"/>
        <v>2107016</v>
      </c>
      <c r="E17" s="67" t="s">
        <v>2224</v>
      </c>
      <c r="F17" s="67" t="s">
        <v>2225</v>
      </c>
      <c r="G17" s="67" t="s">
        <v>2226</v>
      </c>
      <c r="H17" s="67" t="s">
        <v>2227</v>
      </c>
      <c r="I17" s="67" t="s">
        <v>2228</v>
      </c>
      <c r="J17" s="67" t="s">
        <v>2229</v>
      </c>
      <c r="K17" s="61">
        <v>85856986525</v>
      </c>
      <c r="L17" s="61">
        <v>81216414617</v>
      </c>
      <c r="M17" s="86" t="s">
        <v>2230</v>
      </c>
      <c r="N17" s="67" t="s">
        <v>2231</v>
      </c>
      <c r="O17" s="61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21</v>
      </c>
      <c r="B18" s="61" t="s">
        <v>788</v>
      </c>
      <c r="C18" s="62" t="s">
        <v>180</v>
      </c>
      <c r="D18" s="62" t="str">
        <f t="shared" si="0"/>
        <v>2107017</v>
      </c>
      <c r="E18" s="67" t="s">
        <v>2232</v>
      </c>
      <c r="F18" s="67" t="s">
        <v>2233</v>
      </c>
      <c r="G18" s="67" t="s">
        <v>2226</v>
      </c>
      <c r="H18" s="67" t="s">
        <v>2234</v>
      </c>
      <c r="I18" s="54" t="s">
        <v>2235</v>
      </c>
      <c r="J18" s="64"/>
      <c r="K18" s="93" t="s">
        <v>2236</v>
      </c>
      <c r="L18" s="62"/>
      <c r="M18" s="86" t="s">
        <v>2237</v>
      </c>
      <c r="N18" s="67" t="s">
        <v>2238</v>
      </c>
      <c r="O18" s="61">
        <v>7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21</v>
      </c>
      <c r="B19" s="61" t="s">
        <v>788</v>
      </c>
      <c r="C19" s="62" t="s">
        <v>188</v>
      </c>
      <c r="D19" s="62" t="str">
        <f t="shared" si="0"/>
        <v>2107018</v>
      </c>
      <c r="E19" s="67" t="s">
        <v>2239</v>
      </c>
      <c r="F19" s="67" t="s">
        <v>2240</v>
      </c>
      <c r="G19" s="67" t="s">
        <v>2241</v>
      </c>
      <c r="H19" s="67" t="s">
        <v>2242</v>
      </c>
      <c r="I19" s="67" t="s">
        <v>2243</v>
      </c>
      <c r="J19" s="67" t="s">
        <v>2244</v>
      </c>
      <c r="K19" s="61">
        <v>81548486955</v>
      </c>
      <c r="L19" s="61">
        <v>87703396951</v>
      </c>
      <c r="M19" s="67" t="s">
        <v>2245</v>
      </c>
      <c r="N19" s="67" t="s">
        <v>2246</v>
      </c>
      <c r="O19" s="61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21</v>
      </c>
      <c r="B20" s="61" t="s">
        <v>788</v>
      </c>
      <c r="C20" s="62" t="s">
        <v>196</v>
      </c>
      <c r="D20" s="62" t="str">
        <f t="shared" si="0"/>
        <v>2107019</v>
      </c>
      <c r="E20" s="67" t="s">
        <v>2247</v>
      </c>
      <c r="F20" s="67" t="s">
        <v>2248</v>
      </c>
      <c r="G20" s="67" t="s">
        <v>2249</v>
      </c>
      <c r="H20" s="67" t="s">
        <v>2250</v>
      </c>
      <c r="I20" s="67" t="s">
        <v>2251</v>
      </c>
      <c r="J20" s="67" t="s">
        <v>2252</v>
      </c>
      <c r="K20" s="61" t="s">
        <v>2253</v>
      </c>
      <c r="L20" s="61">
        <v>81230108233</v>
      </c>
      <c r="M20" s="67" t="s">
        <v>2254</v>
      </c>
      <c r="N20" s="67" t="s">
        <v>2255</v>
      </c>
      <c r="O20" s="61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21</v>
      </c>
      <c r="B21" s="61" t="s">
        <v>788</v>
      </c>
      <c r="C21" s="62" t="s">
        <v>204</v>
      </c>
      <c r="D21" s="62" t="str">
        <f t="shared" si="0"/>
        <v>2107020</v>
      </c>
      <c r="E21" s="67" t="s">
        <v>2256</v>
      </c>
      <c r="F21" s="67" t="s">
        <v>2257</v>
      </c>
      <c r="G21" s="67" t="s">
        <v>2241</v>
      </c>
      <c r="H21" s="67" t="s">
        <v>2258</v>
      </c>
      <c r="I21" s="67" t="s">
        <v>2259</v>
      </c>
      <c r="J21" s="67" t="s">
        <v>2260</v>
      </c>
      <c r="K21" s="61">
        <v>81553932074</v>
      </c>
      <c r="L21" s="76" t="s">
        <v>2261</v>
      </c>
      <c r="M21" s="67" t="s">
        <v>2262</v>
      </c>
      <c r="N21" s="67" t="s">
        <v>2263</v>
      </c>
      <c r="O21" s="61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22</v>
      </c>
      <c r="B22" s="61" t="s">
        <v>788</v>
      </c>
      <c r="C22" s="62" t="s">
        <v>212</v>
      </c>
      <c r="D22" s="62" t="str">
        <f t="shared" si="0"/>
        <v>2207021</v>
      </c>
      <c r="E22" s="67" t="s">
        <v>2264</v>
      </c>
      <c r="F22" s="67" t="s">
        <v>2265</v>
      </c>
      <c r="G22" s="67" t="s">
        <v>2249</v>
      </c>
      <c r="H22" s="67" t="s">
        <v>2266</v>
      </c>
      <c r="I22" s="67" t="s">
        <v>2267</v>
      </c>
      <c r="J22" s="63"/>
      <c r="K22" s="61" t="s">
        <v>2268</v>
      </c>
      <c r="L22" s="61">
        <v>85859720154</v>
      </c>
      <c r="M22" s="63"/>
      <c r="N22" s="63"/>
      <c r="O22" s="68">
        <v>9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22</v>
      </c>
      <c r="B23" s="61" t="s">
        <v>788</v>
      </c>
      <c r="C23" s="62" t="s">
        <v>219</v>
      </c>
      <c r="D23" s="62" t="str">
        <f t="shared" si="0"/>
        <v>2207022</v>
      </c>
      <c r="E23" s="69" t="s">
        <v>2269</v>
      </c>
      <c r="F23" s="69" t="s">
        <v>2270</v>
      </c>
      <c r="G23" s="69" t="s">
        <v>2249</v>
      </c>
      <c r="H23" s="69" t="s">
        <v>2271</v>
      </c>
      <c r="I23" s="69" t="s">
        <v>2272</v>
      </c>
      <c r="J23" s="63"/>
      <c r="K23" s="70" t="s">
        <v>2273</v>
      </c>
      <c r="L23" s="61"/>
      <c r="M23" s="63"/>
      <c r="N23" s="63"/>
      <c r="O23" s="68">
        <v>5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22</v>
      </c>
      <c r="B24" s="61" t="s">
        <v>788</v>
      </c>
      <c r="C24" s="62" t="s">
        <v>226</v>
      </c>
      <c r="D24" s="62" t="str">
        <f t="shared" si="0"/>
        <v>2207023</v>
      </c>
      <c r="E24" s="69" t="s">
        <v>2274</v>
      </c>
      <c r="F24" s="69" t="s">
        <v>2275</v>
      </c>
      <c r="G24" s="69" t="s">
        <v>2226</v>
      </c>
      <c r="H24" s="69" t="s">
        <v>2276</v>
      </c>
      <c r="I24" s="69" t="s">
        <v>2277</v>
      </c>
      <c r="J24" s="67"/>
      <c r="K24" s="70" t="s">
        <v>2278</v>
      </c>
      <c r="L24" s="61"/>
      <c r="M24" s="67"/>
      <c r="N24" s="67"/>
      <c r="O24" s="68">
        <v>6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22</v>
      </c>
      <c r="B25" s="61" t="s">
        <v>788</v>
      </c>
      <c r="C25" s="62" t="s">
        <v>234</v>
      </c>
      <c r="D25" s="62" t="str">
        <f t="shared" si="0"/>
        <v>2207024</v>
      </c>
      <c r="E25" s="69" t="s">
        <v>2279</v>
      </c>
      <c r="F25" s="69" t="s">
        <v>2280</v>
      </c>
      <c r="G25" s="69" t="s">
        <v>2226</v>
      </c>
      <c r="H25" s="69" t="s">
        <v>2281</v>
      </c>
      <c r="I25" s="69" t="s">
        <v>2282</v>
      </c>
      <c r="J25" s="67"/>
      <c r="K25" s="70" t="s">
        <v>2283</v>
      </c>
      <c r="L25" s="61"/>
      <c r="M25" s="67"/>
      <c r="N25" s="67"/>
      <c r="O25" s="68">
        <v>4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22</v>
      </c>
      <c r="B26" s="61" t="s">
        <v>788</v>
      </c>
      <c r="C26" s="62" t="s">
        <v>240</v>
      </c>
      <c r="D26" s="62" t="str">
        <f t="shared" si="0"/>
        <v>2207025</v>
      </c>
      <c r="E26" s="69" t="s">
        <v>2284</v>
      </c>
      <c r="F26" s="69" t="s">
        <v>2285</v>
      </c>
      <c r="G26" s="69" t="s">
        <v>2249</v>
      </c>
      <c r="H26" s="69" t="s">
        <v>2286</v>
      </c>
      <c r="I26" s="69" t="s">
        <v>2287</v>
      </c>
      <c r="J26" s="67"/>
      <c r="K26" s="70" t="s">
        <v>2288</v>
      </c>
      <c r="L26" s="61"/>
      <c r="M26" s="67"/>
      <c r="N26" s="67"/>
      <c r="O26" s="68">
        <v>5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22</v>
      </c>
      <c r="B27" s="61" t="s">
        <v>788</v>
      </c>
      <c r="C27" s="62" t="s">
        <v>246</v>
      </c>
      <c r="D27" s="62" t="str">
        <f t="shared" si="0"/>
        <v>2207026</v>
      </c>
      <c r="E27" s="69" t="s">
        <v>2289</v>
      </c>
      <c r="F27" s="69" t="s">
        <v>2290</v>
      </c>
      <c r="G27" s="69" t="s">
        <v>2226</v>
      </c>
      <c r="H27" s="69" t="s">
        <v>2291</v>
      </c>
      <c r="I27" s="69" t="s">
        <v>2292</v>
      </c>
      <c r="J27" s="67"/>
      <c r="K27" s="70" t="s">
        <v>2293</v>
      </c>
      <c r="L27" s="61"/>
      <c r="M27" s="67"/>
      <c r="N27" s="67"/>
      <c r="O27" s="68">
        <v>3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22</v>
      </c>
      <c r="B28" s="61" t="s">
        <v>788</v>
      </c>
      <c r="C28" s="62" t="s">
        <v>251</v>
      </c>
      <c r="D28" s="62" t="str">
        <f t="shared" si="0"/>
        <v>2207027</v>
      </c>
      <c r="E28" s="69" t="s">
        <v>2294</v>
      </c>
      <c r="F28" s="69" t="s">
        <v>2295</v>
      </c>
      <c r="G28" s="69" t="s">
        <v>2249</v>
      </c>
      <c r="H28" s="69" t="s">
        <v>2296</v>
      </c>
      <c r="I28" s="69" t="s">
        <v>2297</v>
      </c>
      <c r="J28" s="67"/>
      <c r="K28" s="70" t="s">
        <v>2298</v>
      </c>
      <c r="L28" s="61"/>
      <c r="M28" s="67"/>
      <c r="N28" s="67"/>
      <c r="O28" s="68">
        <v>7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22</v>
      </c>
      <c r="B29" s="61" t="s">
        <v>788</v>
      </c>
      <c r="C29" s="62" t="s">
        <v>256</v>
      </c>
      <c r="D29" s="62" t="str">
        <f t="shared" si="0"/>
        <v>2207028</v>
      </c>
      <c r="E29" s="69" t="s">
        <v>2299</v>
      </c>
      <c r="F29" s="69" t="s">
        <v>2300</v>
      </c>
      <c r="G29" s="69" t="s">
        <v>2249</v>
      </c>
      <c r="H29" s="69" t="s">
        <v>2301</v>
      </c>
      <c r="I29" s="69" t="s">
        <v>2302</v>
      </c>
      <c r="J29" s="67"/>
      <c r="K29" s="70" t="s">
        <v>2303</v>
      </c>
      <c r="L29" s="61"/>
      <c r="M29" s="67"/>
      <c r="N29" s="67"/>
      <c r="O29" s="68">
        <v>5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22</v>
      </c>
      <c r="B30" s="61" t="s">
        <v>788</v>
      </c>
      <c r="C30" s="62" t="s">
        <v>261</v>
      </c>
      <c r="D30" s="62" t="str">
        <f t="shared" si="0"/>
        <v>2207029</v>
      </c>
      <c r="E30" s="69" t="s">
        <v>2304</v>
      </c>
      <c r="F30" s="69" t="s">
        <v>2305</v>
      </c>
      <c r="G30" s="69" t="s">
        <v>2249</v>
      </c>
      <c r="H30" s="69" t="s">
        <v>2306</v>
      </c>
      <c r="I30" s="69" t="s">
        <v>2307</v>
      </c>
      <c r="J30" s="67"/>
      <c r="K30" s="70" t="s">
        <v>2308</v>
      </c>
      <c r="L30" s="61"/>
      <c r="M30" s="67"/>
      <c r="N30" s="67"/>
      <c r="O30" s="68">
        <v>2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23</v>
      </c>
      <c r="B31" s="72" t="s">
        <v>788</v>
      </c>
      <c r="C31" s="62" t="s">
        <v>266</v>
      </c>
      <c r="D31" s="62" t="str">
        <f t="shared" si="0"/>
        <v>2307030</v>
      </c>
      <c r="E31" s="69" t="s">
        <v>2309</v>
      </c>
      <c r="F31" s="69" t="s">
        <v>2310</v>
      </c>
      <c r="G31" s="69" t="s">
        <v>2249</v>
      </c>
      <c r="H31" s="69" t="s">
        <v>2311</v>
      </c>
      <c r="I31" s="69" t="s">
        <v>2312</v>
      </c>
      <c r="J31" s="67"/>
      <c r="K31" s="61"/>
      <c r="L31" s="61"/>
      <c r="M31" s="67"/>
      <c r="N31" s="69" t="s">
        <v>2313</v>
      </c>
      <c r="O31" s="68">
        <v>5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23</v>
      </c>
      <c r="B32" s="72" t="s">
        <v>788</v>
      </c>
      <c r="C32" s="62" t="s">
        <v>272</v>
      </c>
      <c r="D32" s="62" t="str">
        <f t="shared" si="0"/>
        <v>2307031</v>
      </c>
      <c r="E32" s="69" t="s">
        <v>2314</v>
      </c>
      <c r="F32" s="69" t="s">
        <v>2315</v>
      </c>
      <c r="G32" s="69" t="s">
        <v>2249</v>
      </c>
      <c r="H32" s="69" t="s">
        <v>2316</v>
      </c>
      <c r="I32" s="69" t="s">
        <v>2317</v>
      </c>
      <c r="J32" s="67"/>
      <c r="K32" s="61"/>
      <c r="L32" s="61"/>
      <c r="M32" s="67"/>
      <c r="N32" s="69" t="s">
        <v>2318</v>
      </c>
      <c r="O32" s="68">
        <v>2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24</v>
      </c>
      <c r="B33" s="72" t="s">
        <v>788</v>
      </c>
      <c r="C33" s="62" t="s">
        <v>278</v>
      </c>
      <c r="D33" s="62" t="str">
        <f t="shared" si="0"/>
        <v>2407032</v>
      </c>
      <c r="E33" s="67" t="s">
        <v>2319</v>
      </c>
      <c r="F33" s="67" t="s">
        <v>2320</v>
      </c>
      <c r="G33" s="67" t="s">
        <v>2249</v>
      </c>
      <c r="H33" s="67" t="s">
        <v>2321</v>
      </c>
      <c r="I33" s="67" t="s">
        <v>2322</v>
      </c>
      <c r="J33" s="67"/>
      <c r="K33" s="61" t="s">
        <v>2323</v>
      </c>
      <c r="L33" s="61"/>
      <c r="M33" s="67"/>
      <c r="N33" s="67"/>
      <c r="O33" s="61">
        <v>2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24</v>
      </c>
      <c r="B34" s="72" t="s">
        <v>788</v>
      </c>
      <c r="C34" s="62" t="s">
        <v>284</v>
      </c>
      <c r="D34" s="62" t="str">
        <f t="shared" si="0"/>
        <v>2407033</v>
      </c>
      <c r="E34" s="67" t="s">
        <v>2324</v>
      </c>
      <c r="F34" s="67" t="s">
        <v>2325</v>
      </c>
      <c r="G34" s="67" t="s">
        <v>2249</v>
      </c>
      <c r="H34" s="67" t="s">
        <v>2326</v>
      </c>
      <c r="I34" s="67" t="s">
        <v>2327</v>
      </c>
      <c r="J34" s="67"/>
      <c r="K34" s="61" t="s">
        <v>2328</v>
      </c>
      <c r="L34" s="61"/>
      <c r="M34" s="67"/>
      <c r="N34" s="67"/>
      <c r="O34" s="61">
        <v>3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61">
        <v>24</v>
      </c>
      <c r="B35" s="72" t="s">
        <v>788</v>
      </c>
      <c r="C35" s="62" t="s">
        <v>290</v>
      </c>
      <c r="D35" s="62" t="str">
        <f t="shared" si="0"/>
        <v>2407034</v>
      </c>
      <c r="E35" s="67" t="s">
        <v>2329</v>
      </c>
      <c r="F35" s="67" t="s">
        <v>2330</v>
      </c>
      <c r="G35" s="67" t="s">
        <v>2249</v>
      </c>
      <c r="H35" s="67" t="s">
        <v>2331</v>
      </c>
      <c r="I35" s="67" t="s">
        <v>2332</v>
      </c>
      <c r="J35" s="67"/>
      <c r="K35" s="61">
        <v>82285560640</v>
      </c>
      <c r="L35" s="61"/>
      <c r="M35" s="67"/>
      <c r="N35" s="67"/>
      <c r="O35" s="61">
        <v>2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61">
        <v>24</v>
      </c>
      <c r="B36" s="72" t="s">
        <v>788</v>
      </c>
      <c r="C36" s="62" t="s">
        <v>296</v>
      </c>
      <c r="D36" s="62" t="str">
        <f t="shared" si="0"/>
        <v>2407035</v>
      </c>
      <c r="E36" s="67" t="s">
        <v>2333</v>
      </c>
      <c r="F36" s="67" t="s">
        <v>2334</v>
      </c>
      <c r="G36" s="67" t="s">
        <v>2249</v>
      </c>
      <c r="H36" s="67" t="s">
        <v>2335</v>
      </c>
      <c r="I36" s="67" t="s">
        <v>2336</v>
      </c>
      <c r="J36" s="67"/>
      <c r="K36" s="61">
        <v>85947449781</v>
      </c>
      <c r="L36" s="61"/>
      <c r="M36" s="67"/>
      <c r="N36" s="67"/>
      <c r="O36" s="61">
        <v>4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61">
        <v>24</v>
      </c>
      <c r="B37" s="72" t="s">
        <v>788</v>
      </c>
      <c r="C37" s="62" t="s">
        <v>301</v>
      </c>
      <c r="D37" s="62" t="str">
        <f t="shared" si="0"/>
        <v>2407036</v>
      </c>
      <c r="E37" s="67" t="s">
        <v>2337</v>
      </c>
      <c r="F37" s="67" t="s">
        <v>2338</v>
      </c>
      <c r="G37" s="67" t="s">
        <v>2249</v>
      </c>
      <c r="H37" s="67" t="s">
        <v>2339</v>
      </c>
      <c r="I37" s="67" t="s">
        <v>2340</v>
      </c>
      <c r="J37" s="67"/>
      <c r="K37" s="61" t="s">
        <v>2341</v>
      </c>
      <c r="L37" s="61"/>
      <c r="M37" s="67"/>
      <c r="N37" s="165" t="s">
        <v>2342</v>
      </c>
      <c r="O37" s="61">
        <v>5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61">
        <v>24</v>
      </c>
      <c r="B38" s="72" t="s">
        <v>788</v>
      </c>
      <c r="C38" s="62" t="s">
        <v>308</v>
      </c>
      <c r="D38" s="62" t="str">
        <f t="shared" si="0"/>
        <v>2407037</v>
      </c>
      <c r="E38" s="75" t="s">
        <v>2343</v>
      </c>
      <c r="F38" s="75" t="s">
        <v>2344</v>
      </c>
      <c r="G38" s="67" t="s">
        <v>2249</v>
      </c>
      <c r="H38" s="75" t="s">
        <v>2345</v>
      </c>
      <c r="I38" s="75" t="s">
        <v>2346</v>
      </c>
      <c r="J38" s="67"/>
      <c r="K38" s="76">
        <v>85854645099</v>
      </c>
      <c r="L38" s="61"/>
      <c r="M38" s="67"/>
      <c r="N38" s="77" t="s">
        <v>2347</v>
      </c>
      <c r="O38" s="76">
        <v>5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61">
        <v>24</v>
      </c>
      <c r="B39" s="72" t="s">
        <v>788</v>
      </c>
      <c r="C39" s="62" t="s">
        <v>314</v>
      </c>
      <c r="D39" s="62" t="str">
        <f t="shared" si="0"/>
        <v>2407038</v>
      </c>
      <c r="E39" s="75" t="s">
        <v>2348</v>
      </c>
      <c r="F39" s="75" t="s">
        <v>2349</v>
      </c>
      <c r="G39" s="67" t="s">
        <v>2249</v>
      </c>
      <c r="H39" s="77" t="s">
        <v>2350</v>
      </c>
      <c r="I39" s="75" t="s">
        <v>2351</v>
      </c>
      <c r="J39" s="67"/>
      <c r="K39" s="76" t="s">
        <v>2352</v>
      </c>
      <c r="L39" s="61"/>
      <c r="M39" s="67"/>
      <c r="N39" s="75" t="s">
        <v>2353</v>
      </c>
      <c r="O39" s="76">
        <v>4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61">
        <v>24</v>
      </c>
      <c r="B40" s="72" t="s">
        <v>788</v>
      </c>
      <c r="C40" s="62" t="s">
        <v>320</v>
      </c>
      <c r="D40" s="62" t="str">
        <f t="shared" si="0"/>
        <v>2407039</v>
      </c>
      <c r="E40" s="75" t="s">
        <v>2354</v>
      </c>
      <c r="F40" s="75" t="s">
        <v>2355</v>
      </c>
      <c r="G40" s="67" t="s">
        <v>2249</v>
      </c>
      <c r="H40" s="75" t="s">
        <v>2356</v>
      </c>
      <c r="I40" s="75" t="s">
        <v>2357</v>
      </c>
      <c r="J40" s="67"/>
      <c r="K40" s="76">
        <v>81310436146</v>
      </c>
      <c r="L40" s="61"/>
      <c r="M40" s="67"/>
      <c r="N40" s="75" t="s">
        <v>2358</v>
      </c>
      <c r="O40" s="76">
        <v>4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61">
        <v>24</v>
      </c>
      <c r="B41" s="61" t="s">
        <v>788</v>
      </c>
      <c r="C41" s="62" t="s">
        <v>326</v>
      </c>
      <c r="D41" s="62" t="str">
        <f t="shared" si="0"/>
        <v>2407040</v>
      </c>
      <c r="E41" s="75" t="s">
        <v>2359</v>
      </c>
      <c r="F41" s="75" t="s">
        <v>2360</v>
      </c>
      <c r="G41" s="67" t="s">
        <v>2249</v>
      </c>
      <c r="H41" s="75" t="s">
        <v>2286</v>
      </c>
      <c r="I41" s="75" t="s">
        <v>2361</v>
      </c>
      <c r="J41" s="67"/>
      <c r="K41" s="76">
        <v>85784242484</v>
      </c>
      <c r="L41" s="61"/>
      <c r="M41" s="67"/>
      <c r="N41" s="77" t="s">
        <v>2362</v>
      </c>
      <c r="O41" s="76">
        <v>3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61">
        <v>25</v>
      </c>
      <c r="B42" s="61" t="s">
        <v>788</v>
      </c>
      <c r="C42" s="62" t="s">
        <v>332</v>
      </c>
      <c r="D42" s="62" t="str">
        <f t="shared" si="0"/>
        <v>2507041</v>
      </c>
      <c r="E42" s="54" t="s">
        <v>2363</v>
      </c>
      <c r="F42" s="54" t="s">
        <v>2364</v>
      </c>
      <c r="G42" s="54" t="s">
        <v>2249</v>
      </c>
      <c r="H42" s="54" t="s">
        <v>2321</v>
      </c>
      <c r="I42" s="54" t="s">
        <v>2365</v>
      </c>
      <c r="J42" s="54"/>
      <c r="K42" s="93" t="s">
        <v>2366</v>
      </c>
      <c r="L42" s="54"/>
      <c r="M42" s="54"/>
      <c r="N42" s="54" t="s">
        <v>2367</v>
      </c>
      <c r="O42" s="96">
        <v>2</v>
      </c>
      <c r="P42" s="44"/>
      <c r="R42" s="43"/>
      <c r="T42" s="43"/>
      <c r="U42" s="43"/>
      <c r="V42" s="43"/>
      <c r="W42" s="43"/>
      <c r="X42" s="43"/>
      <c r="Y42" s="43"/>
      <c r="Z42" s="43"/>
      <c r="AA42" s="43"/>
    </row>
    <row r="43" spans="1:27" ht="15.75" customHeight="1" x14ac:dyDescent="0.2">
      <c r="A43" s="61">
        <v>25</v>
      </c>
      <c r="B43" s="61" t="s">
        <v>788</v>
      </c>
      <c r="C43" s="62" t="s">
        <v>338</v>
      </c>
      <c r="D43" s="62" t="str">
        <f t="shared" si="0"/>
        <v>2507042</v>
      </c>
      <c r="E43" s="43" t="s">
        <v>2368</v>
      </c>
      <c r="F43" s="43" t="s">
        <v>2369</v>
      </c>
      <c r="G43" s="43" t="s">
        <v>2249</v>
      </c>
      <c r="H43" s="43" t="s">
        <v>2370</v>
      </c>
      <c r="I43" s="43" t="s">
        <v>2371</v>
      </c>
      <c r="J43" s="43" t="s">
        <v>2372</v>
      </c>
      <c r="K43" s="43" t="s">
        <v>2373</v>
      </c>
      <c r="L43" s="43"/>
      <c r="M43" s="43"/>
      <c r="N43" s="43" t="s">
        <v>2373</v>
      </c>
      <c r="O43" s="43"/>
      <c r="P43" s="44">
        <v>4</v>
      </c>
      <c r="Q43" s="43" t="s">
        <v>2374</v>
      </c>
      <c r="R43" s="43" t="s">
        <v>742</v>
      </c>
      <c r="S43" s="55" t="s">
        <v>2375</v>
      </c>
      <c r="T43" s="55" t="s">
        <v>2376</v>
      </c>
      <c r="U43" s="43" t="s">
        <v>2377</v>
      </c>
      <c r="V43" s="43"/>
      <c r="W43" s="43"/>
      <c r="X43" s="43"/>
      <c r="Y43" s="43"/>
      <c r="Z43" s="43"/>
      <c r="AA43" s="43"/>
    </row>
    <row r="44" spans="1:27" ht="15.75" customHeight="1" x14ac:dyDescent="0.2">
      <c r="A44" s="61">
        <v>25</v>
      </c>
      <c r="B44" s="61" t="s">
        <v>788</v>
      </c>
      <c r="C44" s="62" t="s">
        <v>344</v>
      </c>
      <c r="D44" s="62" t="str">
        <f t="shared" si="0"/>
        <v>2507043</v>
      </c>
      <c r="E44" s="43" t="s">
        <v>2378</v>
      </c>
      <c r="F44" s="43" t="s">
        <v>2379</v>
      </c>
      <c r="G44" s="43" t="s">
        <v>2249</v>
      </c>
      <c r="H44" s="43" t="s">
        <v>2380</v>
      </c>
      <c r="I44" s="43" t="s">
        <v>2381</v>
      </c>
      <c r="J44" s="43" t="s">
        <v>2382</v>
      </c>
      <c r="K44" s="43" t="s">
        <v>2383</v>
      </c>
      <c r="L44" s="43"/>
      <c r="M44" s="78" t="s">
        <v>2384</v>
      </c>
      <c r="N44" s="43" t="s">
        <v>2385</v>
      </c>
      <c r="O44" s="43"/>
      <c r="P44" s="43" t="s">
        <v>2386</v>
      </c>
      <c r="Q44" s="43" t="s">
        <v>2387</v>
      </c>
      <c r="R44" s="43" t="s">
        <v>2388</v>
      </c>
      <c r="S44" s="55" t="s">
        <v>2389</v>
      </c>
      <c r="T44" s="55" t="s">
        <v>2389</v>
      </c>
      <c r="U44" s="43" t="s">
        <v>2390</v>
      </c>
      <c r="V44" s="43"/>
      <c r="W44" s="43"/>
      <c r="X44" s="43"/>
      <c r="Y44" s="43"/>
      <c r="Z44" s="43"/>
      <c r="AA44" s="43"/>
    </row>
    <row r="45" spans="1:27" ht="15.75" customHeight="1" x14ac:dyDescent="0.2">
      <c r="A45" s="61">
        <v>25</v>
      </c>
      <c r="B45" s="61" t="s">
        <v>788</v>
      </c>
      <c r="C45" s="62" t="s">
        <v>350</v>
      </c>
      <c r="D45" s="62" t="str">
        <f t="shared" si="0"/>
        <v>2507044</v>
      </c>
      <c r="E45" s="43" t="s">
        <v>2391</v>
      </c>
      <c r="F45" s="43" t="s">
        <v>2206</v>
      </c>
      <c r="G45" s="43" t="s">
        <v>2249</v>
      </c>
      <c r="H45" s="43" t="s">
        <v>2392</v>
      </c>
      <c r="I45" s="43" t="s">
        <v>2393</v>
      </c>
      <c r="J45" s="43"/>
      <c r="K45" s="43" t="s">
        <v>2394</v>
      </c>
      <c r="L45" s="43"/>
      <c r="M45" s="43"/>
      <c r="N45" s="43" t="s">
        <v>2395</v>
      </c>
      <c r="O45" s="43"/>
      <c r="P45" s="44">
        <v>3</v>
      </c>
      <c r="Q45" s="43" t="s">
        <v>2396</v>
      </c>
      <c r="R45" s="43" t="s">
        <v>2397</v>
      </c>
      <c r="S45" s="55" t="s">
        <v>2398</v>
      </c>
      <c r="T45" s="44">
        <v>0</v>
      </c>
      <c r="U45" s="43" t="s">
        <v>2399</v>
      </c>
      <c r="V45" s="43"/>
      <c r="W45" s="43"/>
      <c r="X45" s="43"/>
      <c r="Y45" s="43"/>
      <c r="Z45" s="43"/>
      <c r="AA45" s="43"/>
    </row>
    <row r="46" spans="1:27" ht="15.75" customHeight="1" x14ac:dyDescent="0.2">
      <c r="A46" s="61">
        <v>25</v>
      </c>
      <c r="B46" s="61" t="s">
        <v>788</v>
      </c>
      <c r="C46" s="62" t="s">
        <v>356</v>
      </c>
      <c r="D46" s="62" t="str">
        <f t="shared" si="0"/>
        <v>2507045</v>
      </c>
      <c r="E46" s="43" t="s">
        <v>2400</v>
      </c>
      <c r="F46" s="43" t="s">
        <v>2401</v>
      </c>
      <c r="G46" s="43" t="s">
        <v>2226</v>
      </c>
      <c r="H46" s="43" t="s">
        <v>2402</v>
      </c>
      <c r="I46" s="43" t="s">
        <v>2403</v>
      </c>
      <c r="J46" s="43" t="s">
        <v>2404</v>
      </c>
      <c r="K46" s="43" t="s">
        <v>2405</v>
      </c>
      <c r="L46" s="43"/>
      <c r="M46" s="43"/>
      <c r="N46" s="43"/>
      <c r="O46" s="43"/>
      <c r="P46" s="43"/>
      <c r="Q46" s="43" t="s">
        <v>2406</v>
      </c>
      <c r="R46" s="43" t="s">
        <v>2407</v>
      </c>
      <c r="S46" s="55" t="s">
        <v>2408</v>
      </c>
      <c r="T46" s="44">
        <v>0</v>
      </c>
      <c r="U46" s="43" t="s">
        <v>2409</v>
      </c>
      <c r="V46" s="43"/>
      <c r="W46" s="43"/>
      <c r="X46" s="43"/>
      <c r="Y46" s="43"/>
      <c r="Z46" s="43"/>
      <c r="AA46" s="43"/>
    </row>
    <row r="47" spans="1:27" ht="15.75" customHeight="1" x14ac:dyDescent="0.2">
      <c r="A47" s="61">
        <v>25</v>
      </c>
      <c r="B47" s="61" t="s">
        <v>788</v>
      </c>
      <c r="C47" s="62" t="s">
        <v>362</v>
      </c>
      <c r="D47" s="62" t="str">
        <f t="shared" si="0"/>
        <v>2507046</v>
      </c>
      <c r="E47" s="43" t="s">
        <v>2410</v>
      </c>
      <c r="F47" s="43" t="s">
        <v>2411</v>
      </c>
      <c r="G47" s="43" t="s">
        <v>2226</v>
      </c>
      <c r="H47" s="43" t="s">
        <v>2412</v>
      </c>
      <c r="I47" s="43" t="s">
        <v>2413</v>
      </c>
      <c r="J47" s="43"/>
      <c r="K47" s="43"/>
      <c r="L47" s="43"/>
      <c r="M47" s="43"/>
      <c r="N47" s="43"/>
      <c r="O47" s="43"/>
      <c r="P47" s="44">
        <v>2</v>
      </c>
      <c r="Q47" s="43" t="s">
        <v>2414</v>
      </c>
      <c r="R47" s="43" t="s">
        <v>2415</v>
      </c>
      <c r="S47" s="55" t="s">
        <v>2416</v>
      </c>
      <c r="T47" s="44">
        <v>0</v>
      </c>
      <c r="U47" s="43" t="s">
        <v>2417</v>
      </c>
      <c r="V47" s="43"/>
      <c r="W47" s="43"/>
      <c r="X47" s="43"/>
      <c r="Y47" s="43"/>
      <c r="Z47" s="43"/>
      <c r="AA47" s="43"/>
    </row>
    <row r="48" spans="1:27" ht="15.75" customHeight="1" x14ac:dyDescent="0.15">
      <c r="A48" s="56"/>
      <c r="B48" s="56"/>
      <c r="C48" s="23"/>
      <c r="D48" s="23"/>
      <c r="E48" s="23"/>
      <c r="F48" s="23"/>
      <c r="G48" s="23"/>
      <c r="H48" s="23"/>
      <c r="I48" s="23"/>
      <c r="J48" s="23"/>
      <c r="K48" s="56"/>
      <c r="L48" s="56"/>
      <c r="M48" s="23"/>
      <c r="N48" s="23"/>
      <c r="O48" s="5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15">
      <c r="A49" s="56"/>
      <c r="B49" s="56"/>
      <c r="C49" s="23"/>
      <c r="D49" s="23"/>
      <c r="E49" s="23"/>
      <c r="F49" s="23"/>
      <c r="G49" s="23"/>
      <c r="H49" s="23"/>
      <c r="I49" s="23"/>
      <c r="J49" s="23"/>
      <c r="K49" s="56"/>
      <c r="L49" s="56"/>
      <c r="M49" s="23"/>
      <c r="N49" s="23"/>
      <c r="O49" s="56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15">
      <c r="A50" s="56"/>
      <c r="B50" s="56"/>
      <c r="C50" s="23"/>
      <c r="D50" s="23"/>
      <c r="E50" s="23"/>
      <c r="F50" s="23"/>
      <c r="G50" s="23"/>
      <c r="H50" s="23"/>
      <c r="I50" s="23"/>
      <c r="J50" s="23"/>
      <c r="K50" s="56"/>
      <c r="L50" s="56"/>
      <c r="M50" s="23"/>
      <c r="N50" s="23"/>
      <c r="O50" s="56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15">
      <c r="A51" s="56"/>
      <c r="B51" s="56"/>
      <c r="C51" s="23"/>
      <c r="D51" s="23"/>
      <c r="E51" s="23"/>
      <c r="F51" s="23"/>
      <c r="G51" s="23"/>
      <c r="H51" s="23"/>
      <c r="I51" s="23"/>
      <c r="J51" s="23"/>
      <c r="K51" s="56"/>
      <c r="L51" s="56"/>
      <c r="M51" s="23"/>
      <c r="N51" s="23"/>
      <c r="O51" s="56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15">
      <c r="A52" s="56"/>
      <c r="B52" s="56"/>
      <c r="C52" s="23"/>
      <c r="D52" s="23"/>
      <c r="E52" s="23"/>
      <c r="F52" s="23"/>
      <c r="G52" s="23"/>
      <c r="H52" s="23"/>
      <c r="I52" s="23"/>
      <c r="J52" s="23"/>
      <c r="K52" s="56"/>
      <c r="L52" s="56"/>
      <c r="M52" s="23"/>
      <c r="N52" s="23"/>
      <c r="O52" s="5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15">
      <c r="A53" s="56"/>
      <c r="B53" s="56"/>
      <c r="C53" s="23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3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3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3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3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23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23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23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23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23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23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3" x14ac:dyDescent="0.15">
      <c r="A242" s="56"/>
      <c r="B242" s="56"/>
      <c r="K242" s="56"/>
      <c r="L242" s="56"/>
      <c r="O242" s="56"/>
    </row>
    <row r="243" spans="1:27" ht="13" x14ac:dyDescent="0.15">
      <c r="A243" s="56"/>
      <c r="B243" s="56"/>
      <c r="K243" s="56"/>
      <c r="L243" s="56"/>
      <c r="O243" s="56"/>
    </row>
    <row r="244" spans="1:27" ht="13" x14ac:dyDescent="0.15">
      <c r="A244" s="56"/>
      <c r="B244" s="56"/>
      <c r="K244" s="56"/>
      <c r="L244" s="56"/>
      <c r="O244" s="56"/>
    </row>
    <row r="245" spans="1:27" ht="13" x14ac:dyDescent="0.15">
      <c r="A245" s="56"/>
      <c r="B245" s="56"/>
      <c r="K245" s="56"/>
      <c r="L245" s="56"/>
      <c r="O245" s="56"/>
    </row>
    <row r="246" spans="1:27" ht="13" x14ac:dyDescent="0.15">
      <c r="A246" s="56"/>
      <c r="B246" s="56"/>
      <c r="K246" s="56"/>
      <c r="L246" s="56"/>
      <c r="O246" s="56"/>
    </row>
    <row r="247" spans="1:27" ht="13" x14ac:dyDescent="0.15">
      <c r="A247" s="56"/>
      <c r="B247" s="56"/>
      <c r="K247" s="56"/>
      <c r="L247" s="56"/>
      <c r="O247" s="56"/>
    </row>
    <row r="248" spans="1:27" ht="13" x14ac:dyDescent="0.15">
      <c r="A248" s="56"/>
      <c r="B248" s="56"/>
      <c r="K248" s="56"/>
      <c r="L248" s="56"/>
      <c r="O248" s="56"/>
    </row>
    <row r="249" spans="1:27" ht="13" x14ac:dyDescent="0.15">
      <c r="A249" s="56"/>
      <c r="B249" s="56"/>
      <c r="K249" s="56"/>
      <c r="L249" s="56"/>
      <c r="O249" s="56"/>
    </row>
    <row r="250" spans="1:27" ht="13" x14ac:dyDescent="0.15">
      <c r="A250" s="56"/>
      <c r="B250" s="56"/>
      <c r="K250" s="56"/>
      <c r="L250" s="56"/>
      <c r="O250" s="56"/>
    </row>
    <row r="251" spans="1:27" ht="13" x14ac:dyDescent="0.15">
      <c r="A251" s="56"/>
      <c r="B251" s="56"/>
      <c r="K251" s="56"/>
      <c r="L251" s="56"/>
      <c r="O251" s="56"/>
    </row>
    <row r="252" spans="1:27" ht="13" x14ac:dyDescent="0.15">
      <c r="A252" s="56"/>
      <c r="B252" s="56"/>
      <c r="K252" s="56"/>
      <c r="L252" s="56"/>
      <c r="O252" s="56"/>
    </row>
    <row r="253" spans="1:27" ht="13" x14ac:dyDescent="0.15">
      <c r="A253" s="56"/>
      <c r="B253" s="56"/>
      <c r="K253" s="56"/>
      <c r="L253" s="56"/>
      <c r="O253" s="56"/>
    </row>
    <row r="254" spans="1:27" ht="13" x14ac:dyDescent="0.15">
      <c r="A254" s="56"/>
      <c r="B254" s="56"/>
      <c r="K254" s="56"/>
      <c r="L254" s="56"/>
      <c r="O254" s="56"/>
    </row>
    <row r="255" spans="1:27" ht="13" x14ac:dyDescent="0.15">
      <c r="A255" s="56"/>
      <c r="B255" s="56"/>
      <c r="K255" s="56"/>
      <c r="L255" s="56"/>
      <c r="O255" s="56"/>
    </row>
    <row r="256" spans="1:27" ht="13" x14ac:dyDescent="0.15">
      <c r="A256" s="56"/>
      <c r="B256" s="56"/>
      <c r="K256" s="56"/>
      <c r="L256" s="56"/>
      <c r="O256" s="56"/>
    </row>
    <row r="257" spans="1:15" ht="13" x14ac:dyDescent="0.15">
      <c r="A257" s="56"/>
      <c r="B257" s="56"/>
      <c r="K257" s="56"/>
      <c r="L257" s="56"/>
      <c r="O257" s="56"/>
    </row>
    <row r="258" spans="1:15" ht="13" x14ac:dyDescent="0.15">
      <c r="A258" s="56"/>
      <c r="B258" s="56"/>
      <c r="K258" s="56"/>
      <c r="L258" s="56"/>
      <c r="O258" s="56"/>
    </row>
    <row r="259" spans="1:15" ht="13" x14ac:dyDescent="0.15">
      <c r="A259" s="56"/>
      <c r="B259" s="56"/>
      <c r="K259" s="56"/>
      <c r="L259" s="56"/>
      <c r="O259" s="56"/>
    </row>
    <row r="260" spans="1:15" ht="13" x14ac:dyDescent="0.15">
      <c r="A260" s="56"/>
      <c r="B260" s="56"/>
      <c r="K260" s="56"/>
      <c r="L260" s="56"/>
      <c r="O260" s="56"/>
    </row>
    <row r="261" spans="1:15" ht="13" x14ac:dyDescent="0.15">
      <c r="A261" s="56"/>
      <c r="B261" s="56"/>
      <c r="K261" s="56"/>
      <c r="L261" s="56"/>
      <c r="O261" s="56"/>
    </row>
    <row r="262" spans="1:15" ht="13" x14ac:dyDescent="0.15">
      <c r="A262" s="56"/>
      <c r="B262" s="56"/>
      <c r="K262" s="56"/>
      <c r="L262" s="56"/>
      <c r="O262" s="56"/>
    </row>
    <row r="263" spans="1:15" ht="13" x14ac:dyDescent="0.15">
      <c r="A263" s="56"/>
      <c r="B263" s="56"/>
      <c r="K263" s="56"/>
      <c r="L263" s="56"/>
      <c r="O263" s="56"/>
    </row>
    <row r="264" spans="1:15" ht="13" x14ac:dyDescent="0.15">
      <c r="A264" s="56"/>
      <c r="B264" s="56"/>
      <c r="K264" s="56"/>
      <c r="L264" s="56"/>
      <c r="O264" s="56"/>
    </row>
    <row r="265" spans="1:15" ht="13" x14ac:dyDescent="0.15">
      <c r="A265" s="56"/>
      <c r="B265" s="56"/>
      <c r="K265" s="56"/>
      <c r="L265" s="56"/>
      <c r="O265" s="56"/>
    </row>
    <row r="266" spans="1:15" ht="13" x14ac:dyDescent="0.15">
      <c r="A266" s="56"/>
      <c r="B266" s="56"/>
      <c r="K266" s="56"/>
      <c r="L266" s="56"/>
      <c r="O266" s="56"/>
    </row>
    <row r="267" spans="1:15" ht="13" x14ac:dyDescent="0.15">
      <c r="A267" s="56"/>
      <c r="B267" s="56"/>
      <c r="K267" s="56"/>
      <c r="L267" s="56"/>
      <c r="O267" s="56"/>
    </row>
    <row r="268" spans="1:15" ht="13" x14ac:dyDescent="0.15">
      <c r="A268" s="56"/>
      <c r="B268" s="56"/>
      <c r="K268" s="56"/>
      <c r="L268" s="56"/>
      <c r="O268" s="56"/>
    </row>
    <row r="269" spans="1:15" ht="13" x14ac:dyDescent="0.15">
      <c r="A269" s="56"/>
      <c r="B269" s="56"/>
      <c r="K269" s="56"/>
      <c r="L269" s="56"/>
      <c r="O269" s="56"/>
    </row>
    <row r="270" spans="1:15" ht="13" x14ac:dyDescent="0.15">
      <c r="A270" s="56"/>
      <c r="B270" s="56"/>
      <c r="K270" s="56"/>
      <c r="L270" s="56"/>
      <c r="O270" s="56"/>
    </row>
    <row r="271" spans="1:15" ht="13" x14ac:dyDescent="0.15">
      <c r="A271" s="56"/>
      <c r="B271" s="56"/>
      <c r="K271" s="56"/>
      <c r="L271" s="56"/>
      <c r="O271" s="56"/>
    </row>
    <row r="272" spans="1:15" ht="13" x14ac:dyDescent="0.15">
      <c r="A272" s="56"/>
      <c r="B272" s="56"/>
      <c r="K272" s="56"/>
      <c r="L272" s="56"/>
      <c r="O272" s="56"/>
    </row>
    <row r="273" spans="1:15" ht="13" x14ac:dyDescent="0.15">
      <c r="A273" s="56"/>
      <c r="B273" s="56"/>
      <c r="K273" s="56"/>
      <c r="L273" s="56"/>
      <c r="O273" s="56"/>
    </row>
    <row r="274" spans="1:15" ht="13" x14ac:dyDescent="0.15">
      <c r="A274" s="56"/>
      <c r="B274" s="56"/>
      <c r="K274" s="56"/>
      <c r="L274" s="56"/>
      <c r="O274" s="56"/>
    </row>
    <row r="275" spans="1:15" ht="13" x14ac:dyDescent="0.15">
      <c r="A275" s="56"/>
      <c r="B275" s="56"/>
      <c r="K275" s="56"/>
      <c r="L275" s="56"/>
      <c r="O275" s="56"/>
    </row>
    <row r="276" spans="1:15" ht="13" x14ac:dyDescent="0.15">
      <c r="A276" s="56"/>
      <c r="B276" s="56"/>
      <c r="K276" s="56"/>
      <c r="L276" s="56"/>
      <c r="O276" s="56"/>
    </row>
    <row r="277" spans="1:15" ht="13" x14ac:dyDescent="0.15">
      <c r="A277" s="56"/>
      <c r="B277" s="56"/>
      <c r="K277" s="56"/>
      <c r="L277" s="56"/>
      <c r="O277" s="56"/>
    </row>
    <row r="278" spans="1:15" ht="13" x14ac:dyDescent="0.15">
      <c r="A278" s="56"/>
      <c r="B278" s="56"/>
      <c r="K278" s="56"/>
      <c r="L278" s="56"/>
      <c r="O278" s="56"/>
    </row>
    <row r="279" spans="1:15" ht="13" x14ac:dyDescent="0.15">
      <c r="A279" s="56"/>
      <c r="B279" s="56"/>
      <c r="K279" s="56"/>
      <c r="L279" s="56"/>
      <c r="O279" s="56"/>
    </row>
    <row r="280" spans="1:15" ht="13" x14ac:dyDescent="0.15">
      <c r="A280" s="56"/>
      <c r="B280" s="56"/>
      <c r="K280" s="56"/>
      <c r="L280" s="56"/>
      <c r="O280" s="56"/>
    </row>
    <row r="281" spans="1:15" ht="13" x14ac:dyDescent="0.15">
      <c r="A281" s="56"/>
      <c r="B281" s="56"/>
      <c r="K281" s="56"/>
      <c r="L281" s="56"/>
      <c r="O281" s="56"/>
    </row>
    <row r="282" spans="1:15" ht="13" x14ac:dyDescent="0.15">
      <c r="A282" s="56"/>
      <c r="B282" s="56"/>
      <c r="K282" s="56"/>
      <c r="L282" s="56"/>
      <c r="O282" s="56"/>
    </row>
    <row r="283" spans="1:15" ht="13" x14ac:dyDescent="0.15">
      <c r="A283" s="56"/>
      <c r="B283" s="56"/>
      <c r="K283" s="56"/>
      <c r="L283" s="56"/>
      <c r="O283" s="56"/>
    </row>
    <row r="284" spans="1:15" ht="13" x14ac:dyDescent="0.15">
      <c r="A284" s="56"/>
      <c r="B284" s="56"/>
      <c r="K284" s="56"/>
      <c r="L284" s="56"/>
      <c r="O284" s="56"/>
    </row>
    <row r="285" spans="1:15" ht="13" x14ac:dyDescent="0.15">
      <c r="A285" s="56"/>
      <c r="B285" s="56"/>
      <c r="K285" s="56"/>
      <c r="L285" s="56"/>
      <c r="O285" s="56"/>
    </row>
    <row r="286" spans="1:15" ht="13" x14ac:dyDescent="0.15">
      <c r="A286" s="56"/>
      <c r="B286" s="56"/>
      <c r="K286" s="56"/>
      <c r="L286" s="56"/>
      <c r="O286" s="56"/>
    </row>
    <row r="287" spans="1:15" ht="13" x14ac:dyDescent="0.15">
      <c r="A287" s="56"/>
      <c r="B287" s="56"/>
      <c r="K287" s="56"/>
      <c r="L287" s="56"/>
      <c r="O287" s="56"/>
    </row>
    <row r="288" spans="1:15" ht="13" x14ac:dyDescent="0.15">
      <c r="A288" s="56"/>
      <c r="B288" s="56"/>
      <c r="K288" s="56"/>
      <c r="L288" s="56"/>
      <c r="O288" s="56"/>
    </row>
    <row r="289" spans="1:15" ht="13" x14ac:dyDescent="0.15">
      <c r="A289" s="56"/>
      <c r="B289" s="56"/>
      <c r="K289" s="56"/>
      <c r="L289" s="56"/>
      <c r="O289" s="56"/>
    </row>
    <row r="290" spans="1:15" ht="13" x14ac:dyDescent="0.15">
      <c r="A290" s="56"/>
      <c r="B290" s="56"/>
      <c r="K290" s="56"/>
      <c r="L290" s="56"/>
      <c r="O290" s="56"/>
    </row>
    <row r="291" spans="1:15" ht="13" x14ac:dyDescent="0.15">
      <c r="A291" s="56"/>
      <c r="B291" s="56"/>
      <c r="K291" s="56"/>
      <c r="L291" s="56"/>
      <c r="O291" s="56"/>
    </row>
    <row r="292" spans="1:15" ht="13" x14ac:dyDescent="0.15">
      <c r="A292" s="56"/>
      <c r="B292" s="56"/>
      <c r="K292" s="56"/>
      <c r="L292" s="56"/>
      <c r="O292" s="56"/>
    </row>
    <row r="293" spans="1:15" ht="13" x14ac:dyDescent="0.15">
      <c r="A293" s="56"/>
      <c r="B293" s="56"/>
      <c r="K293" s="56"/>
      <c r="L293" s="56"/>
      <c r="O293" s="56"/>
    </row>
    <row r="294" spans="1:15" ht="13" x14ac:dyDescent="0.15">
      <c r="A294" s="56"/>
      <c r="B294" s="56"/>
      <c r="K294" s="56"/>
      <c r="L294" s="56"/>
      <c r="O294" s="56"/>
    </row>
    <row r="295" spans="1:15" ht="13" x14ac:dyDescent="0.15">
      <c r="A295" s="56"/>
      <c r="B295" s="56"/>
      <c r="K295" s="56"/>
      <c r="L295" s="56"/>
      <c r="O295" s="56"/>
    </row>
    <row r="296" spans="1:15" ht="13" x14ac:dyDescent="0.15">
      <c r="A296" s="56"/>
      <c r="B296" s="56"/>
      <c r="K296" s="56"/>
      <c r="L296" s="56"/>
      <c r="O296" s="56"/>
    </row>
    <row r="297" spans="1:15" ht="13" x14ac:dyDescent="0.15">
      <c r="A297" s="56"/>
      <c r="B297" s="56"/>
      <c r="K297" s="56"/>
      <c r="L297" s="56"/>
      <c r="O297" s="56"/>
    </row>
    <row r="298" spans="1:15" ht="13" x14ac:dyDescent="0.15">
      <c r="A298" s="56"/>
      <c r="B298" s="56"/>
      <c r="K298" s="56"/>
      <c r="L298" s="56"/>
      <c r="O298" s="56"/>
    </row>
    <row r="299" spans="1:15" ht="13" x14ac:dyDescent="0.15">
      <c r="A299" s="56"/>
      <c r="B299" s="56"/>
      <c r="K299" s="56"/>
      <c r="L299" s="56"/>
      <c r="O299" s="56"/>
    </row>
    <row r="300" spans="1:15" ht="13" x14ac:dyDescent="0.15">
      <c r="A300" s="56"/>
      <c r="B300" s="56"/>
      <c r="K300" s="56"/>
      <c r="L300" s="56"/>
      <c r="O300" s="56"/>
    </row>
    <row r="301" spans="1:15" ht="13" x14ac:dyDescent="0.15">
      <c r="A301" s="56"/>
      <c r="B301" s="56"/>
      <c r="K301" s="56"/>
      <c r="L301" s="56"/>
      <c r="O301" s="56"/>
    </row>
    <row r="302" spans="1:15" ht="13" x14ac:dyDescent="0.15">
      <c r="A302" s="56"/>
      <c r="B302" s="56"/>
      <c r="K302" s="56"/>
      <c r="L302" s="56"/>
      <c r="O302" s="56"/>
    </row>
    <row r="303" spans="1:15" ht="13" x14ac:dyDescent="0.15">
      <c r="A303" s="56"/>
      <c r="B303" s="56"/>
      <c r="K303" s="56"/>
      <c r="L303" s="56"/>
      <c r="O303" s="56"/>
    </row>
    <row r="304" spans="1:15" ht="13" x14ac:dyDescent="0.15">
      <c r="A304" s="56"/>
      <c r="B304" s="56"/>
      <c r="K304" s="56"/>
      <c r="L304" s="56"/>
      <c r="O304" s="56"/>
    </row>
    <row r="305" spans="1:15" ht="13" x14ac:dyDescent="0.15">
      <c r="A305" s="56"/>
      <c r="B305" s="56"/>
      <c r="K305" s="56"/>
      <c r="L305" s="56"/>
      <c r="O305" s="56"/>
    </row>
    <row r="306" spans="1:15" ht="13" x14ac:dyDescent="0.15">
      <c r="A306" s="56"/>
      <c r="B306" s="56"/>
      <c r="K306" s="56"/>
      <c r="L306" s="56"/>
      <c r="O306" s="56"/>
    </row>
    <row r="307" spans="1:15" ht="13" x14ac:dyDescent="0.15">
      <c r="A307" s="56"/>
      <c r="B307" s="56"/>
      <c r="K307" s="56"/>
      <c r="L307" s="56"/>
      <c r="O307" s="56"/>
    </row>
    <row r="308" spans="1:15" ht="13" x14ac:dyDescent="0.15">
      <c r="A308" s="56"/>
      <c r="B308" s="56"/>
      <c r="K308" s="56"/>
      <c r="L308" s="56"/>
      <c r="O308" s="56"/>
    </row>
    <row r="309" spans="1:15" ht="13" x14ac:dyDescent="0.15">
      <c r="A309" s="56"/>
      <c r="B309" s="56"/>
      <c r="K309" s="56"/>
      <c r="L309" s="56"/>
      <c r="O309" s="56"/>
    </row>
    <row r="310" spans="1:15" ht="13" x14ac:dyDescent="0.15">
      <c r="A310" s="56"/>
      <c r="B310" s="56"/>
      <c r="K310" s="56"/>
      <c r="L310" s="56"/>
      <c r="O310" s="56"/>
    </row>
    <row r="311" spans="1:15" ht="13" x14ac:dyDescent="0.15">
      <c r="A311" s="56"/>
      <c r="B311" s="56"/>
      <c r="K311" s="56"/>
      <c r="L311" s="56"/>
      <c r="O311" s="56"/>
    </row>
    <row r="312" spans="1:15" ht="13" x14ac:dyDescent="0.15">
      <c r="A312" s="56"/>
      <c r="B312" s="56"/>
      <c r="K312" s="56"/>
      <c r="L312" s="56"/>
      <c r="O312" s="56"/>
    </row>
    <row r="313" spans="1:15" ht="13" x14ac:dyDescent="0.15">
      <c r="A313" s="56"/>
      <c r="B313" s="56"/>
      <c r="K313" s="56"/>
      <c r="L313" s="56"/>
      <c r="O313" s="56"/>
    </row>
    <row r="314" spans="1:15" ht="13" x14ac:dyDescent="0.15">
      <c r="A314" s="56"/>
      <c r="B314" s="56"/>
      <c r="K314" s="56"/>
      <c r="L314" s="56"/>
      <c r="O314" s="56"/>
    </row>
    <row r="315" spans="1:15" ht="13" x14ac:dyDescent="0.15">
      <c r="A315" s="56"/>
      <c r="B315" s="56"/>
      <c r="K315" s="56"/>
      <c r="L315" s="56"/>
      <c r="O315" s="56"/>
    </row>
    <row r="316" spans="1:15" ht="13" x14ac:dyDescent="0.15">
      <c r="A316" s="56"/>
      <c r="B316" s="56"/>
      <c r="K316" s="56"/>
      <c r="L316" s="56"/>
      <c r="O316" s="56"/>
    </row>
    <row r="317" spans="1:15" ht="13" x14ac:dyDescent="0.15">
      <c r="A317" s="56"/>
      <c r="B317" s="56"/>
      <c r="K317" s="56"/>
      <c r="L317" s="56"/>
      <c r="O317" s="56"/>
    </row>
    <row r="318" spans="1:15" ht="13" x14ac:dyDescent="0.15">
      <c r="A318" s="56"/>
      <c r="B318" s="56"/>
      <c r="K318" s="56"/>
      <c r="L318" s="56"/>
      <c r="O318" s="56"/>
    </row>
    <row r="319" spans="1:15" ht="13" x14ac:dyDescent="0.15">
      <c r="A319" s="56"/>
      <c r="B319" s="56"/>
      <c r="K319" s="56"/>
      <c r="L319" s="56"/>
      <c r="O319" s="56"/>
    </row>
    <row r="320" spans="1:15" ht="13" x14ac:dyDescent="0.15">
      <c r="A320" s="56"/>
      <c r="B320" s="56"/>
      <c r="K320" s="56"/>
      <c r="L320" s="56"/>
      <c r="O320" s="56"/>
    </row>
    <row r="321" spans="1:15" ht="13" x14ac:dyDescent="0.15">
      <c r="A321" s="56"/>
      <c r="B321" s="56"/>
      <c r="K321" s="56"/>
      <c r="L321" s="56"/>
      <c r="O321" s="56"/>
    </row>
    <row r="322" spans="1:15" ht="13" x14ac:dyDescent="0.15">
      <c r="A322" s="56"/>
      <c r="B322" s="56"/>
      <c r="K322" s="56"/>
      <c r="L322" s="56"/>
      <c r="O322" s="56"/>
    </row>
    <row r="323" spans="1:15" ht="13" x14ac:dyDescent="0.15">
      <c r="A323" s="56"/>
      <c r="B323" s="56"/>
      <c r="K323" s="56"/>
      <c r="L323" s="56"/>
      <c r="O323" s="56"/>
    </row>
    <row r="324" spans="1:15" ht="13" x14ac:dyDescent="0.15">
      <c r="A324" s="56"/>
      <c r="B324" s="56"/>
      <c r="K324" s="56"/>
      <c r="L324" s="56"/>
      <c r="O324" s="56"/>
    </row>
    <row r="325" spans="1:15" ht="13" x14ac:dyDescent="0.15">
      <c r="A325" s="56"/>
      <c r="B325" s="56"/>
      <c r="K325" s="56"/>
      <c r="L325" s="56"/>
      <c r="O325" s="56"/>
    </row>
    <row r="326" spans="1:15" ht="13" x14ac:dyDescent="0.15">
      <c r="A326" s="56"/>
      <c r="B326" s="56"/>
      <c r="K326" s="56"/>
      <c r="L326" s="56"/>
      <c r="O326" s="56"/>
    </row>
    <row r="327" spans="1:15" ht="13" x14ac:dyDescent="0.15">
      <c r="A327" s="56"/>
      <c r="B327" s="56"/>
      <c r="K327" s="56"/>
      <c r="L327" s="56"/>
      <c r="O327" s="56"/>
    </row>
    <row r="328" spans="1:15" ht="13" x14ac:dyDescent="0.15">
      <c r="A328" s="56"/>
      <c r="B328" s="56"/>
      <c r="K328" s="56"/>
      <c r="L328" s="56"/>
      <c r="O328" s="56"/>
    </row>
    <row r="329" spans="1:15" ht="13" x14ac:dyDescent="0.15">
      <c r="A329" s="56"/>
      <c r="B329" s="56"/>
      <c r="K329" s="56"/>
      <c r="L329" s="56"/>
      <c r="O329" s="56"/>
    </row>
    <row r="330" spans="1:15" ht="13" x14ac:dyDescent="0.15">
      <c r="A330" s="56"/>
      <c r="B330" s="56"/>
      <c r="K330" s="56"/>
      <c r="L330" s="56"/>
      <c r="O330" s="56"/>
    </row>
    <row r="331" spans="1:15" ht="13" x14ac:dyDescent="0.15">
      <c r="A331" s="56"/>
      <c r="B331" s="56"/>
      <c r="K331" s="56"/>
      <c r="L331" s="56"/>
      <c r="O331" s="56"/>
    </row>
    <row r="332" spans="1:15" ht="13" x14ac:dyDescent="0.15">
      <c r="A332" s="56"/>
      <c r="B332" s="56"/>
      <c r="K332" s="56"/>
      <c r="L332" s="56"/>
      <c r="O332" s="56"/>
    </row>
    <row r="333" spans="1:15" ht="13" x14ac:dyDescent="0.15">
      <c r="A333" s="56"/>
      <c r="B333" s="56"/>
      <c r="K333" s="56"/>
      <c r="L333" s="56"/>
      <c r="O333" s="56"/>
    </row>
    <row r="334" spans="1:15" ht="13" x14ac:dyDescent="0.15">
      <c r="A334" s="56"/>
      <c r="B334" s="56"/>
      <c r="K334" s="56"/>
      <c r="L334" s="56"/>
      <c r="O334" s="56"/>
    </row>
    <row r="335" spans="1:15" ht="13" x14ac:dyDescent="0.15">
      <c r="A335" s="56"/>
      <c r="B335" s="56"/>
      <c r="K335" s="56"/>
      <c r="L335" s="56"/>
      <c r="O335" s="56"/>
    </row>
    <row r="336" spans="1:15" ht="13" x14ac:dyDescent="0.15">
      <c r="A336" s="56"/>
      <c r="B336" s="56"/>
      <c r="K336" s="56"/>
      <c r="L336" s="56"/>
      <c r="O336" s="56"/>
    </row>
    <row r="337" spans="1:15" ht="13" x14ac:dyDescent="0.15">
      <c r="A337" s="56"/>
      <c r="B337" s="56"/>
      <c r="K337" s="56"/>
      <c r="L337" s="56"/>
      <c r="O337" s="56"/>
    </row>
    <row r="338" spans="1:15" ht="13" x14ac:dyDescent="0.15">
      <c r="A338" s="56"/>
      <c r="B338" s="56"/>
      <c r="K338" s="56"/>
      <c r="L338" s="56"/>
      <c r="O338" s="56"/>
    </row>
    <row r="339" spans="1:15" ht="13" x14ac:dyDescent="0.15">
      <c r="A339" s="56"/>
      <c r="B339" s="56"/>
      <c r="K339" s="56"/>
      <c r="L339" s="56"/>
      <c r="O339" s="56"/>
    </row>
    <row r="340" spans="1:15" ht="13" x14ac:dyDescent="0.15">
      <c r="A340" s="56"/>
      <c r="B340" s="56"/>
      <c r="K340" s="56"/>
      <c r="L340" s="56"/>
      <c r="O340" s="56"/>
    </row>
    <row r="341" spans="1:15" ht="13" x14ac:dyDescent="0.15">
      <c r="A341" s="56"/>
      <c r="B341" s="56"/>
      <c r="K341" s="56"/>
      <c r="L341" s="56"/>
      <c r="O341" s="56"/>
    </row>
    <row r="342" spans="1:15" ht="13" x14ac:dyDescent="0.15">
      <c r="A342" s="56"/>
      <c r="B342" s="56"/>
      <c r="K342" s="56"/>
      <c r="L342" s="56"/>
      <c r="O342" s="56"/>
    </row>
    <row r="343" spans="1:15" ht="13" x14ac:dyDescent="0.15">
      <c r="A343" s="56"/>
      <c r="B343" s="56"/>
      <c r="K343" s="56"/>
      <c r="L343" s="56"/>
      <c r="O343" s="56"/>
    </row>
    <row r="344" spans="1:15" ht="13" x14ac:dyDescent="0.15">
      <c r="A344" s="56"/>
      <c r="B344" s="56"/>
      <c r="K344" s="56"/>
      <c r="L344" s="56"/>
      <c r="O344" s="56"/>
    </row>
    <row r="345" spans="1:15" ht="13" x14ac:dyDescent="0.15">
      <c r="A345" s="56"/>
      <c r="B345" s="56"/>
      <c r="K345" s="56"/>
      <c r="L345" s="56"/>
      <c r="O345" s="56"/>
    </row>
    <row r="346" spans="1:15" ht="13" x14ac:dyDescent="0.15">
      <c r="A346" s="56"/>
      <c r="B346" s="56"/>
      <c r="K346" s="56"/>
      <c r="L346" s="56"/>
      <c r="O346" s="56"/>
    </row>
    <row r="347" spans="1:15" ht="13" x14ac:dyDescent="0.15">
      <c r="A347" s="56"/>
      <c r="B347" s="56"/>
      <c r="K347" s="56"/>
      <c r="L347" s="56"/>
      <c r="O347" s="56"/>
    </row>
    <row r="348" spans="1:15" ht="13" x14ac:dyDescent="0.15">
      <c r="A348" s="56"/>
      <c r="B348" s="56"/>
      <c r="K348" s="56"/>
      <c r="L348" s="56"/>
      <c r="O348" s="56"/>
    </row>
    <row r="349" spans="1:15" ht="13" x14ac:dyDescent="0.15">
      <c r="A349" s="56"/>
      <c r="B349" s="56"/>
      <c r="K349" s="56"/>
      <c r="L349" s="56"/>
      <c r="O349" s="56"/>
    </row>
    <row r="350" spans="1:15" ht="13" x14ac:dyDescent="0.15">
      <c r="A350" s="56"/>
      <c r="B350" s="56"/>
      <c r="K350" s="56"/>
      <c r="L350" s="56"/>
      <c r="O350" s="56"/>
    </row>
    <row r="351" spans="1:15" ht="13" x14ac:dyDescent="0.15">
      <c r="A351" s="56"/>
      <c r="B351" s="56"/>
      <c r="K351" s="56"/>
      <c r="L351" s="56"/>
      <c r="O351" s="56"/>
    </row>
    <row r="352" spans="1:15" ht="13" x14ac:dyDescent="0.15">
      <c r="A352" s="56"/>
      <c r="B352" s="56"/>
      <c r="K352" s="56"/>
      <c r="L352" s="56"/>
      <c r="O352" s="56"/>
    </row>
    <row r="353" spans="1:15" ht="13" x14ac:dyDescent="0.15">
      <c r="A353" s="56"/>
      <c r="B353" s="56"/>
      <c r="K353" s="56"/>
      <c r="L353" s="56"/>
      <c r="O353" s="56"/>
    </row>
    <row r="354" spans="1:15" ht="13" x14ac:dyDescent="0.15">
      <c r="A354" s="56"/>
      <c r="B354" s="56"/>
      <c r="K354" s="56"/>
      <c r="L354" s="56"/>
      <c r="O354" s="56"/>
    </row>
    <row r="355" spans="1:15" ht="13" x14ac:dyDescent="0.15">
      <c r="A355" s="56"/>
      <c r="B355" s="56"/>
      <c r="K355" s="56"/>
      <c r="L355" s="56"/>
      <c r="O355" s="56"/>
    </row>
    <row r="356" spans="1:15" ht="13" x14ac:dyDescent="0.15">
      <c r="A356" s="56"/>
      <c r="B356" s="56"/>
      <c r="K356" s="56"/>
      <c r="L356" s="56"/>
      <c r="O356" s="56"/>
    </row>
    <row r="357" spans="1:15" ht="13" x14ac:dyDescent="0.15">
      <c r="A357" s="56"/>
      <c r="B357" s="56"/>
      <c r="K357" s="56"/>
      <c r="L357" s="56"/>
      <c r="O357" s="56"/>
    </row>
    <row r="358" spans="1:15" ht="13" x14ac:dyDescent="0.15">
      <c r="A358" s="56"/>
      <c r="B358" s="56"/>
      <c r="K358" s="56"/>
      <c r="L358" s="56"/>
      <c r="O358" s="56"/>
    </row>
    <row r="359" spans="1:15" ht="13" x14ac:dyDescent="0.15">
      <c r="A359" s="56"/>
      <c r="B359" s="56"/>
      <c r="K359" s="56"/>
      <c r="L359" s="56"/>
      <c r="O359" s="56"/>
    </row>
    <row r="360" spans="1:15" ht="13" x14ac:dyDescent="0.15">
      <c r="A360" s="56"/>
      <c r="B360" s="56"/>
      <c r="K360" s="56"/>
      <c r="L360" s="56"/>
      <c r="O360" s="56"/>
    </row>
    <row r="361" spans="1:15" ht="13" x14ac:dyDescent="0.15">
      <c r="A361" s="56"/>
      <c r="B361" s="56"/>
      <c r="K361" s="56"/>
      <c r="L361" s="56"/>
      <c r="O361" s="56"/>
    </row>
    <row r="362" spans="1:15" ht="13" x14ac:dyDescent="0.15">
      <c r="A362" s="56"/>
      <c r="B362" s="56"/>
      <c r="K362" s="56"/>
      <c r="L362" s="56"/>
      <c r="O362" s="56"/>
    </row>
    <row r="363" spans="1:15" ht="13" x14ac:dyDescent="0.15">
      <c r="A363" s="56"/>
      <c r="B363" s="56"/>
      <c r="K363" s="56"/>
      <c r="L363" s="56"/>
      <c r="O363" s="56"/>
    </row>
    <row r="364" spans="1:15" ht="13" x14ac:dyDescent="0.15">
      <c r="A364" s="56"/>
      <c r="B364" s="56"/>
      <c r="K364" s="56"/>
      <c r="L364" s="56"/>
      <c r="O364" s="56"/>
    </row>
    <row r="365" spans="1:15" ht="13" x14ac:dyDescent="0.15">
      <c r="A365" s="56"/>
      <c r="B365" s="56"/>
      <c r="K365" s="56"/>
      <c r="L365" s="56"/>
      <c r="O365" s="56"/>
    </row>
    <row r="366" spans="1:15" ht="13" x14ac:dyDescent="0.15">
      <c r="A366" s="56"/>
      <c r="B366" s="56"/>
      <c r="K366" s="56"/>
      <c r="L366" s="56"/>
      <c r="O366" s="56"/>
    </row>
    <row r="367" spans="1:15" ht="13" x14ac:dyDescent="0.15">
      <c r="A367" s="56"/>
      <c r="B367" s="56"/>
      <c r="K367" s="56"/>
      <c r="L367" s="56"/>
      <c r="O367" s="56"/>
    </row>
    <row r="368" spans="1:15" ht="13" x14ac:dyDescent="0.15">
      <c r="A368" s="56"/>
      <c r="B368" s="56"/>
      <c r="K368" s="56"/>
      <c r="L368" s="56"/>
      <c r="O368" s="56"/>
    </row>
    <row r="369" spans="1:15" ht="13" x14ac:dyDescent="0.15">
      <c r="A369" s="56"/>
      <c r="B369" s="56"/>
      <c r="K369" s="56"/>
      <c r="L369" s="56"/>
      <c r="O369" s="56"/>
    </row>
    <row r="370" spans="1:15" ht="13" x14ac:dyDescent="0.15">
      <c r="A370" s="56"/>
      <c r="B370" s="56"/>
      <c r="K370" s="56"/>
      <c r="L370" s="56"/>
      <c r="O370" s="56"/>
    </row>
    <row r="371" spans="1:15" ht="13" x14ac:dyDescent="0.15">
      <c r="A371" s="56"/>
      <c r="B371" s="56"/>
      <c r="K371" s="56"/>
      <c r="L371" s="56"/>
      <c r="O371" s="56"/>
    </row>
    <row r="372" spans="1:15" ht="13" x14ac:dyDescent="0.15">
      <c r="A372" s="56"/>
      <c r="B372" s="56"/>
      <c r="K372" s="56"/>
      <c r="L372" s="56"/>
      <c r="O372" s="56"/>
    </row>
    <row r="373" spans="1:15" ht="13" x14ac:dyDescent="0.15">
      <c r="A373" s="56"/>
      <c r="B373" s="56"/>
      <c r="K373" s="56"/>
      <c r="L373" s="56"/>
      <c r="O373" s="56"/>
    </row>
    <row r="374" spans="1:15" ht="13" x14ac:dyDescent="0.15">
      <c r="A374" s="56"/>
      <c r="B374" s="56"/>
      <c r="K374" s="56"/>
      <c r="L374" s="56"/>
      <c r="O374" s="56"/>
    </row>
    <row r="375" spans="1:15" ht="13" x14ac:dyDescent="0.15">
      <c r="A375" s="56"/>
      <c r="B375" s="56"/>
      <c r="K375" s="56"/>
      <c r="L375" s="56"/>
      <c r="O375" s="56"/>
    </row>
    <row r="376" spans="1:15" ht="13" x14ac:dyDescent="0.15">
      <c r="A376" s="56"/>
      <c r="B376" s="56"/>
      <c r="K376" s="56"/>
      <c r="L376" s="56"/>
      <c r="O376" s="56"/>
    </row>
    <row r="377" spans="1:15" ht="13" x14ac:dyDescent="0.15">
      <c r="A377" s="56"/>
      <c r="B377" s="56"/>
      <c r="K377" s="56"/>
      <c r="L377" s="56"/>
      <c r="O377" s="56"/>
    </row>
    <row r="378" spans="1:15" ht="13" x14ac:dyDescent="0.15">
      <c r="A378" s="56"/>
      <c r="B378" s="56"/>
      <c r="K378" s="56"/>
      <c r="L378" s="56"/>
      <c r="O378" s="56"/>
    </row>
    <row r="379" spans="1:15" ht="13" x14ac:dyDescent="0.15">
      <c r="A379" s="56"/>
      <c r="B379" s="56"/>
      <c r="K379" s="56"/>
      <c r="L379" s="56"/>
      <c r="O379" s="56"/>
    </row>
    <row r="380" spans="1:15" ht="13" x14ac:dyDescent="0.15">
      <c r="A380" s="56"/>
      <c r="B380" s="56"/>
      <c r="K380" s="56"/>
      <c r="L380" s="56"/>
      <c r="O380" s="56"/>
    </row>
    <row r="381" spans="1:15" ht="13" x14ac:dyDescent="0.15">
      <c r="A381" s="56"/>
      <c r="B381" s="56"/>
      <c r="K381" s="56"/>
      <c r="L381" s="56"/>
      <c r="O381" s="56"/>
    </row>
    <row r="382" spans="1:15" ht="13" x14ac:dyDescent="0.15">
      <c r="A382" s="56"/>
      <c r="B382" s="56"/>
      <c r="K382" s="56"/>
      <c r="L382" s="56"/>
      <c r="O382" s="56"/>
    </row>
    <row r="383" spans="1:15" ht="13" x14ac:dyDescent="0.15">
      <c r="A383" s="56"/>
      <c r="B383" s="56"/>
      <c r="K383" s="56"/>
      <c r="L383" s="56"/>
      <c r="O383" s="56"/>
    </row>
    <row r="384" spans="1:15" ht="13" x14ac:dyDescent="0.15">
      <c r="A384" s="56"/>
      <c r="B384" s="56"/>
      <c r="K384" s="56"/>
      <c r="L384" s="56"/>
      <c r="O384" s="56"/>
    </row>
    <row r="385" spans="1:15" ht="13" x14ac:dyDescent="0.15">
      <c r="A385" s="56"/>
      <c r="B385" s="56"/>
      <c r="K385" s="56"/>
      <c r="L385" s="56"/>
      <c r="O385" s="56"/>
    </row>
    <row r="386" spans="1:15" ht="13" x14ac:dyDescent="0.15">
      <c r="A386" s="56"/>
      <c r="B386" s="56"/>
      <c r="K386" s="56"/>
      <c r="L386" s="56"/>
      <c r="O386" s="56"/>
    </row>
    <row r="387" spans="1:15" ht="13" x14ac:dyDescent="0.15">
      <c r="A387" s="56"/>
      <c r="B387" s="56"/>
      <c r="K387" s="56"/>
      <c r="L387" s="56"/>
      <c r="O387" s="56"/>
    </row>
    <row r="388" spans="1:15" ht="13" x14ac:dyDescent="0.15">
      <c r="A388" s="56"/>
      <c r="B388" s="56"/>
      <c r="K388" s="56"/>
      <c r="L388" s="56"/>
      <c r="O388" s="56"/>
    </row>
    <row r="389" spans="1:15" ht="13" x14ac:dyDescent="0.15">
      <c r="A389" s="56"/>
      <c r="B389" s="56"/>
      <c r="K389" s="56"/>
      <c r="L389" s="56"/>
      <c r="O389" s="56"/>
    </row>
    <row r="390" spans="1:15" ht="13" x14ac:dyDescent="0.15">
      <c r="A390" s="56"/>
      <c r="B390" s="56"/>
      <c r="K390" s="56"/>
      <c r="L390" s="56"/>
      <c r="O390" s="56"/>
    </row>
    <row r="391" spans="1:15" ht="13" x14ac:dyDescent="0.15">
      <c r="A391" s="56"/>
      <c r="B391" s="56"/>
      <c r="K391" s="56"/>
      <c r="L391" s="56"/>
      <c r="O391" s="56"/>
    </row>
    <row r="392" spans="1:15" ht="13" x14ac:dyDescent="0.15">
      <c r="A392" s="56"/>
      <c r="B392" s="56"/>
      <c r="K392" s="56"/>
      <c r="L392" s="56"/>
      <c r="O392" s="56"/>
    </row>
    <row r="393" spans="1:15" ht="13" x14ac:dyDescent="0.15">
      <c r="A393" s="56"/>
      <c r="B393" s="56"/>
      <c r="K393" s="56"/>
      <c r="L393" s="56"/>
      <c r="O393" s="56"/>
    </row>
    <row r="394" spans="1:15" ht="13" x14ac:dyDescent="0.15">
      <c r="A394" s="56"/>
      <c r="B394" s="56"/>
      <c r="K394" s="56"/>
      <c r="L394" s="56"/>
      <c r="O394" s="56"/>
    </row>
    <row r="395" spans="1:15" ht="13" x14ac:dyDescent="0.15">
      <c r="A395" s="56"/>
      <c r="B395" s="56"/>
      <c r="K395" s="56"/>
      <c r="L395" s="56"/>
      <c r="O395" s="56"/>
    </row>
    <row r="396" spans="1:15" ht="13" x14ac:dyDescent="0.15">
      <c r="A396" s="56"/>
      <c r="B396" s="56"/>
      <c r="K396" s="56"/>
      <c r="L396" s="56"/>
      <c r="O396" s="56"/>
    </row>
    <row r="397" spans="1:15" ht="13" x14ac:dyDescent="0.15">
      <c r="A397" s="56"/>
      <c r="B397" s="56"/>
      <c r="K397" s="56"/>
      <c r="L397" s="56"/>
      <c r="O397" s="56"/>
    </row>
    <row r="398" spans="1:15" ht="13" x14ac:dyDescent="0.15">
      <c r="A398" s="56"/>
      <c r="B398" s="56"/>
      <c r="K398" s="56"/>
      <c r="L398" s="56"/>
      <c r="O398" s="56"/>
    </row>
    <row r="399" spans="1:15" ht="13" x14ac:dyDescent="0.15">
      <c r="A399" s="56"/>
      <c r="B399" s="56"/>
      <c r="K399" s="56"/>
      <c r="L399" s="56"/>
      <c r="O399" s="56"/>
    </row>
    <row r="400" spans="1:15" ht="13" x14ac:dyDescent="0.15">
      <c r="A400" s="56"/>
      <c r="B400" s="56"/>
      <c r="K400" s="56"/>
      <c r="L400" s="56"/>
      <c r="O400" s="56"/>
    </row>
    <row r="401" spans="1:15" ht="13" x14ac:dyDescent="0.15">
      <c r="A401" s="56"/>
      <c r="B401" s="56"/>
      <c r="K401" s="56"/>
      <c r="L401" s="56"/>
      <c r="O401" s="56"/>
    </row>
    <row r="402" spans="1:15" ht="13" x14ac:dyDescent="0.15">
      <c r="A402" s="56"/>
      <c r="B402" s="56"/>
      <c r="K402" s="56"/>
      <c r="L402" s="56"/>
      <c r="O402" s="56"/>
    </row>
    <row r="403" spans="1:15" ht="13" x14ac:dyDescent="0.15">
      <c r="A403" s="56"/>
      <c r="B403" s="56"/>
      <c r="K403" s="56"/>
      <c r="L403" s="56"/>
      <c r="O403" s="56"/>
    </row>
    <row r="404" spans="1:15" ht="13" x14ac:dyDescent="0.15">
      <c r="A404" s="56"/>
      <c r="B404" s="56"/>
      <c r="K404" s="56"/>
      <c r="L404" s="56"/>
      <c r="O404" s="56"/>
    </row>
    <row r="405" spans="1:15" ht="13" x14ac:dyDescent="0.15">
      <c r="A405" s="56"/>
      <c r="B405" s="56"/>
      <c r="K405" s="56"/>
      <c r="L405" s="56"/>
      <c r="O405" s="56"/>
    </row>
    <row r="406" spans="1:15" ht="13" x14ac:dyDescent="0.15">
      <c r="A406" s="56"/>
      <c r="B406" s="56"/>
      <c r="K406" s="56"/>
      <c r="L406" s="56"/>
      <c r="O406" s="56"/>
    </row>
    <row r="407" spans="1:15" ht="13" x14ac:dyDescent="0.15">
      <c r="A407" s="56"/>
      <c r="B407" s="56"/>
      <c r="K407" s="56"/>
      <c r="L407" s="56"/>
      <c r="O407" s="56"/>
    </row>
    <row r="408" spans="1:15" ht="13" x14ac:dyDescent="0.15">
      <c r="A408" s="56"/>
      <c r="B408" s="56"/>
      <c r="K408" s="56"/>
      <c r="L408" s="56"/>
      <c r="O408" s="56"/>
    </row>
    <row r="409" spans="1:15" ht="13" x14ac:dyDescent="0.15">
      <c r="A409" s="56"/>
      <c r="B409" s="56"/>
      <c r="K409" s="56"/>
      <c r="L409" s="56"/>
      <c r="O409" s="56"/>
    </row>
    <row r="410" spans="1:15" ht="13" x14ac:dyDescent="0.15">
      <c r="A410" s="56"/>
      <c r="B410" s="56"/>
      <c r="K410" s="56"/>
      <c r="L410" s="56"/>
      <c r="O410" s="56"/>
    </row>
    <row r="411" spans="1:15" ht="13" x14ac:dyDescent="0.15">
      <c r="A411" s="56"/>
      <c r="B411" s="56"/>
      <c r="K411" s="56"/>
      <c r="L411" s="56"/>
      <c r="O411" s="56"/>
    </row>
    <row r="412" spans="1:15" ht="13" x14ac:dyDescent="0.15">
      <c r="A412" s="56"/>
      <c r="B412" s="56"/>
      <c r="K412" s="56"/>
      <c r="L412" s="56"/>
      <c r="O412" s="56"/>
    </row>
    <row r="413" spans="1:15" ht="13" x14ac:dyDescent="0.15">
      <c r="A413" s="56"/>
      <c r="B413" s="56"/>
      <c r="K413" s="56"/>
      <c r="L413" s="56"/>
      <c r="O413" s="56"/>
    </row>
    <row r="414" spans="1:15" ht="13" x14ac:dyDescent="0.15">
      <c r="A414" s="56"/>
      <c r="B414" s="56"/>
      <c r="K414" s="56"/>
      <c r="L414" s="56"/>
      <c r="O414" s="56"/>
    </row>
    <row r="415" spans="1:15" ht="13" x14ac:dyDescent="0.15">
      <c r="A415" s="56"/>
      <c r="B415" s="56"/>
      <c r="K415" s="56"/>
      <c r="L415" s="56"/>
      <c r="O415" s="56"/>
    </row>
    <row r="416" spans="1:15" ht="13" x14ac:dyDescent="0.15">
      <c r="A416" s="56"/>
      <c r="B416" s="56"/>
      <c r="K416" s="56"/>
      <c r="L416" s="56"/>
      <c r="O416" s="56"/>
    </row>
    <row r="417" spans="1:15" ht="13" x14ac:dyDescent="0.15">
      <c r="A417" s="56"/>
      <c r="B417" s="56"/>
      <c r="K417" s="56"/>
      <c r="L417" s="56"/>
      <c r="O417" s="56"/>
    </row>
    <row r="418" spans="1:15" ht="13" x14ac:dyDescent="0.15">
      <c r="A418" s="56"/>
      <c r="B418" s="56"/>
      <c r="K418" s="56"/>
      <c r="L418" s="56"/>
      <c r="O418" s="56"/>
    </row>
    <row r="419" spans="1:15" ht="13" x14ac:dyDescent="0.15">
      <c r="A419" s="56"/>
      <c r="B419" s="56"/>
      <c r="K419" s="56"/>
      <c r="L419" s="56"/>
      <c r="O419" s="56"/>
    </row>
    <row r="420" spans="1:15" ht="13" x14ac:dyDescent="0.15">
      <c r="A420" s="56"/>
      <c r="B420" s="56"/>
      <c r="K420" s="56"/>
      <c r="L420" s="56"/>
      <c r="O420" s="56"/>
    </row>
    <row r="421" spans="1:15" ht="13" x14ac:dyDescent="0.15">
      <c r="A421" s="56"/>
      <c r="B421" s="56"/>
      <c r="K421" s="56"/>
      <c r="L421" s="56"/>
      <c r="O421" s="56"/>
    </row>
    <row r="422" spans="1:15" ht="13" x14ac:dyDescent="0.15">
      <c r="A422" s="56"/>
      <c r="B422" s="56"/>
      <c r="K422" s="56"/>
      <c r="L422" s="56"/>
      <c r="O422" s="56"/>
    </row>
    <row r="423" spans="1:15" ht="13" x14ac:dyDescent="0.15">
      <c r="A423" s="56"/>
      <c r="B423" s="56"/>
      <c r="K423" s="56"/>
      <c r="L423" s="56"/>
      <c r="O423" s="56"/>
    </row>
    <row r="424" spans="1:15" ht="13" x14ac:dyDescent="0.15">
      <c r="A424" s="56"/>
      <c r="B424" s="56"/>
      <c r="K424" s="56"/>
      <c r="L424" s="56"/>
      <c r="O424" s="56"/>
    </row>
    <row r="425" spans="1:15" ht="13" x14ac:dyDescent="0.15">
      <c r="A425" s="56"/>
      <c r="B425" s="56"/>
      <c r="K425" s="56"/>
      <c r="L425" s="56"/>
      <c r="O425" s="56"/>
    </row>
    <row r="426" spans="1:15" ht="13" x14ac:dyDescent="0.15">
      <c r="A426" s="56"/>
      <c r="B426" s="56"/>
      <c r="K426" s="56"/>
      <c r="L426" s="56"/>
      <c r="O426" s="56"/>
    </row>
    <row r="427" spans="1:15" ht="13" x14ac:dyDescent="0.15">
      <c r="A427" s="56"/>
      <c r="B427" s="56"/>
      <c r="K427" s="56"/>
      <c r="L427" s="56"/>
      <c r="O427" s="56"/>
    </row>
    <row r="428" spans="1:15" ht="13" x14ac:dyDescent="0.15">
      <c r="A428" s="56"/>
      <c r="B428" s="56"/>
      <c r="K428" s="56"/>
      <c r="L428" s="56"/>
      <c r="O428" s="56"/>
    </row>
    <row r="429" spans="1:15" ht="13" x14ac:dyDescent="0.15">
      <c r="A429" s="56"/>
      <c r="B429" s="56"/>
      <c r="K429" s="56"/>
      <c r="L429" s="56"/>
      <c r="O429" s="56"/>
    </row>
    <row r="430" spans="1:15" ht="13" x14ac:dyDescent="0.15">
      <c r="A430" s="56"/>
      <c r="B430" s="56"/>
      <c r="K430" s="56"/>
      <c r="L430" s="56"/>
      <c r="O430" s="56"/>
    </row>
    <row r="431" spans="1:15" ht="13" x14ac:dyDescent="0.15">
      <c r="A431" s="56"/>
      <c r="B431" s="56"/>
      <c r="K431" s="56"/>
      <c r="L431" s="56"/>
      <c r="O431" s="56"/>
    </row>
    <row r="432" spans="1:15" ht="13" x14ac:dyDescent="0.15">
      <c r="A432" s="56"/>
      <c r="B432" s="56"/>
      <c r="K432" s="56"/>
      <c r="L432" s="56"/>
      <c r="O432" s="56"/>
    </row>
    <row r="433" spans="1:15" ht="13" x14ac:dyDescent="0.15">
      <c r="A433" s="56"/>
      <c r="B433" s="56"/>
      <c r="K433" s="56"/>
      <c r="L433" s="56"/>
      <c r="O433" s="56"/>
    </row>
    <row r="434" spans="1:15" ht="13" x14ac:dyDescent="0.15">
      <c r="A434" s="56"/>
      <c r="B434" s="56"/>
      <c r="K434" s="56"/>
      <c r="L434" s="56"/>
      <c r="O434" s="56"/>
    </row>
    <row r="435" spans="1:15" ht="13" x14ac:dyDescent="0.15">
      <c r="A435" s="56"/>
      <c r="B435" s="56"/>
      <c r="K435" s="56"/>
      <c r="L435" s="56"/>
      <c r="O435" s="56"/>
    </row>
    <row r="436" spans="1:15" ht="13" x14ac:dyDescent="0.15">
      <c r="A436" s="56"/>
      <c r="B436" s="56"/>
      <c r="K436" s="56"/>
      <c r="L436" s="56"/>
      <c r="O436" s="56"/>
    </row>
    <row r="437" spans="1:15" ht="13" x14ac:dyDescent="0.15">
      <c r="A437" s="56"/>
      <c r="B437" s="56"/>
      <c r="K437" s="56"/>
      <c r="L437" s="56"/>
      <c r="O437" s="56"/>
    </row>
    <row r="438" spans="1:15" ht="13" x14ac:dyDescent="0.15">
      <c r="A438" s="56"/>
      <c r="B438" s="56"/>
      <c r="K438" s="56"/>
      <c r="L438" s="56"/>
      <c r="O438" s="56"/>
    </row>
    <row r="439" spans="1:15" ht="13" x14ac:dyDescent="0.15">
      <c r="A439" s="56"/>
      <c r="B439" s="56"/>
      <c r="K439" s="56"/>
      <c r="L439" s="56"/>
      <c r="O439" s="56"/>
    </row>
    <row r="440" spans="1:15" ht="13" x14ac:dyDescent="0.15">
      <c r="A440" s="56"/>
      <c r="B440" s="56"/>
      <c r="K440" s="56"/>
      <c r="L440" s="56"/>
      <c r="O440" s="56"/>
    </row>
    <row r="441" spans="1:15" ht="13" x14ac:dyDescent="0.15">
      <c r="A441" s="56"/>
      <c r="B441" s="56"/>
      <c r="K441" s="56"/>
      <c r="L441" s="56"/>
      <c r="O441" s="56"/>
    </row>
    <row r="442" spans="1:15" ht="13" x14ac:dyDescent="0.15">
      <c r="A442" s="56"/>
      <c r="B442" s="56"/>
      <c r="K442" s="56"/>
      <c r="L442" s="56"/>
      <c r="O442" s="56"/>
    </row>
    <row r="443" spans="1:15" ht="13" x14ac:dyDescent="0.15">
      <c r="A443" s="56"/>
      <c r="B443" s="56"/>
      <c r="K443" s="56"/>
      <c r="L443" s="56"/>
      <c r="O443" s="56"/>
    </row>
    <row r="444" spans="1:15" ht="13" x14ac:dyDescent="0.15">
      <c r="A444" s="56"/>
      <c r="B444" s="56"/>
      <c r="K444" s="56"/>
      <c r="L444" s="56"/>
      <c r="O444" s="56"/>
    </row>
    <row r="445" spans="1:15" ht="13" x14ac:dyDescent="0.15">
      <c r="A445" s="56"/>
      <c r="B445" s="56"/>
      <c r="K445" s="56"/>
      <c r="L445" s="56"/>
      <c r="O445" s="56"/>
    </row>
    <row r="446" spans="1:15" ht="13" x14ac:dyDescent="0.15">
      <c r="A446" s="56"/>
      <c r="B446" s="56"/>
      <c r="K446" s="56"/>
      <c r="L446" s="56"/>
      <c r="O446" s="56"/>
    </row>
    <row r="447" spans="1:15" ht="13" x14ac:dyDescent="0.15">
      <c r="A447" s="56"/>
      <c r="B447" s="56"/>
      <c r="K447" s="56"/>
      <c r="L447" s="56"/>
      <c r="O447" s="56"/>
    </row>
    <row r="448" spans="1:15" ht="13" x14ac:dyDescent="0.15">
      <c r="A448" s="56"/>
      <c r="B448" s="56"/>
      <c r="K448" s="56"/>
      <c r="L448" s="56"/>
      <c r="O448" s="56"/>
    </row>
    <row r="449" spans="1:15" ht="13" x14ac:dyDescent="0.15">
      <c r="A449" s="56"/>
      <c r="B449" s="56"/>
      <c r="K449" s="56"/>
      <c r="L449" s="56"/>
      <c r="O449" s="56"/>
    </row>
    <row r="450" spans="1:15" ht="13" x14ac:dyDescent="0.15">
      <c r="A450" s="56"/>
      <c r="B450" s="56"/>
      <c r="K450" s="56"/>
      <c r="L450" s="56"/>
      <c r="O450" s="56"/>
    </row>
    <row r="451" spans="1:15" ht="13" x14ac:dyDescent="0.15">
      <c r="A451" s="56"/>
      <c r="B451" s="56"/>
      <c r="K451" s="56"/>
      <c r="L451" s="56"/>
      <c r="O451" s="56"/>
    </row>
    <row r="452" spans="1:15" ht="13" x14ac:dyDescent="0.15">
      <c r="A452" s="56"/>
      <c r="B452" s="56"/>
      <c r="K452" s="56"/>
      <c r="L452" s="56"/>
      <c r="O452" s="56"/>
    </row>
    <row r="453" spans="1:15" ht="13" x14ac:dyDescent="0.15">
      <c r="A453" s="56"/>
      <c r="B453" s="56"/>
      <c r="K453" s="56"/>
      <c r="L453" s="56"/>
      <c r="O453" s="56"/>
    </row>
    <row r="454" spans="1:15" ht="13" x14ac:dyDescent="0.15">
      <c r="A454" s="56"/>
      <c r="B454" s="56"/>
      <c r="K454" s="56"/>
      <c r="L454" s="56"/>
      <c r="O454" s="56"/>
    </row>
    <row r="455" spans="1:15" ht="13" x14ac:dyDescent="0.15">
      <c r="A455" s="56"/>
      <c r="B455" s="56"/>
      <c r="K455" s="56"/>
      <c r="L455" s="56"/>
      <c r="O455" s="56"/>
    </row>
    <row r="456" spans="1:15" ht="13" x14ac:dyDescent="0.15">
      <c r="A456" s="56"/>
      <c r="B456" s="56"/>
      <c r="K456" s="56"/>
      <c r="L456" s="56"/>
      <c r="O456" s="56"/>
    </row>
    <row r="457" spans="1:15" ht="13" x14ac:dyDescent="0.15">
      <c r="A457" s="56"/>
      <c r="B457" s="56"/>
      <c r="K457" s="56"/>
      <c r="L457" s="56"/>
      <c r="O457" s="56"/>
    </row>
    <row r="458" spans="1:15" ht="13" x14ac:dyDescent="0.15">
      <c r="A458" s="56"/>
      <c r="B458" s="56"/>
      <c r="K458" s="56"/>
      <c r="L458" s="56"/>
      <c r="O458" s="56"/>
    </row>
    <row r="459" spans="1:15" ht="13" x14ac:dyDescent="0.15">
      <c r="A459" s="56"/>
      <c r="B459" s="56"/>
      <c r="K459" s="56"/>
      <c r="L459" s="56"/>
      <c r="O459" s="56"/>
    </row>
    <row r="460" spans="1:15" ht="13" x14ac:dyDescent="0.15">
      <c r="A460" s="56"/>
      <c r="B460" s="56"/>
      <c r="K460" s="56"/>
      <c r="L460" s="56"/>
      <c r="O460" s="56"/>
    </row>
    <row r="461" spans="1:15" ht="13" x14ac:dyDescent="0.15">
      <c r="A461" s="56"/>
      <c r="B461" s="56"/>
      <c r="K461" s="56"/>
      <c r="L461" s="56"/>
      <c r="O461" s="56"/>
    </row>
    <row r="462" spans="1:15" ht="13" x14ac:dyDescent="0.15">
      <c r="A462" s="56"/>
      <c r="B462" s="56"/>
      <c r="K462" s="56"/>
      <c r="L462" s="56"/>
      <c r="O462" s="56"/>
    </row>
    <row r="463" spans="1:15" ht="13" x14ac:dyDescent="0.15">
      <c r="A463" s="56"/>
      <c r="B463" s="56"/>
      <c r="K463" s="56"/>
      <c r="L463" s="56"/>
      <c r="O463" s="56"/>
    </row>
    <row r="464" spans="1:15" ht="13" x14ac:dyDescent="0.15">
      <c r="A464" s="56"/>
      <c r="B464" s="56"/>
      <c r="K464" s="56"/>
      <c r="L464" s="56"/>
      <c r="O464" s="56"/>
    </row>
    <row r="465" spans="1:15" ht="13" x14ac:dyDescent="0.15">
      <c r="A465" s="56"/>
      <c r="B465" s="56"/>
      <c r="K465" s="56"/>
      <c r="L465" s="56"/>
      <c r="O465" s="56"/>
    </row>
    <row r="466" spans="1:15" ht="13" x14ac:dyDescent="0.15">
      <c r="A466" s="56"/>
      <c r="B466" s="56"/>
      <c r="K466" s="56"/>
      <c r="L466" s="56"/>
      <c r="O466" s="56"/>
    </row>
    <row r="467" spans="1:15" ht="13" x14ac:dyDescent="0.15">
      <c r="A467" s="56"/>
      <c r="B467" s="56"/>
      <c r="K467" s="56"/>
      <c r="L467" s="56"/>
      <c r="O467" s="56"/>
    </row>
    <row r="468" spans="1:15" ht="13" x14ac:dyDescent="0.15">
      <c r="A468" s="56"/>
      <c r="B468" s="56"/>
      <c r="K468" s="56"/>
      <c r="L468" s="56"/>
      <c r="O468" s="56"/>
    </row>
    <row r="469" spans="1:15" ht="13" x14ac:dyDescent="0.15">
      <c r="A469" s="56"/>
      <c r="B469" s="56"/>
      <c r="K469" s="56"/>
      <c r="L469" s="56"/>
      <c r="O469" s="56"/>
    </row>
    <row r="470" spans="1:15" ht="13" x14ac:dyDescent="0.15">
      <c r="A470" s="56"/>
      <c r="B470" s="56"/>
      <c r="K470" s="56"/>
      <c r="L470" s="56"/>
      <c r="O470" s="56"/>
    </row>
    <row r="471" spans="1:15" ht="13" x14ac:dyDescent="0.15">
      <c r="A471" s="56"/>
      <c r="B471" s="56"/>
      <c r="K471" s="56"/>
      <c r="L471" s="56"/>
      <c r="O471" s="56"/>
    </row>
    <row r="472" spans="1:15" ht="13" x14ac:dyDescent="0.15">
      <c r="A472" s="56"/>
      <c r="B472" s="56"/>
      <c r="K472" s="56"/>
      <c r="L472" s="56"/>
      <c r="O472" s="56"/>
    </row>
    <row r="473" spans="1:15" ht="13" x14ac:dyDescent="0.15">
      <c r="A473" s="56"/>
      <c r="B473" s="56"/>
      <c r="K473" s="56"/>
      <c r="L473" s="56"/>
      <c r="O473" s="56"/>
    </row>
    <row r="474" spans="1:15" ht="13" x14ac:dyDescent="0.15">
      <c r="A474" s="56"/>
      <c r="B474" s="56"/>
      <c r="K474" s="56"/>
      <c r="L474" s="56"/>
      <c r="O474" s="56"/>
    </row>
    <row r="475" spans="1:15" ht="13" x14ac:dyDescent="0.15">
      <c r="A475" s="56"/>
      <c r="B475" s="56"/>
      <c r="K475" s="56"/>
      <c r="L475" s="56"/>
      <c r="O475" s="56"/>
    </row>
    <row r="476" spans="1:15" ht="13" x14ac:dyDescent="0.15">
      <c r="A476" s="56"/>
      <c r="B476" s="56"/>
      <c r="K476" s="56"/>
      <c r="L476" s="56"/>
      <c r="O476" s="56"/>
    </row>
    <row r="477" spans="1:15" ht="13" x14ac:dyDescent="0.15">
      <c r="A477" s="56"/>
      <c r="B477" s="56"/>
      <c r="K477" s="56"/>
      <c r="L477" s="56"/>
      <c r="O477" s="56"/>
    </row>
    <row r="478" spans="1:15" ht="13" x14ac:dyDescent="0.15">
      <c r="A478" s="56"/>
      <c r="B478" s="56"/>
      <c r="K478" s="56"/>
      <c r="L478" s="56"/>
      <c r="O478" s="56"/>
    </row>
    <row r="479" spans="1:15" ht="13" x14ac:dyDescent="0.15">
      <c r="A479" s="56"/>
      <c r="B479" s="56"/>
      <c r="K479" s="56"/>
      <c r="L479" s="56"/>
      <c r="O479" s="56"/>
    </row>
    <row r="480" spans="1:15" ht="13" x14ac:dyDescent="0.15">
      <c r="A480" s="56"/>
      <c r="B480" s="56"/>
      <c r="K480" s="56"/>
      <c r="L480" s="56"/>
      <c r="O480" s="56"/>
    </row>
    <row r="481" spans="1:15" ht="13" x14ac:dyDescent="0.15">
      <c r="A481" s="56"/>
      <c r="B481" s="56"/>
      <c r="K481" s="56"/>
      <c r="L481" s="56"/>
      <c r="O481" s="56"/>
    </row>
    <row r="482" spans="1:15" ht="13" x14ac:dyDescent="0.15">
      <c r="A482" s="56"/>
      <c r="B482" s="56"/>
      <c r="K482" s="56"/>
      <c r="L482" s="56"/>
      <c r="O482" s="56"/>
    </row>
    <row r="483" spans="1:15" ht="13" x14ac:dyDescent="0.15">
      <c r="A483" s="56"/>
      <c r="B483" s="56"/>
      <c r="K483" s="56"/>
      <c r="L483" s="56"/>
      <c r="O483" s="56"/>
    </row>
    <row r="484" spans="1:15" ht="13" x14ac:dyDescent="0.15">
      <c r="A484" s="56"/>
      <c r="B484" s="56"/>
      <c r="K484" s="56"/>
      <c r="L484" s="56"/>
      <c r="O484" s="56"/>
    </row>
    <row r="485" spans="1:15" ht="13" x14ac:dyDescent="0.15">
      <c r="A485" s="56"/>
      <c r="B485" s="56"/>
      <c r="K485" s="56"/>
      <c r="L485" s="56"/>
      <c r="O485" s="56"/>
    </row>
    <row r="486" spans="1:15" ht="13" x14ac:dyDescent="0.15">
      <c r="A486" s="56"/>
      <c r="B486" s="56"/>
      <c r="K486" s="56"/>
      <c r="L486" s="56"/>
      <c r="O486" s="56"/>
    </row>
    <row r="487" spans="1:15" ht="13" x14ac:dyDescent="0.15">
      <c r="A487" s="56"/>
      <c r="B487" s="56"/>
      <c r="K487" s="56"/>
      <c r="L487" s="56"/>
      <c r="O487" s="56"/>
    </row>
    <row r="488" spans="1:15" ht="13" x14ac:dyDescent="0.15">
      <c r="A488" s="56"/>
      <c r="B488" s="56"/>
      <c r="K488" s="56"/>
      <c r="L488" s="56"/>
      <c r="O488" s="56"/>
    </row>
    <row r="489" spans="1:15" ht="13" x14ac:dyDescent="0.15">
      <c r="A489" s="56"/>
      <c r="B489" s="56"/>
      <c r="K489" s="56"/>
      <c r="L489" s="56"/>
      <c r="O489" s="56"/>
    </row>
    <row r="490" spans="1:15" ht="13" x14ac:dyDescent="0.15">
      <c r="A490" s="56"/>
      <c r="B490" s="56"/>
      <c r="K490" s="56"/>
      <c r="L490" s="56"/>
      <c r="O490" s="56"/>
    </row>
    <row r="491" spans="1:15" ht="13" x14ac:dyDescent="0.15">
      <c r="A491" s="56"/>
      <c r="B491" s="56"/>
      <c r="K491" s="56"/>
      <c r="L491" s="56"/>
      <c r="O491" s="56"/>
    </row>
    <row r="492" spans="1:15" ht="13" x14ac:dyDescent="0.15">
      <c r="A492" s="56"/>
      <c r="B492" s="56"/>
      <c r="K492" s="56"/>
      <c r="L492" s="56"/>
      <c r="O492" s="56"/>
    </row>
    <row r="493" spans="1:15" ht="13" x14ac:dyDescent="0.15">
      <c r="A493" s="56"/>
      <c r="B493" s="56"/>
      <c r="K493" s="56"/>
      <c r="L493" s="56"/>
      <c r="O493" s="56"/>
    </row>
    <row r="494" spans="1:15" ht="13" x14ac:dyDescent="0.15">
      <c r="A494" s="56"/>
      <c r="B494" s="56"/>
      <c r="K494" s="56"/>
      <c r="L494" s="56"/>
      <c r="O494" s="56"/>
    </row>
    <row r="495" spans="1:15" ht="13" x14ac:dyDescent="0.15">
      <c r="A495" s="56"/>
      <c r="B495" s="56"/>
      <c r="K495" s="56"/>
      <c r="L495" s="56"/>
      <c r="O495" s="56"/>
    </row>
    <row r="496" spans="1:15" ht="13" x14ac:dyDescent="0.15">
      <c r="A496" s="56"/>
      <c r="B496" s="56"/>
      <c r="K496" s="56"/>
      <c r="L496" s="56"/>
      <c r="O496" s="56"/>
    </row>
    <row r="497" spans="1:15" ht="13" x14ac:dyDescent="0.15">
      <c r="A497" s="56"/>
      <c r="B497" s="56"/>
      <c r="K497" s="56"/>
      <c r="L497" s="56"/>
      <c r="O497" s="56"/>
    </row>
    <row r="498" spans="1:15" ht="13" x14ac:dyDescent="0.15">
      <c r="A498" s="56"/>
      <c r="B498" s="56"/>
      <c r="K498" s="56"/>
      <c r="L498" s="56"/>
      <c r="O498" s="56"/>
    </row>
    <row r="499" spans="1:15" ht="13" x14ac:dyDescent="0.15">
      <c r="A499" s="56"/>
      <c r="B499" s="56"/>
      <c r="K499" s="56"/>
      <c r="L499" s="56"/>
      <c r="O499" s="56"/>
    </row>
    <row r="500" spans="1:15" ht="13" x14ac:dyDescent="0.15">
      <c r="A500" s="56"/>
      <c r="B500" s="56"/>
      <c r="K500" s="56"/>
      <c r="L500" s="56"/>
      <c r="O500" s="56"/>
    </row>
    <row r="501" spans="1:15" ht="13" x14ac:dyDescent="0.15">
      <c r="A501" s="56"/>
      <c r="B501" s="56"/>
      <c r="K501" s="56"/>
      <c r="L501" s="56"/>
      <c r="O501" s="56"/>
    </row>
    <row r="502" spans="1:15" ht="13" x14ac:dyDescent="0.15">
      <c r="A502" s="56"/>
      <c r="B502" s="56"/>
      <c r="K502" s="56"/>
      <c r="L502" s="56"/>
      <c r="O502" s="56"/>
    </row>
    <row r="503" spans="1:15" ht="13" x14ac:dyDescent="0.15">
      <c r="A503" s="56"/>
      <c r="B503" s="56"/>
      <c r="K503" s="56"/>
      <c r="L503" s="56"/>
      <c r="O503" s="56"/>
    </row>
    <row r="504" spans="1:15" ht="13" x14ac:dyDescent="0.15">
      <c r="A504" s="56"/>
      <c r="B504" s="56"/>
      <c r="K504" s="56"/>
      <c r="L504" s="56"/>
      <c r="O504" s="56"/>
    </row>
    <row r="505" spans="1:15" ht="13" x14ac:dyDescent="0.15">
      <c r="A505" s="56"/>
      <c r="B505" s="56"/>
      <c r="K505" s="56"/>
      <c r="L505" s="56"/>
      <c r="O505" s="56"/>
    </row>
    <row r="506" spans="1:15" ht="13" x14ac:dyDescent="0.15">
      <c r="A506" s="56"/>
      <c r="B506" s="56"/>
      <c r="K506" s="56"/>
      <c r="L506" s="56"/>
      <c r="O506" s="56"/>
    </row>
    <row r="507" spans="1:15" ht="13" x14ac:dyDescent="0.15">
      <c r="A507" s="56"/>
      <c r="B507" s="56"/>
      <c r="K507" s="56"/>
      <c r="L507" s="56"/>
      <c r="O507" s="56"/>
    </row>
    <row r="508" spans="1:15" ht="13" x14ac:dyDescent="0.15">
      <c r="A508" s="56"/>
      <c r="B508" s="56"/>
      <c r="K508" s="56"/>
      <c r="L508" s="56"/>
      <c r="O508" s="56"/>
    </row>
    <row r="509" spans="1:15" ht="13" x14ac:dyDescent="0.15">
      <c r="A509" s="56"/>
      <c r="B509" s="56"/>
      <c r="K509" s="56"/>
      <c r="L509" s="56"/>
      <c r="O509" s="56"/>
    </row>
    <row r="510" spans="1:15" ht="13" x14ac:dyDescent="0.15">
      <c r="A510" s="56"/>
      <c r="B510" s="56"/>
      <c r="K510" s="56"/>
      <c r="L510" s="56"/>
      <c r="O510" s="56"/>
    </row>
    <row r="511" spans="1:15" ht="13" x14ac:dyDescent="0.15">
      <c r="A511" s="56"/>
      <c r="B511" s="56"/>
      <c r="K511" s="56"/>
      <c r="L511" s="56"/>
      <c r="O511" s="56"/>
    </row>
    <row r="512" spans="1:15" ht="13" x14ac:dyDescent="0.15">
      <c r="A512" s="56"/>
      <c r="B512" s="56"/>
      <c r="K512" s="56"/>
      <c r="L512" s="56"/>
      <c r="O512" s="56"/>
    </row>
    <row r="513" spans="1:15" ht="13" x14ac:dyDescent="0.15">
      <c r="A513" s="56"/>
      <c r="B513" s="56"/>
      <c r="K513" s="56"/>
      <c r="L513" s="56"/>
      <c r="O513" s="56"/>
    </row>
    <row r="514" spans="1:15" ht="13" x14ac:dyDescent="0.15">
      <c r="A514" s="56"/>
      <c r="B514" s="56"/>
      <c r="K514" s="56"/>
      <c r="L514" s="56"/>
      <c r="O514" s="56"/>
    </row>
    <row r="515" spans="1:15" ht="13" x14ac:dyDescent="0.15">
      <c r="A515" s="56"/>
      <c r="B515" s="56"/>
      <c r="K515" s="56"/>
      <c r="L515" s="56"/>
      <c r="O515" s="56"/>
    </row>
    <row r="516" spans="1:15" ht="13" x14ac:dyDescent="0.15">
      <c r="A516" s="56"/>
      <c r="B516" s="56"/>
      <c r="K516" s="56"/>
      <c r="L516" s="56"/>
      <c r="O516" s="56"/>
    </row>
    <row r="517" spans="1:15" ht="13" x14ac:dyDescent="0.15">
      <c r="A517" s="56"/>
      <c r="B517" s="56"/>
      <c r="K517" s="56"/>
      <c r="L517" s="56"/>
      <c r="O517" s="56"/>
    </row>
    <row r="518" spans="1:15" ht="13" x14ac:dyDescent="0.15">
      <c r="A518" s="56"/>
      <c r="B518" s="56"/>
      <c r="K518" s="56"/>
      <c r="L518" s="56"/>
      <c r="O518" s="56"/>
    </row>
    <row r="519" spans="1:15" ht="13" x14ac:dyDescent="0.15">
      <c r="A519" s="56"/>
      <c r="B519" s="56"/>
      <c r="K519" s="56"/>
      <c r="L519" s="56"/>
      <c r="O519" s="56"/>
    </row>
    <row r="520" spans="1:15" ht="13" x14ac:dyDescent="0.15">
      <c r="A520" s="56"/>
      <c r="B520" s="56"/>
      <c r="K520" s="56"/>
      <c r="L520" s="56"/>
      <c r="O520" s="56"/>
    </row>
    <row r="521" spans="1:15" ht="13" x14ac:dyDescent="0.15">
      <c r="A521" s="56"/>
      <c r="B521" s="56"/>
      <c r="K521" s="56"/>
      <c r="L521" s="56"/>
      <c r="O521" s="56"/>
    </row>
    <row r="522" spans="1:15" ht="13" x14ac:dyDescent="0.15">
      <c r="A522" s="56"/>
      <c r="B522" s="56"/>
      <c r="K522" s="56"/>
      <c r="L522" s="56"/>
      <c r="O522" s="56"/>
    </row>
    <row r="523" spans="1:15" ht="13" x14ac:dyDescent="0.15">
      <c r="A523" s="56"/>
      <c r="B523" s="56"/>
      <c r="K523" s="56"/>
      <c r="L523" s="56"/>
      <c r="O523" s="56"/>
    </row>
    <row r="524" spans="1:15" ht="13" x14ac:dyDescent="0.15">
      <c r="A524" s="56"/>
      <c r="B524" s="56"/>
      <c r="K524" s="56"/>
      <c r="L524" s="56"/>
      <c r="O524" s="56"/>
    </row>
    <row r="525" spans="1:15" ht="13" x14ac:dyDescent="0.15">
      <c r="A525" s="56"/>
      <c r="B525" s="56"/>
      <c r="K525" s="56"/>
      <c r="L525" s="56"/>
      <c r="O525" s="56"/>
    </row>
    <row r="526" spans="1:15" ht="13" x14ac:dyDescent="0.15">
      <c r="A526" s="56"/>
      <c r="B526" s="56"/>
      <c r="K526" s="56"/>
      <c r="L526" s="56"/>
      <c r="O526" s="56"/>
    </row>
    <row r="527" spans="1:15" ht="13" x14ac:dyDescent="0.15">
      <c r="A527" s="56"/>
      <c r="B527" s="56"/>
      <c r="K527" s="56"/>
      <c r="L527" s="56"/>
      <c r="O527" s="56"/>
    </row>
    <row r="528" spans="1:15" ht="13" x14ac:dyDescent="0.15">
      <c r="A528" s="56"/>
      <c r="B528" s="56"/>
      <c r="K528" s="56"/>
      <c r="L528" s="56"/>
      <c r="O528" s="56"/>
    </row>
    <row r="529" spans="1:15" ht="13" x14ac:dyDescent="0.15">
      <c r="A529" s="56"/>
      <c r="B529" s="56"/>
      <c r="K529" s="56"/>
      <c r="L529" s="56"/>
      <c r="O529" s="56"/>
    </row>
    <row r="530" spans="1:15" ht="13" x14ac:dyDescent="0.15">
      <c r="A530" s="56"/>
      <c r="B530" s="56"/>
      <c r="K530" s="56"/>
      <c r="L530" s="56"/>
      <c r="O530" s="56"/>
    </row>
    <row r="531" spans="1:15" ht="13" x14ac:dyDescent="0.15">
      <c r="A531" s="56"/>
      <c r="B531" s="56"/>
      <c r="K531" s="56"/>
      <c r="L531" s="56"/>
      <c r="O531" s="56"/>
    </row>
    <row r="532" spans="1:15" ht="13" x14ac:dyDescent="0.15">
      <c r="A532" s="56"/>
      <c r="B532" s="56"/>
      <c r="K532" s="56"/>
      <c r="L532" s="56"/>
      <c r="O532" s="56"/>
    </row>
    <row r="533" spans="1:15" ht="13" x14ac:dyDescent="0.15">
      <c r="A533" s="56"/>
      <c r="B533" s="56"/>
      <c r="K533" s="56"/>
      <c r="L533" s="56"/>
      <c r="O533" s="56"/>
    </row>
    <row r="534" spans="1:15" ht="13" x14ac:dyDescent="0.15">
      <c r="A534" s="56"/>
      <c r="B534" s="56"/>
      <c r="K534" s="56"/>
      <c r="L534" s="56"/>
      <c r="O534" s="56"/>
    </row>
    <row r="535" spans="1:15" ht="13" x14ac:dyDescent="0.15">
      <c r="A535" s="56"/>
      <c r="B535" s="56"/>
      <c r="K535" s="56"/>
      <c r="L535" s="56"/>
      <c r="O535" s="56"/>
    </row>
    <row r="536" spans="1:15" ht="13" x14ac:dyDescent="0.15">
      <c r="A536" s="56"/>
      <c r="B536" s="56"/>
      <c r="K536" s="56"/>
      <c r="L536" s="56"/>
      <c r="O536" s="56"/>
    </row>
    <row r="537" spans="1:15" ht="13" x14ac:dyDescent="0.15">
      <c r="A537" s="56"/>
      <c r="B537" s="56"/>
      <c r="K537" s="56"/>
      <c r="L537" s="56"/>
      <c r="O537" s="56"/>
    </row>
    <row r="538" spans="1:15" ht="13" x14ac:dyDescent="0.15">
      <c r="A538" s="56"/>
      <c r="B538" s="56"/>
      <c r="K538" s="56"/>
      <c r="L538" s="56"/>
      <c r="O538" s="56"/>
    </row>
    <row r="539" spans="1:15" ht="13" x14ac:dyDescent="0.15">
      <c r="A539" s="56"/>
      <c r="B539" s="56"/>
      <c r="K539" s="56"/>
      <c r="L539" s="56"/>
      <c r="O539" s="56"/>
    </row>
    <row r="540" spans="1:15" ht="13" x14ac:dyDescent="0.15">
      <c r="A540" s="56"/>
      <c r="B540" s="56"/>
      <c r="K540" s="56"/>
      <c r="L540" s="56"/>
      <c r="O540" s="56"/>
    </row>
    <row r="541" spans="1:15" ht="13" x14ac:dyDescent="0.15">
      <c r="A541" s="56"/>
      <c r="B541" s="56"/>
      <c r="K541" s="56"/>
      <c r="L541" s="56"/>
      <c r="O541" s="56"/>
    </row>
    <row r="542" spans="1:15" ht="13" x14ac:dyDescent="0.15">
      <c r="A542" s="56"/>
      <c r="B542" s="56"/>
      <c r="K542" s="56"/>
      <c r="L542" s="56"/>
      <c r="O542" s="56"/>
    </row>
    <row r="543" spans="1:15" ht="13" x14ac:dyDescent="0.15">
      <c r="A543" s="56"/>
      <c r="B543" s="56"/>
      <c r="K543" s="56"/>
      <c r="L543" s="56"/>
      <c r="O543" s="56"/>
    </row>
    <row r="544" spans="1:15" ht="13" x14ac:dyDescent="0.15">
      <c r="A544" s="56"/>
      <c r="B544" s="56"/>
      <c r="K544" s="56"/>
      <c r="L544" s="56"/>
      <c r="O544" s="56"/>
    </row>
    <row r="545" spans="1:15" ht="13" x14ac:dyDescent="0.15">
      <c r="A545" s="56"/>
      <c r="B545" s="56"/>
      <c r="K545" s="56"/>
      <c r="L545" s="56"/>
      <c r="O545" s="56"/>
    </row>
    <row r="546" spans="1:15" ht="13" x14ac:dyDescent="0.15">
      <c r="A546" s="56"/>
      <c r="B546" s="56"/>
      <c r="K546" s="56"/>
      <c r="L546" s="56"/>
      <c r="O546" s="56"/>
    </row>
    <row r="547" spans="1:15" ht="13" x14ac:dyDescent="0.15">
      <c r="A547" s="56"/>
      <c r="B547" s="56"/>
      <c r="K547" s="56"/>
      <c r="L547" s="56"/>
      <c r="O547" s="56"/>
    </row>
    <row r="548" spans="1:15" ht="13" x14ac:dyDescent="0.15">
      <c r="A548" s="56"/>
      <c r="B548" s="56"/>
      <c r="K548" s="56"/>
      <c r="L548" s="56"/>
      <c r="O548" s="56"/>
    </row>
    <row r="549" spans="1:15" ht="13" x14ac:dyDescent="0.15">
      <c r="A549" s="56"/>
      <c r="B549" s="56"/>
      <c r="K549" s="56"/>
      <c r="L549" s="56"/>
      <c r="O549" s="56"/>
    </row>
    <row r="550" spans="1:15" ht="13" x14ac:dyDescent="0.15">
      <c r="A550" s="56"/>
      <c r="B550" s="56"/>
      <c r="K550" s="56"/>
      <c r="L550" s="56"/>
      <c r="O550" s="56"/>
    </row>
    <row r="551" spans="1:15" ht="13" x14ac:dyDescent="0.15">
      <c r="A551" s="56"/>
      <c r="B551" s="56"/>
      <c r="K551" s="56"/>
      <c r="L551" s="56"/>
      <c r="O551" s="56"/>
    </row>
    <row r="552" spans="1:15" ht="13" x14ac:dyDescent="0.15">
      <c r="A552" s="56"/>
      <c r="B552" s="56"/>
      <c r="K552" s="56"/>
      <c r="L552" s="56"/>
      <c r="O552" s="56"/>
    </row>
    <row r="553" spans="1:15" ht="13" x14ac:dyDescent="0.15">
      <c r="A553" s="56"/>
      <c r="B553" s="56"/>
      <c r="K553" s="56"/>
      <c r="L553" s="56"/>
      <c r="O553" s="56"/>
    </row>
    <row r="554" spans="1:15" ht="13" x14ac:dyDescent="0.15">
      <c r="A554" s="56"/>
      <c r="B554" s="56"/>
      <c r="K554" s="56"/>
      <c r="L554" s="56"/>
      <c r="O554" s="56"/>
    </row>
    <row r="555" spans="1:15" ht="13" x14ac:dyDescent="0.15">
      <c r="A555" s="56"/>
      <c r="B555" s="56"/>
      <c r="K555" s="56"/>
      <c r="L555" s="56"/>
      <c r="O555" s="56"/>
    </row>
    <row r="556" spans="1:15" ht="13" x14ac:dyDescent="0.15">
      <c r="A556" s="56"/>
      <c r="B556" s="56"/>
      <c r="K556" s="56"/>
      <c r="L556" s="56"/>
      <c r="O556" s="56"/>
    </row>
    <row r="557" spans="1:15" ht="13" x14ac:dyDescent="0.15">
      <c r="A557" s="56"/>
      <c r="B557" s="56"/>
      <c r="K557" s="56"/>
      <c r="L557" s="56"/>
      <c r="O557" s="56"/>
    </row>
    <row r="558" spans="1:15" ht="13" x14ac:dyDescent="0.15">
      <c r="A558" s="56"/>
      <c r="B558" s="56"/>
      <c r="K558" s="56"/>
      <c r="L558" s="56"/>
      <c r="O558" s="56"/>
    </row>
    <row r="559" spans="1:15" ht="13" x14ac:dyDescent="0.15">
      <c r="A559" s="56"/>
      <c r="B559" s="56"/>
      <c r="K559" s="56"/>
      <c r="L559" s="56"/>
      <c r="O559" s="56"/>
    </row>
    <row r="560" spans="1:15" ht="13" x14ac:dyDescent="0.15">
      <c r="A560" s="56"/>
      <c r="B560" s="56"/>
      <c r="K560" s="56"/>
      <c r="L560" s="56"/>
      <c r="O560" s="56"/>
    </row>
    <row r="561" spans="1:15" ht="13" x14ac:dyDescent="0.15">
      <c r="A561" s="56"/>
      <c r="B561" s="56"/>
      <c r="K561" s="56"/>
      <c r="L561" s="56"/>
      <c r="O561" s="56"/>
    </row>
    <row r="562" spans="1:15" ht="13" x14ac:dyDescent="0.15">
      <c r="A562" s="56"/>
      <c r="B562" s="56"/>
      <c r="K562" s="56"/>
      <c r="L562" s="56"/>
      <c r="O562" s="56"/>
    </row>
    <row r="563" spans="1:15" ht="13" x14ac:dyDescent="0.15">
      <c r="A563" s="56"/>
      <c r="B563" s="56"/>
      <c r="K563" s="56"/>
      <c r="L563" s="56"/>
      <c r="O563" s="56"/>
    </row>
    <row r="564" spans="1:15" ht="13" x14ac:dyDescent="0.15">
      <c r="A564" s="56"/>
      <c r="B564" s="56"/>
      <c r="K564" s="56"/>
      <c r="L564" s="56"/>
      <c r="O564" s="56"/>
    </row>
    <row r="565" spans="1:15" ht="13" x14ac:dyDescent="0.15">
      <c r="A565" s="56"/>
      <c r="B565" s="56"/>
      <c r="K565" s="56"/>
      <c r="L565" s="56"/>
      <c r="O565" s="56"/>
    </row>
    <row r="566" spans="1:15" ht="13" x14ac:dyDescent="0.15">
      <c r="A566" s="56"/>
      <c r="B566" s="56"/>
      <c r="K566" s="56"/>
      <c r="L566" s="56"/>
      <c r="O566" s="56"/>
    </row>
    <row r="567" spans="1:15" ht="13" x14ac:dyDescent="0.15">
      <c r="A567" s="56"/>
      <c r="B567" s="56"/>
      <c r="K567" s="56"/>
      <c r="L567" s="56"/>
      <c r="O567" s="56"/>
    </row>
    <row r="568" spans="1:15" ht="13" x14ac:dyDescent="0.15">
      <c r="A568" s="56"/>
      <c r="B568" s="56"/>
      <c r="K568" s="56"/>
      <c r="L568" s="56"/>
      <c r="O568" s="56"/>
    </row>
    <row r="569" spans="1:15" ht="13" x14ac:dyDescent="0.15">
      <c r="A569" s="56"/>
      <c r="B569" s="56"/>
      <c r="K569" s="56"/>
      <c r="L569" s="56"/>
      <c r="O569" s="56"/>
    </row>
    <row r="570" spans="1:15" ht="13" x14ac:dyDescent="0.15">
      <c r="A570" s="56"/>
      <c r="B570" s="56"/>
      <c r="K570" s="56"/>
      <c r="L570" s="56"/>
      <c r="O570" s="56"/>
    </row>
    <row r="571" spans="1:15" ht="13" x14ac:dyDescent="0.15">
      <c r="A571" s="56"/>
      <c r="B571" s="56"/>
      <c r="K571" s="56"/>
      <c r="L571" s="56"/>
      <c r="O571" s="56"/>
    </row>
    <row r="572" spans="1:15" ht="13" x14ac:dyDescent="0.15">
      <c r="A572" s="56"/>
      <c r="B572" s="56"/>
      <c r="K572" s="56"/>
      <c r="L572" s="56"/>
      <c r="O572" s="56"/>
    </row>
    <row r="573" spans="1:15" ht="13" x14ac:dyDescent="0.15">
      <c r="A573" s="56"/>
      <c r="B573" s="56"/>
      <c r="K573" s="56"/>
      <c r="L573" s="56"/>
      <c r="O573" s="56"/>
    </row>
    <row r="574" spans="1:15" ht="13" x14ac:dyDescent="0.15">
      <c r="A574" s="56"/>
      <c r="B574" s="56"/>
      <c r="K574" s="56"/>
      <c r="L574" s="56"/>
      <c r="O574" s="56"/>
    </row>
    <row r="575" spans="1:15" ht="13" x14ac:dyDescent="0.15">
      <c r="A575" s="56"/>
      <c r="B575" s="56"/>
      <c r="K575" s="56"/>
      <c r="L575" s="56"/>
      <c r="O575" s="56"/>
    </row>
    <row r="576" spans="1:15" ht="13" x14ac:dyDescent="0.15">
      <c r="A576" s="56"/>
      <c r="B576" s="56"/>
      <c r="K576" s="56"/>
      <c r="L576" s="56"/>
      <c r="O576" s="56"/>
    </row>
    <row r="577" spans="1:15" ht="13" x14ac:dyDescent="0.15">
      <c r="A577" s="56"/>
      <c r="B577" s="56"/>
      <c r="K577" s="56"/>
      <c r="L577" s="56"/>
      <c r="O577" s="56"/>
    </row>
    <row r="578" spans="1:15" ht="13" x14ac:dyDescent="0.15">
      <c r="A578" s="56"/>
      <c r="B578" s="56"/>
      <c r="K578" s="56"/>
      <c r="L578" s="56"/>
      <c r="O578" s="56"/>
    </row>
    <row r="579" spans="1:15" ht="13" x14ac:dyDescent="0.15">
      <c r="A579" s="56"/>
      <c r="B579" s="56"/>
      <c r="K579" s="56"/>
      <c r="L579" s="56"/>
      <c r="O579" s="56"/>
    </row>
    <row r="580" spans="1:15" ht="13" x14ac:dyDescent="0.15">
      <c r="A580" s="56"/>
      <c r="B580" s="56"/>
      <c r="K580" s="56"/>
      <c r="L580" s="56"/>
      <c r="O580" s="56"/>
    </row>
    <row r="581" spans="1:15" ht="13" x14ac:dyDescent="0.15">
      <c r="A581" s="56"/>
      <c r="B581" s="56"/>
      <c r="K581" s="56"/>
      <c r="L581" s="56"/>
      <c r="O581" s="56"/>
    </row>
    <row r="582" spans="1:15" ht="13" x14ac:dyDescent="0.15">
      <c r="A582" s="56"/>
      <c r="B582" s="56"/>
      <c r="K582" s="56"/>
      <c r="L582" s="56"/>
      <c r="O582" s="56"/>
    </row>
    <row r="583" spans="1:15" ht="13" x14ac:dyDescent="0.15">
      <c r="A583" s="56"/>
      <c r="B583" s="56"/>
      <c r="K583" s="56"/>
      <c r="L583" s="56"/>
      <c r="O583" s="56"/>
    </row>
    <row r="584" spans="1:15" ht="13" x14ac:dyDescent="0.15">
      <c r="A584" s="56"/>
      <c r="B584" s="56"/>
      <c r="K584" s="56"/>
      <c r="L584" s="56"/>
      <c r="O584" s="56"/>
    </row>
    <row r="585" spans="1:15" ht="13" x14ac:dyDescent="0.15">
      <c r="A585" s="56"/>
      <c r="B585" s="56"/>
      <c r="K585" s="56"/>
      <c r="L585" s="56"/>
      <c r="O585" s="56"/>
    </row>
    <row r="586" spans="1:15" ht="13" x14ac:dyDescent="0.15">
      <c r="A586" s="56"/>
      <c r="B586" s="56"/>
      <c r="K586" s="56"/>
      <c r="L586" s="56"/>
      <c r="O586" s="56"/>
    </row>
    <row r="587" spans="1:15" ht="13" x14ac:dyDescent="0.15">
      <c r="A587" s="56"/>
      <c r="B587" s="56"/>
      <c r="K587" s="56"/>
      <c r="L587" s="56"/>
      <c r="O587" s="56"/>
    </row>
    <row r="588" spans="1:15" ht="13" x14ac:dyDescent="0.15">
      <c r="A588" s="56"/>
      <c r="B588" s="56"/>
      <c r="K588" s="56"/>
      <c r="L588" s="56"/>
      <c r="O588" s="56"/>
    </row>
    <row r="589" spans="1:15" ht="13" x14ac:dyDescent="0.15">
      <c r="A589" s="56"/>
      <c r="B589" s="56"/>
      <c r="K589" s="56"/>
      <c r="L589" s="56"/>
      <c r="O589" s="56"/>
    </row>
    <row r="590" spans="1:15" ht="13" x14ac:dyDescent="0.15">
      <c r="A590" s="56"/>
      <c r="B590" s="56"/>
      <c r="K590" s="56"/>
      <c r="L590" s="56"/>
      <c r="O590" s="56"/>
    </row>
    <row r="591" spans="1:15" ht="13" x14ac:dyDescent="0.15">
      <c r="A591" s="56"/>
      <c r="B591" s="56"/>
      <c r="K591" s="56"/>
      <c r="L591" s="56"/>
      <c r="O591" s="56"/>
    </row>
    <row r="592" spans="1:15" ht="13" x14ac:dyDescent="0.15">
      <c r="A592" s="56"/>
      <c r="B592" s="56"/>
      <c r="K592" s="56"/>
      <c r="L592" s="56"/>
      <c r="O592" s="56"/>
    </row>
    <row r="593" spans="1:15" ht="13" x14ac:dyDescent="0.15">
      <c r="A593" s="56"/>
      <c r="B593" s="56"/>
      <c r="K593" s="56"/>
      <c r="L593" s="56"/>
      <c r="O593" s="56"/>
    </row>
    <row r="594" spans="1:15" ht="13" x14ac:dyDescent="0.15">
      <c r="A594" s="56"/>
      <c r="B594" s="56"/>
      <c r="K594" s="56"/>
      <c r="L594" s="56"/>
      <c r="O594" s="56"/>
    </row>
    <row r="595" spans="1:15" ht="13" x14ac:dyDescent="0.15">
      <c r="A595" s="56"/>
      <c r="B595" s="56"/>
      <c r="K595" s="56"/>
      <c r="L595" s="56"/>
      <c r="O595" s="56"/>
    </row>
    <row r="596" spans="1:15" ht="13" x14ac:dyDescent="0.15">
      <c r="A596" s="56"/>
      <c r="B596" s="56"/>
      <c r="K596" s="56"/>
      <c r="L596" s="56"/>
      <c r="O596" s="56"/>
    </row>
    <row r="597" spans="1:15" ht="13" x14ac:dyDescent="0.15">
      <c r="A597" s="56"/>
      <c r="B597" s="56"/>
      <c r="K597" s="56"/>
      <c r="L597" s="56"/>
      <c r="O597" s="56"/>
    </row>
    <row r="598" spans="1:15" ht="13" x14ac:dyDescent="0.15">
      <c r="A598" s="56"/>
      <c r="B598" s="56"/>
      <c r="K598" s="56"/>
      <c r="L598" s="56"/>
      <c r="O598" s="56"/>
    </row>
    <row r="599" spans="1:15" ht="13" x14ac:dyDescent="0.15">
      <c r="A599" s="56"/>
      <c r="B599" s="56"/>
      <c r="K599" s="56"/>
      <c r="L599" s="56"/>
      <c r="O599" s="56"/>
    </row>
    <row r="600" spans="1:15" ht="13" x14ac:dyDescent="0.15">
      <c r="A600" s="56"/>
      <c r="B600" s="56"/>
      <c r="K600" s="56"/>
      <c r="L600" s="56"/>
      <c r="O600" s="56"/>
    </row>
    <row r="601" spans="1:15" ht="13" x14ac:dyDescent="0.15">
      <c r="A601" s="56"/>
      <c r="B601" s="56"/>
      <c r="K601" s="56"/>
      <c r="L601" s="56"/>
      <c r="O601" s="56"/>
    </row>
    <row r="602" spans="1:15" ht="13" x14ac:dyDescent="0.15">
      <c r="A602" s="56"/>
      <c r="B602" s="56"/>
      <c r="K602" s="56"/>
      <c r="L602" s="56"/>
      <c r="O602" s="56"/>
    </row>
    <row r="603" spans="1:15" ht="13" x14ac:dyDescent="0.15">
      <c r="A603" s="56"/>
      <c r="B603" s="56"/>
      <c r="K603" s="56"/>
      <c r="L603" s="56"/>
      <c r="O603" s="56"/>
    </row>
    <row r="604" spans="1:15" ht="13" x14ac:dyDescent="0.15">
      <c r="A604" s="56"/>
      <c r="B604" s="56"/>
      <c r="K604" s="56"/>
      <c r="L604" s="56"/>
      <c r="O604" s="56"/>
    </row>
    <row r="605" spans="1:15" ht="13" x14ac:dyDescent="0.15">
      <c r="A605" s="56"/>
      <c r="B605" s="56"/>
      <c r="K605" s="56"/>
      <c r="L605" s="56"/>
      <c r="O605" s="56"/>
    </row>
    <row r="606" spans="1:15" ht="13" x14ac:dyDescent="0.15">
      <c r="A606" s="56"/>
      <c r="B606" s="56"/>
      <c r="K606" s="56"/>
      <c r="L606" s="56"/>
      <c r="O606" s="56"/>
    </row>
    <row r="607" spans="1:15" ht="13" x14ac:dyDescent="0.15">
      <c r="A607" s="56"/>
      <c r="B607" s="56"/>
      <c r="K607" s="56"/>
      <c r="L607" s="56"/>
      <c r="O607" s="56"/>
    </row>
    <row r="608" spans="1:15" ht="13" x14ac:dyDescent="0.15">
      <c r="A608" s="56"/>
      <c r="B608" s="56"/>
      <c r="K608" s="56"/>
      <c r="L608" s="56"/>
      <c r="O608" s="56"/>
    </row>
    <row r="609" spans="1:15" ht="13" x14ac:dyDescent="0.15">
      <c r="A609" s="56"/>
      <c r="B609" s="56"/>
      <c r="K609" s="56"/>
      <c r="L609" s="56"/>
      <c r="O609" s="56"/>
    </row>
    <row r="610" spans="1:15" ht="13" x14ac:dyDescent="0.15">
      <c r="A610" s="56"/>
      <c r="B610" s="56"/>
      <c r="K610" s="56"/>
      <c r="L610" s="56"/>
      <c r="O610" s="56"/>
    </row>
    <row r="611" spans="1:15" ht="13" x14ac:dyDescent="0.15">
      <c r="A611" s="56"/>
      <c r="B611" s="56"/>
      <c r="K611" s="56"/>
      <c r="L611" s="56"/>
      <c r="O611" s="56"/>
    </row>
    <row r="612" spans="1:15" ht="13" x14ac:dyDescent="0.15">
      <c r="A612" s="56"/>
      <c r="B612" s="56"/>
      <c r="K612" s="56"/>
      <c r="L612" s="56"/>
      <c r="O612" s="56"/>
    </row>
    <row r="613" spans="1:15" ht="13" x14ac:dyDescent="0.15">
      <c r="A613" s="56"/>
      <c r="B613" s="56"/>
      <c r="K613" s="56"/>
      <c r="L613" s="56"/>
      <c r="O613" s="56"/>
    </row>
    <row r="614" spans="1:15" ht="13" x14ac:dyDescent="0.15">
      <c r="A614" s="56"/>
      <c r="B614" s="56"/>
      <c r="K614" s="56"/>
      <c r="L614" s="56"/>
      <c r="O614" s="56"/>
    </row>
    <row r="615" spans="1:15" ht="13" x14ac:dyDescent="0.15">
      <c r="A615" s="56"/>
      <c r="B615" s="56"/>
      <c r="K615" s="56"/>
      <c r="L615" s="56"/>
      <c r="O615" s="56"/>
    </row>
    <row r="616" spans="1:15" ht="13" x14ac:dyDescent="0.15">
      <c r="A616" s="56"/>
      <c r="B616" s="56"/>
      <c r="K616" s="56"/>
      <c r="L616" s="56"/>
      <c r="O616" s="56"/>
    </row>
    <row r="617" spans="1:15" ht="13" x14ac:dyDescent="0.15">
      <c r="A617" s="56"/>
      <c r="B617" s="56"/>
      <c r="K617" s="56"/>
      <c r="L617" s="56"/>
      <c r="O617" s="56"/>
    </row>
    <row r="618" spans="1:15" ht="13" x14ac:dyDescent="0.15">
      <c r="A618" s="56"/>
      <c r="B618" s="56"/>
      <c r="K618" s="56"/>
      <c r="L618" s="56"/>
      <c r="O618" s="56"/>
    </row>
    <row r="619" spans="1:15" ht="13" x14ac:dyDescent="0.15">
      <c r="A619" s="56"/>
      <c r="B619" s="56"/>
      <c r="K619" s="56"/>
      <c r="L619" s="56"/>
      <c r="O619" s="56"/>
    </row>
    <row r="620" spans="1:15" ht="13" x14ac:dyDescent="0.15">
      <c r="A620" s="56"/>
      <c r="B620" s="56"/>
      <c r="K620" s="56"/>
      <c r="L620" s="56"/>
      <c r="O620" s="56"/>
    </row>
    <row r="621" spans="1:15" ht="13" x14ac:dyDescent="0.15">
      <c r="A621" s="56"/>
      <c r="B621" s="56"/>
      <c r="K621" s="56"/>
      <c r="L621" s="56"/>
      <c r="O621" s="56"/>
    </row>
    <row r="622" spans="1:15" ht="13" x14ac:dyDescent="0.15">
      <c r="A622" s="56"/>
      <c r="B622" s="56"/>
      <c r="K622" s="56"/>
      <c r="L622" s="56"/>
      <c r="O622" s="56"/>
    </row>
    <row r="623" spans="1:15" ht="13" x14ac:dyDescent="0.15">
      <c r="A623" s="56"/>
      <c r="B623" s="56"/>
      <c r="K623" s="56"/>
      <c r="L623" s="56"/>
      <c r="O623" s="56"/>
    </row>
    <row r="624" spans="1:15" ht="13" x14ac:dyDescent="0.15">
      <c r="A624" s="56"/>
      <c r="B624" s="56"/>
      <c r="K624" s="56"/>
      <c r="L624" s="56"/>
      <c r="O624" s="56"/>
    </row>
    <row r="625" spans="1:15" ht="13" x14ac:dyDescent="0.15">
      <c r="A625" s="56"/>
      <c r="B625" s="56"/>
      <c r="K625" s="56"/>
      <c r="L625" s="56"/>
      <c r="O625" s="56"/>
    </row>
    <row r="626" spans="1:15" ht="13" x14ac:dyDescent="0.15">
      <c r="A626" s="56"/>
      <c r="B626" s="56"/>
      <c r="K626" s="56"/>
      <c r="L626" s="56"/>
      <c r="O626" s="56"/>
    </row>
    <row r="627" spans="1:15" ht="13" x14ac:dyDescent="0.15">
      <c r="A627" s="56"/>
      <c r="B627" s="56"/>
      <c r="K627" s="56"/>
      <c r="L627" s="56"/>
      <c r="O627" s="56"/>
    </row>
    <row r="628" spans="1:15" ht="13" x14ac:dyDescent="0.15">
      <c r="A628" s="56"/>
      <c r="B628" s="56"/>
      <c r="K628" s="56"/>
      <c r="L628" s="56"/>
      <c r="O628" s="56"/>
    </row>
    <row r="629" spans="1:15" ht="13" x14ac:dyDescent="0.15">
      <c r="A629" s="56"/>
      <c r="B629" s="56"/>
      <c r="K629" s="56"/>
      <c r="L629" s="56"/>
      <c r="O629" s="56"/>
    </row>
    <row r="630" spans="1:15" ht="13" x14ac:dyDescent="0.15">
      <c r="A630" s="56"/>
      <c r="B630" s="56"/>
      <c r="K630" s="56"/>
      <c r="L630" s="56"/>
      <c r="O630" s="56"/>
    </row>
    <row r="631" spans="1:15" ht="13" x14ac:dyDescent="0.15">
      <c r="A631" s="56"/>
      <c r="B631" s="56"/>
      <c r="K631" s="56"/>
      <c r="L631" s="56"/>
      <c r="O631" s="56"/>
    </row>
    <row r="632" spans="1:15" ht="13" x14ac:dyDescent="0.15">
      <c r="A632" s="56"/>
      <c r="B632" s="56"/>
      <c r="K632" s="56"/>
      <c r="L632" s="56"/>
      <c r="O632" s="56"/>
    </row>
    <row r="633" spans="1:15" ht="13" x14ac:dyDescent="0.15">
      <c r="A633" s="56"/>
      <c r="B633" s="56"/>
      <c r="K633" s="56"/>
      <c r="L633" s="56"/>
      <c r="O633" s="56"/>
    </row>
    <row r="634" spans="1:15" ht="13" x14ac:dyDescent="0.15">
      <c r="A634" s="56"/>
      <c r="B634" s="56"/>
      <c r="K634" s="56"/>
      <c r="L634" s="56"/>
      <c r="O634" s="56"/>
    </row>
    <row r="635" spans="1:15" ht="13" x14ac:dyDescent="0.15">
      <c r="A635" s="56"/>
      <c r="B635" s="56"/>
      <c r="K635" s="56"/>
      <c r="L635" s="56"/>
      <c r="O635" s="56"/>
    </row>
    <row r="636" spans="1:15" ht="13" x14ac:dyDescent="0.15">
      <c r="A636" s="56"/>
      <c r="B636" s="56"/>
      <c r="K636" s="56"/>
      <c r="L636" s="56"/>
      <c r="O636" s="56"/>
    </row>
    <row r="637" spans="1:15" ht="13" x14ac:dyDescent="0.15">
      <c r="A637" s="56"/>
      <c r="B637" s="56"/>
      <c r="K637" s="56"/>
      <c r="L637" s="56"/>
      <c r="O637" s="56"/>
    </row>
    <row r="638" spans="1:15" ht="13" x14ac:dyDescent="0.15">
      <c r="A638" s="56"/>
      <c r="B638" s="56"/>
      <c r="K638" s="56"/>
      <c r="L638" s="56"/>
      <c r="O638" s="56"/>
    </row>
    <row r="639" spans="1:15" ht="13" x14ac:dyDescent="0.15">
      <c r="A639" s="56"/>
      <c r="B639" s="56"/>
      <c r="K639" s="56"/>
      <c r="L639" s="56"/>
      <c r="O639" s="56"/>
    </row>
    <row r="640" spans="1:15" ht="13" x14ac:dyDescent="0.15">
      <c r="A640" s="56"/>
      <c r="B640" s="56"/>
      <c r="K640" s="56"/>
      <c r="L640" s="56"/>
      <c r="O640" s="56"/>
    </row>
    <row r="641" spans="1:15" ht="13" x14ac:dyDescent="0.15">
      <c r="A641" s="56"/>
      <c r="B641" s="56"/>
      <c r="K641" s="56"/>
      <c r="L641" s="56"/>
      <c r="O641" s="56"/>
    </row>
    <row r="642" spans="1:15" ht="13" x14ac:dyDescent="0.15">
      <c r="A642" s="56"/>
      <c r="B642" s="56"/>
      <c r="K642" s="56"/>
      <c r="L642" s="56"/>
      <c r="O642" s="56"/>
    </row>
    <row r="643" spans="1:15" ht="13" x14ac:dyDescent="0.15">
      <c r="A643" s="56"/>
      <c r="B643" s="56"/>
      <c r="K643" s="56"/>
      <c r="L643" s="56"/>
      <c r="O643" s="56"/>
    </row>
    <row r="644" spans="1:15" ht="13" x14ac:dyDescent="0.15">
      <c r="A644" s="56"/>
      <c r="B644" s="56"/>
      <c r="K644" s="56"/>
      <c r="L644" s="56"/>
      <c r="O644" s="56"/>
    </row>
    <row r="645" spans="1:15" ht="13" x14ac:dyDescent="0.15">
      <c r="A645" s="56"/>
      <c r="B645" s="56"/>
      <c r="K645" s="56"/>
      <c r="L645" s="56"/>
      <c r="O645" s="56"/>
    </row>
    <row r="646" spans="1:15" ht="13" x14ac:dyDescent="0.15">
      <c r="A646" s="56"/>
      <c r="B646" s="56"/>
      <c r="K646" s="56"/>
      <c r="L646" s="56"/>
      <c r="O646" s="56"/>
    </row>
    <row r="647" spans="1:15" ht="13" x14ac:dyDescent="0.15">
      <c r="A647" s="56"/>
      <c r="B647" s="56"/>
      <c r="K647" s="56"/>
      <c r="L647" s="56"/>
      <c r="O647" s="56"/>
    </row>
    <row r="648" spans="1:15" ht="13" x14ac:dyDescent="0.15">
      <c r="A648" s="56"/>
      <c r="B648" s="56"/>
      <c r="K648" s="56"/>
      <c r="L648" s="56"/>
      <c r="O648" s="56"/>
    </row>
    <row r="649" spans="1:15" ht="13" x14ac:dyDescent="0.15">
      <c r="A649" s="56"/>
      <c r="B649" s="56"/>
      <c r="K649" s="56"/>
      <c r="L649" s="56"/>
      <c r="O649" s="56"/>
    </row>
    <row r="650" spans="1:15" ht="13" x14ac:dyDescent="0.15">
      <c r="A650" s="56"/>
      <c r="B650" s="56"/>
      <c r="K650" s="56"/>
      <c r="L650" s="56"/>
      <c r="O650" s="56"/>
    </row>
    <row r="651" spans="1:15" ht="13" x14ac:dyDescent="0.15">
      <c r="A651" s="56"/>
      <c r="B651" s="56"/>
      <c r="K651" s="56"/>
      <c r="L651" s="56"/>
      <c r="O651" s="56"/>
    </row>
    <row r="652" spans="1:15" ht="13" x14ac:dyDescent="0.15">
      <c r="A652" s="56"/>
      <c r="B652" s="56"/>
      <c r="K652" s="56"/>
      <c r="L652" s="56"/>
      <c r="O652" s="56"/>
    </row>
    <row r="653" spans="1:15" ht="13" x14ac:dyDescent="0.15">
      <c r="A653" s="56"/>
      <c r="B653" s="56"/>
      <c r="K653" s="56"/>
      <c r="L653" s="56"/>
      <c r="O653" s="56"/>
    </row>
    <row r="654" spans="1:15" ht="13" x14ac:dyDescent="0.15">
      <c r="A654" s="56"/>
      <c r="B654" s="56"/>
      <c r="K654" s="56"/>
      <c r="L654" s="56"/>
      <c r="O654" s="56"/>
    </row>
    <row r="655" spans="1:15" ht="13" x14ac:dyDescent="0.15">
      <c r="A655" s="56"/>
      <c r="B655" s="56"/>
      <c r="K655" s="56"/>
      <c r="L655" s="56"/>
      <c r="O655" s="56"/>
    </row>
    <row r="656" spans="1:15" ht="13" x14ac:dyDescent="0.15">
      <c r="A656" s="56"/>
      <c r="B656" s="56"/>
      <c r="K656" s="56"/>
      <c r="L656" s="56"/>
      <c r="O656" s="56"/>
    </row>
    <row r="657" spans="1:15" ht="13" x14ac:dyDescent="0.15">
      <c r="A657" s="56"/>
      <c r="B657" s="56"/>
      <c r="K657" s="56"/>
      <c r="L657" s="56"/>
      <c r="O657" s="56"/>
    </row>
    <row r="658" spans="1:15" ht="13" x14ac:dyDescent="0.15">
      <c r="A658" s="56"/>
      <c r="B658" s="56"/>
      <c r="K658" s="56"/>
      <c r="L658" s="56"/>
      <c r="O658" s="56"/>
    </row>
    <row r="659" spans="1:15" ht="13" x14ac:dyDescent="0.15">
      <c r="A659" s="56"/>
      <c r="B659" s="56"/>
      <c r="K659" s="56"/>
      <c r="L659" s="56"/>
      <c r="O659" s="56"/>
    </row>
    <row r="660" spans="1:15" ht="13" x14ac:dyDescent="0.15">
      <c r="A660" s="56"/>
      <c r="B660" s="56"/>
      <c r="K660" s="56"/>
      <c r="L660" s="56"/>
      <c r="O660" s="56"/>
    </row>
    <row r="661" spans="1:15" ht="13" x14ac:dyDescent="0.15">
      <c r="A661" s="56"/>
      <c r="B661" s="56"/>
      <c r="K661" s="56"/>
      <c r="L661" s="56"/>
      <c r="O661" s="56"/>
    </row>
    <row r="662" spans="1:15" ht="13" x14ac:dyDescent="0.15">
      <c r="A662" s="56"/>
      <c r="B662" s="56"/>
      <c r="K662" s="56"/>
      <c r="L662" s="56"/>
      <c r="O662" s="56"/>
    </row>
    <row r="663" spans="1:15" ht="13" x14ac:dyDescent="0.15">
      <c r="A663" s="56"/>
      <c r="B663" s="56"/>
      <c r="K663" s="56"/>
      <c r="L663" s="56"/>
      <c r="O663" s="56"/>
    </row>
    <row r="664" spans="1:15" ht="13" x14ac:dyDescent="0.15">
      <c r="A664" s="56"/>
      <c r="B664" s="56"/>
      <c r="K664" s="56"/>
      <c r="L664" s="56"/>
      <c r="O664" s="56"/>
    </row>
    <row r="665" spans="1:15" ht="13" x14ac:dyDescent="0.15">
      <c r="A665" s="56"/>
      <c r="B665" s="56"/>
      <c r="K665" s="56"/>
      <c r="L665" s="56"/>
      <c r="O665" s="56"/>
    </row>
    <row r="666" spans="1:15" ht="13" x14ac:dyDescent="0.15">
      <c r="A666" s="56"/>
      <c r="B666" s="56"/>
      <c r="K666" s="56"/>
      <c r="L666" s="56"/>
      <c r="O666" s="56"/>
    </row>
    <row r="667" spans="1:15" ht="13" x14ac:dyDescent="0.15">
      <c r="A667" s="56"/>
      <c r="B667" s="56"/>
      <c r="K667" s="56"/>
      <c r="L667" s="56"/>
      <c r="O667" s="56"/>
    </row>
    <row r="668" spans="1:15" ht="13" x14ac:dyDescent="0.15">
      <c r="A668" s="56"/>
      <c r="B668" s="56"/>
      <c r="K668" s="56"/>
      <c r="L668" s="56"/>
      <c r="O668" s="56"/>
    </row>
    <row r="669" spans="1:15" ht="13" x14ac:dyDescent="0.15">
      <c r="A669" s="56"/>
      <c r="B669" s="56"/>
      <c r="K669" s="56"/>
      <c r="L669" s="56"/>
      <c r="O669" s="56"/>
    </row>
    <row r="670" spans="1:15" ht="13" x14ac:dyDescent="0.15">
      <c r="A670" s="56"/>
      <c r="B670" s="56"/>
      <c r="K670" s="56"/>
      <c r="L670" s="56"/>
      <c r="O670" s="56"/>
    </row>
    <row r="671" spans="1:15" ht="13" x14ac:dyDescent="0.15">
      <c r="A671" s="56"/>
      <c r="B671" s="56"/>
      <c r="K671" s="56"/>
      <c r="L671" s="56"/>
      <c r="O671" s="56"/>
    </row>
    <row r="672" spans="1:15" ht="13" x14ac:dyDescent="0.15">
      <c r="A672" s="56"/>
      <c r="B672" s="56"/>
      <c r="K672" s="56"/>
      <c r="L672" s="56"/>
      <c r="O672" s="56"/>
    </row>
    <row r="673" spans="1:15" ht="13" x14ac:dyDescent="0.15">
      <c r="A673" s="56"/>
      <c r="B673" s="56"/>
      <c r="K673" s="56"/>
      <c r="L673" s="56"/>
      <c r="O673" s="56"/>
    </row>
    <row r="674" spans="1:15" ht="13" x14ac:dyDescent="0.15">
      <c r="A674" s="56"/>
      <c r="B674" s="56"/>
      <c r="K674" s="56"/>
      <c r="L674" s="56"/>
      <c r="O674" s="56"/>
    </row>
    <row r="675" spans="1:15" ht="13" x14ac:dyDescent="0.15">
      <c r="A675" s="56"/>
      <c r="B675" s="56"/>
      <c r="K675" s="56"/>
      <c r="L675" s="56"/>
      <c r="O675" s="56"/>
    </row>
    <row r="676" spans="1:15" ht="13" x14ac:dyDescent="0.15">
      <c r="A676" s="56"/>
      <c r="B676" s="56"/>
      <c r="K676" s="56"/>
      <c r="L676" s="56"/>
      <c r="O676" s="56"/>
    </row>
    <row r="677" spans="1:15" ht="13" x14ac:dyDescent="0.15">
      <c r="A677" s="56"/>
      <c r="B677" s="56"/>
      <c r="K677" s="56"/>
      <c r="L677" s="56"/>
      <c r="O677" s="56"/>
    </row>
    <row r="678" spans="1:15" ht="13" x14ac:dyDescent="0.15">
      <c r="A678" s="56"/>
      <c r="B678" s="56"/>
      <c r="K678" s="56"/>
      <c r="L678" s="56"/>
      <c r="O678" s="56"/>
    </row>
    <row r="679" spans="1:15" ht="13" x14ac:dyDescent="0.15">
      <c r="A679" s="56"/>
      <c r="B679" s="56"/>
      <c r="K679" s="56"/>
      <c r="L679" s="56"/>
      <c r="O679" s="56"/>
    </row>
    <row r="680" spans="1:15" ht="13" x14ac:dyDescent="0.15">
      <c r="A680" s="56"/>
      <c r="B680" s="56"/>
      <c r="K680" s="56"/>
      <c r="L680" s="56"/>
      <c r="O680" s="56"/>
    </row>
    <row r="681" spans="1:15" ht="13" x14ac:dyDescent="0.15">
      <c r="A681" s="56"/>
      <c r="B681" s="56"/>
      <c r="K681" s="56"/>
      <c r="L681" s="56"/>
      <c r="O681" s="56"/>
    </row>
    <row r="682" spans="1:15" ht="13" x14ac:dyDescent="0.15">
      <c r="A682" s="56"/>
      <c r="B682" s="56"/>
      <c r="K682" s="56"/>
      <c r="L682" s="56"/>
      <c r="O682" s="56"/>
    </row>
    <row r="683" spans="1:15" ht="13" x14ac:dyDescent="0.15">
      <c r="A683" s="56"/>
      <c r="B683" s="56"/>
      <c r="K683" s="56"/>
      <c r="L683" s="56"/>
      <c r="O683" s="56"/>
    </row>
    <row r="684" spans="1:15" ht="13" x14ac:dyDescent="0.15">
      <c r="A684" s="56"/>
      <c r="B684" s="56"/>
      <c r="K684" s="56"/>
      <c r="L684" s="56"/>
      <c r="O684" s="56"/>
    </row>
    <row r="685" spans="1:15" ht="13" x14ac:dyDescent="0.15">
      <c r="A685" s="56"/>
      <c r="B685" s="56"/>
      <c r="K685" s="56"/>
      <c r="L685" s="56"/>
      <c r="O685" s="56"/>
    </row>
    <row r="686" spans="1:15" ht="13" x14ac:dyDescent="0.15">
      <c r="A686" s="56"/>
      <c r="B686" s="56"/>
      <c r="K686" s="56"/>
      <c r="L686" s="56"/>
      <c r="O686" s="56"/>
    </row>
    <row r="687" spans="1:15" ht="13" x14ac:dyDescent="0.15">
      <c r="A687" s="56"/>
      <c r="B687" s="56"/>
      <c r="K687" s="56"/>
      <c r="L687" s="56"/>
      <c r="O687" s="56"/>
    </row>
    <row r="688" spans="1:15" ht="13" x14ac:dyDescent="0.15">
      <c r="A688" s="56"/>
      <c r="B688" s="56"/>
      <c r="K688" s="56"/>
      <c r="L688" s="56"/>
      <c r="O688" s="56"/>
    </row>
    <row r="689" spans="1:15" ht="13" x14ac:dyDescent="0.15">
      <c r="A689" s="56"/>
      <c r="B689" s="56"/>
      <c r="K689" s="56"/>
      <c r="L689" s="56"/>
      <c r="O689" s="56"/>
    </row>
    <row r="690" spans="1:15" ht="13" x14ac:dyDescent="0.15">
      <c r="A690" s="56"/>
      <c r="B690" s="56"/>
      <c r="K690" s="56"/>
      <c r="L690" s="56"/>
      <c r="O690" s="56"/>
    </row>
    <row r="691" spans="1:15" ht="13" x14ac:dyDescent="0.15">
      <c r="A691" s="56"/>
      <c r="B691" s="56"/>
      <c r="K691" s="56"/>
      <c r="L691" s="56"/>
      <c r="O691" s="56"/>
    </row>
    <row r="692" spans="1:15" ht="13" x14ac:dyDescent="0.15">
      <c r="A692" s="56"/>
      <c r="B692" s="56"/>
      <c r="K692" s="56"/>
      <c r="L692" s="56"/>
      <c r="O692" s="56"/>
    </row>
    <row r="693" spans="1:15" ht="13" x14ac:dyDescent="0.15">
      <c r="A693" s="56"/>
      <c r="B693" s="56"/>
      <c r="K693" s="56"/>
      <c r="L693" s="56"/>
      <c r="O693" s="56"/>
    </row>
    <row r="694" spans="1:15" ht="13" x14ac:dyDescent="0.15">
      <c r="A694" s="56"/>
      <c r="B694" s="56"/>
      <c r="K694" s="56"/>
      <c r="L694" s="56"/>
      <c r="O694" s="56"/>
    </row>
    <row r="695" spans="1:15" ht="13" x14ac:dyDescent="0.15">
      <c r="A695" s="56"/>
      <c r="B695" s="56"/>
      <c r="K695" s="56"/>
      <c r="L695" s="56"/>
      <c r="O695" s="56"/>
    </row>
    <row r="696" spans="1:15" ht="13" x14ac:dyDescent="0.15">
      <c r="A696" s="56"/>
      <c r="B696" s="56"/>
      <c r="K696" s="56"/>
      <c r="L696" s="56"/>
      <c r="O696" s="56"/>
    </row>
    <row r="697" spans="1:15" ht="13" x14ac:dyDescent="0.15">
      <c r="A697" s="56"/>
      <c r="B697" s="56"/>
      <c r="K697" s="56"/>
      <c r="L697" s="56"/>
      <c r="O697" s="56"/>
    </row>
    <row r="698" spans="1:15" ht="13" x14ac:dyDescent="0.15">
      <c r="A698" s="56"/>
      <c r="B698" s="56"/>
      <c r="K698" s="56"/>
      <c r="L698" s="56"/>
      <c r="O698" s="56"/>
    </row>
    <row r="699" spans="1:15" ht="13" x14ac:dyDescent="0.15">
      <c r="A699" s="56"/>
      <c r="B699" s="56"/>
      <c r="K699" s="56"/>
      <c r="L699" s="56"/>
      <c r="O699" s="56"/>
    </row>
    <row r="700" spans="1:15" ht="13" x14ac:dyDescent="0.15">
      <c r="A700" s="56"/>
      <c r="B700" s="56"/>
      <c r="K700" s="56"/>
      <c r="L700" s="56"/>
      <c r="O700" s="56"/>
    </row>
    <row r="701" spans="1:15" ht="13" x14ac:dyDescent="0.15">
      <c r="A701" s="56"/>
      <c r="B701" s="56"/>
      <c r="K701" s="56"/>
      <c r="L701" s="56"/>
      <c r="O701" s="56"/>
    </row>
    <row r="702" spans="1:15" ht="13" x14ac:dyDescent="0.15">
      <c r="A702" s="56"/>
      <c r="B702" s="56"/>
      <c r="K702" s="56"/>
      <c r="L702" s="56"/>
      <c r="O702" s="56"/>
    </row>
    <row r="703" spans="1:15" ht="13" x14ac:dyDescent="0.15">
      <c r="A703" s="56"/>
      <c r="B703" s="56"/>
      <c r="K703" s="56"/>
      <c r="L703" s="56"/>
      <c r="O703" s="56"/>
    </row>
    <row r="704" spans="1:15" ht="13" x14ac:dyDescent="0.15">
      <c r="A704" s="56"/>
      <c r="B704" s="56"/>
      <c r="K704" s="56"/>
      <c r="L704" s="56"/>
      <c r="O704" s="56"/>
    </row>
    <row r="705" spans="1:15" ht="13" x14ac:dyDescent="0.15">
      <c r="A705" s="56"/>
      <c r="B705" s="56"/>
      <c r="K705" s="56"/>
      <c r="L705" s="56"/>
      <c r="O705" s="56"/>
    </row>
    <row r="706" spans="1:15" ht="13" x14ac:dyDescent="0.15">
      <c r="A706" s="56"/>
      <c r="B706" s="56"/>
      <c r="K706" s="56"/>
      <c r="L706" s="56"/>
      <c r="O706" s="56"/>
    </row>
    <row r="707" spans="1:15" ht="13" x14ac:dyDescent="0.15">
      <c r="A707" s="56"/>
      <c r="B707" s="56"/>
      <c r="K707" s="56"/>
      <c r="L707" s="56"/>
      <c r="O707" s="56"/>
    </row>
    <row r="708" spans="1:15" ht="13" x14ac:dyDescent="0.15">
      <c r="A708" s="56"/>
      <c r="B708" s="56"/>
      <c r="K708" s="56"/>
      <c r="L708" s="56"/>
      <c r="O708" s="56"/>
    </row>
    <row r="709" spans="1:15" ht="13" x14ac:dyDescent="0.15">
      <c r="A709" s="56"/>
      <c r="B709" s="56"/>
      <c r="K709" s="56"/>
      <c r="L709" s="56"/>
      <c r="O709" s="56"/>
    </row>
    <row r="710" spans="1:15" ht="13" x14ac:dyDescent="0.15">
      <c r="A710" s="56"/>
      <c r="B710" s="56"/>
      <c r="K710" s="56"/>
      <c r="L710" s="56"/>
      <c r="O710" s="56"/>
    </row>
    <row r="711" spans="1:15" ht="13" x14ac:dyDescent="0.15">
      <c r="A711" s="56"/>
      <c r="B711" s="56"/>
      <c r="K711" s="56"/>
      <c r="L711" s="56"/>
      <c r="O711" s="56"/>
    </row>
    <row r="712" spans="1:15" ht="13" x14ac:dyDescent="0.15">
      <c r="A712" s="56"/>
      <c r="B712" s="56"/>
      <c r="K712" s="56"/>
      <c r="L712" s="56"/>
      <c r="O712" s="56"/>
    </row>
    <row r="713" spans="1:15" ht="13" x14ac:dyDescent="0.15">
      <c r="A713" s="56"/>
      <c r="B713" s="56"/>
      <c r="K713" s="56"/>
      <c r="L713" s="56"/>
      <c r="O713" s="56"/>
    </row>
    <row r="714" spans="1:15" ht="13" x14ac:dyDescent="0.15">
      <c r="A714" s="56"/>
      <c r="B714" s="56"/>
      <c r="K714" s="56"/>
      <c r="L714" s="56"/>
      <c r="O714" s="56"/>
    </row>
    <row r="715" spans="1:15" ht="13" x14ac:dyDescent="0.15">
      <c r="A715" s="56"/>
      <c r="B715" s="56"/>
      <c r="K715" s="56"/>
      <c r="L715" s="56"/>
      <c r="O715" s="56"/>
    </row>
    <row r="716" spans="1:15" ht="13" x14ac:dyDescent="0.15">
      <c r="A716" s="56"/>
      <c r="B716" s="56"/>
      <c r="K716" s="56"/>
      <c r="L716" s="56"/>
      <c r="O716" s="56"/>
    </row>
    <row r="717" spans="1:15" ht="13" x14ac:dyDescent="0.15">
      <c r="A717" s="56"/>
      <c r="B717" s="56"/>
      <c r="K717" s="56"/>
      <c r="L717" s="56"/>
      <c r="O717" s="56"/>
    </row>
    <row r="718" spans="1:15" ht="13" x14ac:dyDescent="0.15">
      <c r="A718" s="56"/>
      <c r="B718" s="56"/>
      <c r="K718" s="56"/>
      <c r="L718" s="56"/>
      <c r="O718" s="56"/>
    </row>
    <row r="719" spans="1:15" ht="13" x14ac:dyDescent="0.15">
      <c r="A719" s="56"/>
      <c r="B719" s="56"/>
      <c r="K719" s="56"/>
      <c r="L719" s="56"/>
      <c r="O719" s="56"/>
    </row>
    <row r="720" spans="1:15" ht="13" x14ac:dyDescent="0.15">
      <c r="A720" s="56"/>
      <c r="B720" s="56"/>
      <c r="K720" s="56"/>
      <c r="L720" s="56"/>
      <c r="O720" s="56"/>
    </row>
    <row r="721" spans="1:15" ht="13" x14ac:dyDescent="0.15">
      <c r="A721" s="56"/>
      <c r="B721" s="56"/>
      <c r="K721" s="56"/>
      <c r="L721" s="56"/>
      <c r="O721" s="56"/>
    </row>
    <row r="722" spans="1:15" ht="13" x14ac:dyDescent="0.15">
      <c r="A722" s="56"/>
      <c r="B722" s="56"/>
      <c r="K722" s="56"/>
      <c r="L722" s="56"/>
      <c r="O722" s="56"/>
    </row>
    <row r="723" spans="1:15" ht="13" x14ac:dyDescent="0.15">
      <c r="A723" s="56"/>
      <c r="B723" s="56"/>
      <c r="K723" s="56"/>
      <c r="L723" s="56"/>
      <c r="O723" s="56"/>
    </row>
    <row r="724" spans="1:15" ht="13" x14ac:dyDescent="0.15">
      <c r="A724" s="56"/>
      <c r="B724" s="56"/>
      <c r="K724" s="56"/>
      <c r="L724" s="56"/>
      <c r="O724" s="56"/>
    </row>
    <row r="725" spans="1:15" ht="13" x14ac:dyDescent="0.15">
      <c r="A725" s="56"/>
      <c r="B725" s="56"/>
      <c r="K725" s="56"/>
      <c r="L725" s="56"/>
      <c r="O725" s="56"/>
    </row>
    <row r="726" spans="1:15" ht="13" x14ac:dyDescent="0.15">
      <c r="A726" s="56"/>
      <c r="B726" s="56"/>
      <c r="K726" s="56"/>
      <c r="L726" s="56"/>
      <c r="O726" s="56"/>
    </row>
    <row r="727" spans="1:15" ht="13" x14ac:dyDescent="0.15">
      <c r="A727" s="56"/>
      <c r="B727" s="56"/>
      <c r="K727" s="56"/>
      <c r="L727" s="56"/>
      <c r="O727" s="56"/>
    </row>
    <row r="728" spans="1:15" ht="13" x14ac:dyDescent="0.15">
      <c r="A728" s="56"/>
      <c r="B728" s="56"/>
      <c r="K728" s="56"/>
      <c r="L728" s="56"/>
      <c r="O728" s="56"/>
    </row>
    <row r="729" spans="1:15" ht="13" x14ac:dyDescent="0.15">
      <c r="A729" s="56"/>
      <c r="B729" s="56"/>
      <c r="K729" s="56"/>
      <c r="L729" s="56"/>
      <c r="O729" s="56"/>
    </row>
    <row r="730" spans="1:15" ht="13" x14ac:dyDescent="0.15">
      <c r="A730" s="56"/>
      <c r="B730" s="56"/>
      <c r="K730" s="56"/>
      <c r="L730" s="56"/>
      <c r="O730" s="56"/>
    </row>
    <row r="731" spans="1:15" ht="13" x14ac:dyDescent="0.15">
      <c r="A731" s="56"/>
      <c r="B731" s="56"/>
      <c r="K731" s="56"/>
      <c r="L731" s="56"/>
      <c r="O731" s="56"/>
    </row>
    <row r="732" spans="1:15" ht="13" x14ac:dyDescent="0.15">
      <c r="A732" s="56"/>
      <c r="B732" s="56"/>
      <c r="K732" s="56"/>
      <c r="L732" s="56"/>
      <c r="O732" s="56"/>
    </row>
    <row r="733" spans="1:15" ht="13" x14ac:dyDescent="0.15">
      <c r="A733" s="56"/>
      <c r="B733" s="56"/>
      <c r="K733" s="56"/>
      <c r="L733" s="56"/>
      <c r="O733" s="56"/>
    </row>
    <row r="734" spans="1:15" ht="13" x14ac:dyDescent="0.15">
      <c r="A734" s="56"/>
      <c r="B734" s="56"/>
      <c r="K734" s="56"/>
      <c r="L734" s="56"/>
      <c r="O734" s="56"/>
    </row>
    <row r="735" spans="1:15" ht="13" x14ac:dyDescent="0.15">
      <c r="A735" s="56"/>
      <c r="B735" s="56"/>
      <c r="K735" s="56"/>
      <c r="L735" s="56"/>
      <c r="O735" s="56"/>
    </row>
    <row r="736" spans="1:15" ht="13" x14ac:dyDescent="0.15">
      <c r="A736" s="56"/>
      <c r="B736" s="56"/>
      <c r="K736" s="56"/>
      <c r="L736" s="56"/>
      <c r="O736" s="56"/>
    </row>
    <row r="737" spans="1:15" ht="13" x14ac:dyDescent="0.15">
      <c r="A737" s="56"/>
      <c r="B737" s="56"/>
      <c r="K737" s="56"/>
      <c r="L737" s="56"/>
      <c r="O737" s="56"/>
    </row>
    <row r="738" spans="1:15" ht="13" x14ac:dyDescent="0.15">
      <c r="A738" s="56"/>
      <c r="B738" s="56"/>
      <c r="K738" s="56"/>
      <c r="L738" s="56"/>
      <c r="O738" s="56"/>
    </row>
    <row r="739" spans="1:15" ht="13" x14ac:dyDescent="0.15">
      <c r="A739" s="56"/>
      <c r="B739" s="56"/>
      <c r="K739" s="56"/>
      <c r="L739" s="56"/>
      <c r="O739" s="56"/>
    </row>
    <row r="740" spans="1:15" ht="13" x14ac:dyDescent="0.15">
      <c r="A740" s="56"/>
      <c r="B740" s="56"/>
      <c r="K740" s="56"/>
      <c r="L740" s="56"/>
      <c r="O740" s="56"/>
    </row>
    <row r="741" spans="1:15" ht="13" x14ac:dyDescent="0.15">
      <c r="A741" s="56"/>
      <c r="B741" s="56"/>
      <c r="K741" s="56"/>
      <c r="L741" s="56"/>
      <c r="O741" s="56"/>
    </row>
    <row r="742" spans="1:15" ht="13" x14ac:dyDescent="0.15">
      <c r="A742" s="56"/>
      <c r="B742" s="56"/>
      <c r="K742" s="56"/>
      <c r="L742" s="56"/>
      <c r="O742" s="56"/>
    </row>
    <row r="743" spans="1:15" ht="13" x14ac:dyDescent="0.15">
      <c r="A743" s="56"/>
      <c r="B743" s="56"/>
      <c r="K743" s="56"/>
      <c r="L743" s="56"/>
      <c r="O743" s="56"/>
    </row>
    <row r="744" spans="1:15" ht="13" x14ac:dyDescent="0.15">
      <c r="A744" s="56"/>
      <c r="B744" s="56"/>
      <c r="K744" s="56"/>
      <c r="L744" s="56"/>
      <c r="O744" s="56"/>
    </row>
    <row r="745" spans="1:15" ht="13" x14ac:dyDescent="0.15">
      <c r="A745" s="56"/>
      <c r="B745" s="56"/>
      <c r="K745" s="56"/>
      <c r="L745" s="56"/>
      <c r="O745" s="56"/>
    </row>
    <row r="746" spans="1:15" ht="13" x14ac:dyDescent="0.15">
      <c r="A746" s="56"/>
      <c r="B746" s="56"/>
      <c r="K746" s="56"/>
      <c r="L746" s="56"/>
      <c r="O746" s="56"/>
    </row>
    <row r="747" spans="1:15" ht="13" x14ac:dyDescent="0.15">
      <c r="A747" s="56"/>
      <c r="B747" s="56"/>
      <c r="K747" s="56"/>
      <c r="L747" s="56"/>
      <c r="O747" s="56"/>
    </row>
    <row r="748" spans="1:15" ht="13" x14ac:dyDescent="0.15">
      <c r="A748" s="56"/>
      <c r="B748" s="56"/>
      <c r="K748" s="56"/>
      <c r="L748" s="56"/>
      <c r="O748" s="56"/>
    </row>
    <row r="749" spans="1:15" ht="13" x14ac:dyDescent="0.15">
      <c r="A749" s="56"/>
      <c r="B749" s="56"/>
      <c r="K749" s="56"/>
      <c r="L749" s="56"/>
      <c r="O749" s="56"/>
    </row>
    <row r="750" spans="1:15" ht="13" x14ac:dyDescent="0.15">
      <c r="A750" s="56"/>
      <c r="B750" s="56"/>
      <c r="K750" s="56"/>
      <c r="L750" s="56"/>
      <c r="O750" s="56"/>
    </row>
    <row r="751" spans="1:15" ht="13" x14ac:dyDescent="0.15">
      <c r="A751" s="56"/>
      <c r="B751" s="56"/>
      <c r="K751" s="56"/>
      <c r="L751" s="56"/>
      <c r="O751" s="56"/>
    </row>
    <row r="752" spans="1:15" ht="13" x14ac:dyDescent="0.15">
      <c r="A752" s="56"/>
      <c r="B752" s="56"/>
      <c r="K752" s="56"/>
      <c r="L752" s="56"/>
      <c r="O752" s="56"/>
    </row>
    <row r="753" spans="1:15" ht="13" x14ac:dyDescent="0.15">
      <c r="A753" s="56"/>
      <c r="B753" s="56"/>
      <c r="K753" s="56"/>
      <c r="L753" s="56"/>
      <c r="O753" s="56"/>
    </row>
    <row r="754" spans="1:15" ht="13" x14ac:dyDescent="0.15">
      <c r="A754" s="56"/>
      <c r="B754" s="56"/>
      <c r="K754" s="56"/>
      <c r="L754" s="56"/>
      <c r="O754" s="56"/>
    </row>
    <row r="755" spans="1:15" ht="13" x14ac:dyDescent="0.15">
      <c r="A755" s="56"/>
      <c r="B755" s="56"/>
      <c r="K755" s="56"/>
      <c r="L755" s="56"/>
      <c r="O755" s="56"/>
    </row>
    <row r="756" spans="1:15" ht="13" x14ac:dyDescent="0.15">
      <c r="A756" s="56"/>
      <c r="B756" s="56"/>
      <c r="K756" s="56"/>
      <c r="L756" s="56"/>
      <c r="O756" s="56"/>
    </row>
    <row r="757" spans="1:15" ht="13" x14ac:dyDescent="0.15">
      <c r="A757" s="56"/>
      <c r="B757" s="56"/>
      <c r="K757" s="56"/>
      <c r="L757" s="56"/>
      <c r="O757" s="56"/>
    </row>
    <row r="758" spans="1:15" ht="13" x14ac:dyDescent="0.15">
      <c r="A758" s="56"/>
      <c r="B758" s="56"/>
      <c r="K758" s="56"/>
      <c r="L758" s="56"/>
      <c r="O758" s="56"/>
    </row>
    <row r="759" spans="1:15" ht="13" x14ac:dyDescent="0.15">
      <c r="A759" s="56"/>
      <c r="B759" s="56"/>
      <c r="K759" s="56"/>
      <c r="L759" s="56"/>
      <c r="O759" s="56"/>
    </row>
    <row r="760" spans="1:15" ht="13" x14ac:dyDescent="0.15">
      <c r="A760" s="56"/>
      <c r="B760" s="56"/>
      <c r="K760" s="56"/>
      <c r="L760" s="56"/>
      <c r="O760" s="56"/>
    </row>
    <row r="761" spans="1:15" ht="13" x14ac:dyDescent="0.15">
      <c r="A761" s="56"/>
      <c r="B761" s="56"/>
      <c r="K761" s="56"/>
      <c r="L761" s="56"/>
      <c r="O761" s="56"/>
    </row>
    <row r="762" spans="1:15" ht="13" x14ac:dyDescent="0.15">
      <c r="A762" s="56"/>
      <c r="B762" s="56"/>
      <c r="K762" s="56"/>
      <c r="L762" s="56"/>
      <c r="O762" s="56"/>
    </row>
    <row r="763" spans="1:15" ht="13" x14ac:dyDescent="0.15">
      <c r="A763" s="56"/>
      <c r="B763" s="56"/>
      <c r="K763" s="56"/>
      <c r="L763" s="56"/>
      <c r="O763" s="56"/>
    </row>
    <row r="764" spans="1:15" ht="13" x14ac:dyDescent="0.15">
      <c r="A764" s="56"/>
      <c r="B764" s="56"/>
      <c r="K764" s="56"/>
      <c r="L764" s="56"/>
      <c r="O764" s="56"/>
    </row>
    <row r="765" spans="1:15" ht="13" x14ac:dyDescent="0.15">
      <c r="A765" s="56"/>
      <c r="B765" s="56"/>
      <c r="K765" s="56"/>
      <c r="L765" s="56"/>
      <c r="O765" s="56"/>
    </row>
    <row r="766" spans="1:15" ht="13" x14ac:dyDescent="0.15">
      <c r="A766" s="56"/>
      <c r="B766" s="56"/>
      <c r="K766" s="56"/>
      <c r="L766" s="56"/>
      <c r="O766" s="56"/>
    </row>
    <row r="767" spans="1:15" ht="13" x14ac:dyDescent="0.15">
      <c r="A767" s="56"/>
      <c r="B767" s="56"/>
      <c r="K767" s="56"/>
      <c r="L767" s="56"/>
      <c r="O767" s="56"/>
    </row>
    <row r="768" spans="1:15" ht="13" x14ac:dyDescent="0.15">
      <c r="A768" s="56"/>
      <c r="B768" s="56"/>
      <c r="K768" s="56"/>
      <c r="L768" s="56"/>
      <c r="O768" s="56"/>
    </row>
    <row r="769" spans="1:15" ht="13" x14ac:dyDescent="0.15">
      <c r="A769" s="56"/>
      <c r="B769" s="56"/>
      <c r="K769" s="56"/>
      <c r="L769" s="56"/>
      <c r="O769" s="56"/>
    </row>
    <row r="770" spans="1:15" ht="13" x14ac:dyDescent="0.15">
      <c r="A770" s="56"/>
      <c r="B770" s="56"/>
      <c r="K770" s="56"/>
      <c r="L770" s="56"/>
      <c r="O770" s="56"/>
    </row>
    <row r="771" spans="1:15" ht="13" x14ac:dyDescent="0.15">
      <c r="A771" s="56"/>
      <c r="B771" s="56"/>
      <c r="K771" s="56"/>
      <c r="L771" s="56"/>
      <c r="O771" s="56"/>
    </row>
    <row r="772" spans="1:15" ht="13" x14ac:dyDescent="0.15">
      <c r="A772" s="56"/>
      <c r="B772" s="56"/>
      <c r="K772" s="56"/>
      <c r="L772" s="56"/>
      <c r="O772" s="56"/>
    </row>
    <row r="773" spans="1:15" ht="13" x14ac:dyDescent="0.15">
      <c r="A773" s="56"/>
      <c r="B773" s="56"/>
      <c r="K773" s="56"/>
      <c r="L773" s="56"/>
      <c r="O773" s="56"/>
    </row>
    <row r="774" spans="1:15" ht="13" x14ac:dyDescent="0.15">
      <c r="A774" s="56"/>
      <c r="B774" s="56"/>
      <c r="K774" s="56"/>
      <c r="L774" s="56"/>
      <c r="O774" s="56"/>
    </row>
    <row r="775" spans="1:15" ht="13" x14ac:dyDescent="0.15">
      <c r="A775" s="56"/>
      <c r="B775" s="56"/>
      <c r="K775" s="56"/>
      <c r="L775" s="56"/>
      <c r="O775" s="56"/>
    </row>
    <row r="776" spans="1:15" ht="13" x14ac:dyDescent="0.15">
      <c r="A776" s="56"/>
      <c r="B776" s="56"/>
      <c r="K776" s="56"/>
      <c r="L776" s="56"/>
      <c r="O776" s="56"/>
    </row>
    <row r="777" spans="1:15" ht="13" x14ac:dyDescent="0.15">
      <c r="A777" s="56"/>
      <c r="B777" s="56"/>
      <c r="K777" s="56"/>
      <c r="L777" s="56"/>
      <c r="O777" s="56"/>
    </row>
    <row r="778" spans="1:15" ht="13" x14ac:dyDescent="0.15">
      <c r="A778" s="56"/>
      <c r="B778" s="56"/>
      <c r="K778" s="56"/>
      <c r="L778" s="56"/>
      <c r="O778" s="56"/>
    </row>
    <row r="779" spans="1:15" ht="13" x14ac:dyDescent="0.15">
      <c r="A779" s="56"/>
      <c r="B779" s="56"/>
      <c r="K779" s="56"/>
      <c r="L779" s="56"/>
      <c r="O779" s="56"/>
    </row>
    <row r="780" spans="1:15" ht="13" x14ac:dyDescent="0.15">
      <c r="A780" s="56"/>
      <c r="B780" s="56"/>
      <c r="K780" s="56"/>
      <c r="L780" s="56"/>
      <c r="O780" s="56"/>
    </row>
    <row r="781" spans="1:15" ht="13" x14ac:dyDescent="0.15">
      <c r="A781" s="56"/>
      <c r="B781" s="56"/>
      <c r="K781" s="56"/>
      <c r="L781" s="56"/>
      <c r="O781" s="56"/>
    </row>
    <row r="782" spans="1:15" ht="13" x14ac:dyDescent="0.15">
      <c r="A782" s="56"/>
      <c r="B782" s="56"/>
      <c r="K782" s="56"/>
      <c r="L782" s="56"/>
      <c r="O782" s="56"/>
    </row>
    <row r="783" spans="1:15" ht="13" x14ac:dyDescent="0.15">
      <c r="A783" s="56"/>
      <c r="B783" s="56"/>
      <c r="K783" s="56"/>
      <c r="L783" s="56"/>
      <c r="O783" s="56"/>
    </row>
    <row r="784" spans="1:15" ht="13" x14ac:dyDescent="0.15">
      <c r="A784" s="56"/>
      <c r="B784" s="56"/>
      <c r="K784" s="56"/>
      <c r="L784" s="56"/>
      <c r="O784" s="56"/>
    </row>
    <row r="785" spans="1:15" ht="13" x14ac:dyDescent="0.15">
      <c r="A785" s="56"/>
      <c r="B785" s="56"/>
      <c r="K785" s="56"/>
      <c r="L785" s="56"/>
      <c r="O785" s="56"/>
    </row>
    <row r="786" spans="1:15" ht="13" x14ac:dyDescent="0.15">
      <c r="A786" s="56"/>
      <c r="B786" s="56"/>
      <c r="K786" s="56"/>
      <c r="L786" s="56"/>
      <c r="O786" s="56"/>
    </row>
    <row r="787" spans="1:15" ht="13" x14ac:dyDescent="0.15">
      <c r="A787" s="56"/>
      <c r="B787" s="56"/>
      <c r="K787" s="56"/>
      <c r="L787" s="56"/>
      <c r="O787" s="56"/>
    </row>
    <row r="788" spans="1:15" ht="13" x14ac:dyDescent="0.15">
      <c r="A788" s="56"/>
      <c r="B788" s="56"/>
      <c r="K788" s="56"/>
      <c r="L788" s="56"/>
      <c r="O788" s="56"/>
    </row>
    <row r="789" spans="1:15" ht="13" x14ac:dyDescent="0.15">
      <c r="A789" s="56"/>
      <c r="B789" s="56"/>
      <c r="K789" s="56"/>
      <c r="L789" s="56"/>
      <c r="O789" s="56"/>
    </row>
    <row r="790" spans="1:15" ht="13" x14ac:dyDescent="0.15">
      <c r="A790" s="56"/>
      <c r="B790" s="56"/>
      <c r="K790" s="56"/>
      <c r="L790" s="56"/>
      <c r="O790" s="56"/>
    </row>
    <row r="791" spans="1:15" ht="13" x14ac:dyDescent="0.15">
      <c r="A791" s="56"/>
      <c r="B791" s="56"/>
      <c r="K791" s="56"/>
      <c r="L791" s="56"/>
      <c r="O791" s="56"/>
    </row>
    <row r="792" spans="1:15" ht="13" x14ac:dyDescent="0.15">
      <c r="A792" s="56"/>
      <c r="B792" s="56"/>
      <c r="K792" s="56"/>
      <c r="L792" s="56"/>
      <c r="O792" s="56"/>
    </row>
    <row r="793" spans="1:15" ht="13" x14ac:dyDescent="0.15">
      <c r="A793" s="56"/>
      <c r="B793" s="56"/>
      <c r="K793" s="56"/>
      <c r="L793" s="56"/>
      <c r="O793" s="56"/>
    </row>
    <row r="794" spans="1:15" ht="13" x14ac:dyDescent="0.15">
      <c r="A794" s="56"/>
      <c r="B794" s="56"/>
      <c r="K794" s="56"/>
      <c r="L794" s="56"/>
      <c r="O794" s="56"/>
    </row>
    <row r="795" spans="1:15" ht="13" x14ac:dyDescent="0.15">
      <c r="A795" s="56"/>
      <c r="B795" s="56"/>
      <c r="K795" s="56"/>
      <c r="L795" s="56"/>
      <c r="O795" s="56"/>
    </row>
    <row r="796" spans="1:15" ht="13" x14ac:dyDescent="0.15">
      <c r="A796" s="56"/>
      <c r="B796" s="56"/>
      <c r="K796" s="56"/>
      <c r="L796" s="56"/>
      <c r="O796" s="56"/>
    </row>
    <row r="797" spans="1:15" ht="13" x14ac:dyDescent="0.15">
      <c r="A797" s="56"/>
      <c r="B797" s="56"/>
      <c r="K797" s="56"/>
      <c r="L797" s="56"/>
      <c r="O797" s="56"/>
    </row>
    <row r="798" spans="1:15" ht="13" x14ac:dyDescent="0.15">
      <c r="A798" s="56"/>
      <c r="B798" s="56"/>
      <c r="K798" s="56"/>
      <c r="L798" s="56"/>
      <c r="O798" s="56"/>
    </row>
    <row r="799" spans="1:15" ht="13" x14ac:dyDescent="0.15">
      <c r="A799" s="56"/>
      <c r="B799" s="56"/>
      <c r="K799" s="56"/>
      <c r="L799" s="56"/>
      <c r="O799" s="56"/>
    </row>
    <row r="800" spans="1:15" ht="13" x14ac:dyDescent="0.15">
      <c r="A800" s="56"/>
      <c r="B800" s="56"/>
      <c r="K800" s="56"/>
      <c r="L800" s="56"/>
      <c r="O800" s="56"/>
    </row>
    <row r="801" spans="1:15" ht="13" x14ac:dyDescent="0.15">
      <c r="A801" s="56"/>
      <c r="B801" s="56"/>
      <c r="K801" s="56"/>
      <c r="L801" s="56"/>
      <c r="O801" s="56"/>
    </row>
    <row r="802" spans="1:15" ht="13" x14ac:dyDescent="0.15">
      <c r="A802" s="56"/>
      <c r="B802" s="56"/>
      <c r="K802" s="56"/>
      <c r="L802" s="56"/>
      <c r="O802" s="56"/>
    </row>
    <row r="803" spans="1:15" ht="13" x14ac:dyDescent="0.15">
      <c r="A803" s="56"/>
      <c r="B803" s="56"/>
      <c r="K803" s="56"/>
      <c r="L803" s="56"/>
      <c r="O803" s="56"/>
    </row>
    <row r="804" spans="1:15" ht="13" x14ac:dyDescent="0.15">
      <c r="A804" s="56"/>
      <c r="B804" s="56"/>
      <c r="K804" s="56"/>
      <c r="L804" s="56"/>
      <c r="O804" s="56"/>
    </row>
    <row r="805" spans="1:15" ht="13" x14ac:dyDescent="0.15">
      <c r="A805" s="56"/>
      <c r="B805" s="56"/>
      <c r="K805" s="56"/>
      <c r="L805" s="56"/>
      <c r="O805" s="56"/>
    </row>
    <row r="806" spans="1:15" ht="13" x14ac:dyDescent="0.15">
      <c r="A806" s="56"/>
      <c r="B806" s="56"/>
      <c r="K806" s="56"/>
      <c r="L806" s="56"/>
      <c r="O806" s="56"/>
    </row>
    <row r="807" spans="1:15" ht="13" x14ac:dyDescent="0.15">
      <c r="A807" s="56"/>
      <c r="B807" s="56"/>
      <c r="K807" s="56"/>
      <c r="L807" s="56"/>
      <c r="O807" s="56"/>
    </row>
    <row r="808" spans="1:15" ht="13" x14ac:dyDescent="0.15">
      <c r="A808" s="56"/>
      <c r="B808" s="56"/>
      <c r="K808" s="56"/>
      <c r="L808" s="56"/>
      <c r="O808" s="56"/>
    </row>
    <row r="809" spans="1:15" ht="13" x14ac:dyDescent="0.15">
      <c r="A809" s="56"/>
      <c r="B809" s="56"/>
      <c r="K809" s="56"/>
      <c r="L809" s="56"/>
      <c r="O809" s="56"/>
    </row>
    <row r="810" spans="1:15" ht="13" x14ac:dyDescent="0.15">
      <c r="A810" s="56"/>
      <c r="B810" s="56"/>
      <c r="K810" s="56"/>
      <c r="L810" s="56"/>
      <c r="O810" s="56"/>
    </row>
    <row r="811" spans="1:15" ht="13" x14ac:dyDescent="0.15">
      <c r="A811" s="56"/>
      <c r="B811" s="56"/>
      <c r="K811" s="56"/>
      <c r="L811" s="56"/>
      <c r="O811" s="56"/>
    </row>
    <row r="812" spans="1:15" ht="13" x14ac:dyDescent="0.15">
      <c r="A812" s="56"/>
      <c r="B812" s="56"/>
      <c r="K812" s="56"/>
      <c r="L812" s="56"/>
      <c r="O812" s="56"/>
    </row>
    <row r="813" spans="1:15" ht="13" x14ac:dyDescent="0.15">
      <c r="A813" s="56"/>
      <c r="B813" s="56"/>
      <c r="K813" s="56"/>
      <c r="L813" s="56"/>
      <c r="O813" s="56"/>
    </row>
    <row r="814" spans="1:15" ht="13" x14ac:dyDescent="0.15">
      <c r="A814" s="56"/>
      <c r="B814" s="56"/>
      <c r="K814" s="56"/>
      <c r="L814" s="56"/>
      <c r="O814" s="56"/>
    </row>
    <row r="815" spans="1:15" ht="13" x14ac:dyDescent="0.15">
      <c r="A815" s="56"/>
      <c r="B815" s="56"/>
      <c r="K815" s="56"/>
      <c r="L815" s="56"/>
      <c r="O815" s="56"/>
    </row>
    <row r="816" spans="1:15" ht="13" x14ac:dyDescent="0.15">
      <c r="A816" s="56"/>
      <c r="B816" s="56"/>
      <c r="K816" s="56"/>
      <c r="L816" s="56"/>
      <c r="O816" s="56"/>
    </row>
    <row r="817" spans="1:15" ht="13" x14ac:dyDescent="0.15">
      <c r="A817" s="56"/>
      <c r="B817" s="56"/>
      <c r="K817" s="56"/>
      <c r="L817" s="56"/>
      <c r="O817" s="56"/>
    </row>
    <row r="818" spans="1:15" ht="13" x14ac:dyDescent="0.15">
      <c r="A818" s="56"/>
      <c r="B818" s="56"/>
      <c r="K818" s="56"/>
      <c r="L818" s="56"/>
      <c r="O818" s="56"/>
    </row>
    <row r="819" spans="1:15" ht="13" x14ac:dyDescent="0.15">
      <c r="A819" s="56"/>
      <c r="B819" s="56"/>
      <c r="K819" s="56"/>
      <c r="L819" s="56"/>
      <c r="O819" s="56"/>
    </row>
    <row r="820" spans="1:15" ht="13" x14ac:dyDescent="0.15">
      <c r="A820" s="56"/>
      <c r="B820" s="56"/>
      <c r="K820" s="56"/>
      <c r="L820" s="56"/>
      <c r="O820" s="56"/>
    </row>
    <row r="821" spans="1:15" ht="13" x14ac:dyDescent="0.15">
      <c r="A821" s="56"/>
      <c r="B821" s="56"/>
      <c r="K821" s="56"/>
      <c r="L821" s="56"/>
      <c r="O821" s="56"/>
    </row>
    <row r="822" spans="1:15" ht="13" x14ac:dyDescent="0.15">
      <c r="A822" s="56"/>
      <c r="B822" s="56"/>
      <c r="K822" s="56"/>
      <c r="L822" s="56"/>
      <c r="O822" s="56"/>
    </row>
    <row r="823" spans="1:15" ht="13" x14ac:dyDescent="0.15">
      <c r="A823" s="56"/>
      <c r="B823" s="56"/>
      <c r="K823" s="56"/>
      <c r="L823" s="56"/>
      <c r="O823" s="56"/>
    </row>
    <row r="824" spans="1:15" ht="13" x14ac:dyDescent="0.15">
      <c r="A824" s="56"/>
      <c r="B824" s="56"/>
      <c r="K824" s="56"/>
      <c r="L824" s="56"/>
      <c r="O824" s="56"/>
    </row>
    <row r="825" spans="1:15" ht="13" x14ac:dyDescent="0.15">
      <c r="A825" s="56"/>
      <c r="B825" s="56"/>
      <c r="K825" s="56"/>
      <c r="L825" s="56"/>
      <c r="O825" s="56"/>
    </row>
    <row r="826" spans="1:15" ht="13" x14ac:dyDescent="0.15">
      <c r="A826" s="56"/>
      <c r="B826" s="56"/>
      <c r="K826" s="56"/>
      <c r="L826" s="56"/>
      <c r="O826" s="56"/>
    </row>
    <row r="827" spans="1:15" ht="13" x14ac:dyDescent="0.15">
      <c r="A827" s="56"/>
      <c r="B827" s="56"/>
      <c r="K827" s="56"/>
      <c r="L827" s="56"/>
      <c r="O827" s="56"/>
    </row>
    <row r="828" spans="1:15" ht="13" x14ac:dyDescent="0.15">
      <c r="A828" s="56"/>
      <c r="B828" s="56"/>
      <c r="K828" s="56"/>
      <c r="L828" s="56"/>
      <c r="O828" s="56"/>
    </row>
    <row r="829" spans="1:15" ht="13" x14ac:dyDescent="0.15">
      <c r="A829" s="56"/>
      <c r="B829" s="56"/>
      <c r="K829" s="56"/>
      <c r="L829" s="56"/>
      <c r="O829" s="56"/>
    </row>
    <row r="830" spans="1:15" ht="13" x14ac:dyDescent="0.15">
      <c r="A830" s="56"/>
      <c r="B830" s="56"/>
      <c r="K830" s="56"/>
      <c r="L830" s="56"/>
      <c r="O830" s="56"/>
    </row>
    <row r="831" spans="1:15" ht="13" x14ac:dyDescent="0.15">
      <c r="A831" s="56"/>
      <c r="B831" s="56"/>
      <c r="K831" s="56"/>
      <c r="L831" s="56"/>
      <c r="O831" s="56"/>
    </row>
    <row r="832" spans="1:15" ht="13" x14ac:dyDescent="0.15">
      <c r="A832" s="56"/>
      <c r="B832" s="56"/>
      <c r="K832" s="56"/>
      <c r="L832" s="56"/>
      <c r="O832" s="56"/>
    </row>
    <row r="833" spans="1:15" ht="13" x14ac:dyDescent="0.15">
      <c r="A833" s="56"/>
      <c r="B833" s="56"/>
      <c r="K833" s="56"/>
      <c r="L833" s="56"/>
      <c r="O833" s="56"/>
    </row>
    <row r="834" spans="1:15" ht="13" x14ac:dyDescent="0.15">
      <c r="A834" s="56"/>
      <c r="B834" s="56"/>
      <c r="K834" s="56"/>
      <c r="L834" s="56"/>
      <c r="O834" s="56"/>
    </row>
    <row r="835" spans="1:15" ht="13" x14ac:dyDescent="0.15">
      <c r="A835" s="56"/>
      <c r="B835" s="56"/>
      <c r="K835" s="56"/>
      <c r="L835" s="56"/>
      <c r="O835" s="56"/>
    </row>
    <row r="836" spans="1:15" ht="13" x14ac:dyDescent="0.15">
      <c r="A836" s="56"/>
      <c r="B836" s="56"/>
      <c r="K836" s="56"/>
      <c r="L836" s="56"/>
      <c r="O836" s="56"/>
    </row>
    <row r="837" spans="1:15" ht="13" x14ac:dyDescent="0.15">
      <c r="A837" s="56"/>
      <c r="B837" s="56"/>
      <c r="K837" s="56"/>
      <c r="L837" s="56"/>
      <c r="O837" s="56"/>
    </row>
    <row r="838" spans="1:15" ht="13" x14ac:dyDescent="0.15">
      <c r="A838" s="56"/>
      <c r="B838" s="56"/>
      <c r="K838" s="56"/>
      <c r="L838" s="56"/>
      <c r="O838" s="56"/>
    </row>
    <row r="839" spans="1:15" ht="13" x14ac:dyDescent="0.15">
      <c r="A839" s="56"/>
      <c r="B839" s="56"/>
      <c r="K839" s="56"/>
      <c r="L839" s="56"/>
      <c r="O839" s="56"/>
    </row>
    <row r="840" spans="1:15" ht="13" x14ac:dyDescent="0.15">
      <c r="A840" s="56"/>
      <c r="B840" s="56"/>
      <c r="K840" s="56"/>
      <c r="L840" s="56"/>
      <c r="O840" s="56"/>
    </row>
    <row r="841" spans="1:15" ht="13" x14ac:dyDescent="0.15">
      <c r="A841" s="56"/>
      <c r="B841" s="56"/>
      <c r="K841" s="56"/>
      <c r="L841" s="56"/>
      <c r="O841" s="56"/>
    </row>
    <row r="842" spans="1:15" ht="13" x14ac:dyDescent="0.15">
      <c r="A842" s="56"/>
      <c r="B842" s="56"/>
      <c r="K842" s="56"/>
      <c r="L842" s="56"/>
      <c r="O842" s="56"/>
    </row>
    <row r="843" spans="1:15" ht="13" x14ac:dyDescent="0.15">
      <c r="A843" s="56"/>
      <c r="B843" s="56"/>
      <c r="K843" s="56"/>
      <c r="L843" s="56"/>
      <c r="O843" s="56"/>
    </row>
    <row r="844" spans="1:15" ht="13" x14ac:dyDescent="0.15">
      <c r="A844" s="56"/>
      <c r="B844" s="56"/>
      <c r="K844" s="56"/>
      <c r="L844" s="56"/>
      <c r="O844" s="56"/>
    </row>
    <row r="845" spans="1:15" ht="13" x14ac:dyDescent="0.15">
      <c r="A845" s="56"/>
      <c r="B845" s="56"/>
      <c r="K845" s="56"/>
      <c r="L845" s="56"/>
      <c r="O845" s="56"/>
    </row>
    <row r="846" spans="1:15" ht="13" x14ac:dyDescent="0.15">
      <c r="A846" s="56"/>
      <c r="B846" s="56"/>
      <c r="K846" s="56"/>
      <c r="L846" s="56"/>
      <c r="O846" s="56"/>
    </row>
    <row r="847" spans="1:15" ht="13" x14ac:dyDescent="0.15">
      <c r="A847" s="56"/>
      <c r="B847" s="56"/>
      <c r="K847" s="56"/>
      <c r="L847" s="56"/>
      <c r="O847" s="56"/>
    </row>
    <row r="848" spans="1:15" ht="13" x14ac:dyDescent="0.15">
      <c r="A848" s="56"/>
      <c r="B848" s="56"/>
      <c r="K848" s="56"/>
      <c r="L848" s="56"/>
      <c r="O848" s="56"/>
    </row>
    <row r="849" spans="1:15" ht="13" x14ac:dyDescent="0.15">
      <c r="A849" s="56"/>
      <c r="B849" s="56"/>
      <c r="K849" s="56"/>
      <c r="L849" s="56"/>
      <c r="O849" s="56"/>
    </row>
    <row r="850" spans="1:15" ht="13" x14ac:dyDescent="0.15">
      <c r="A850" s="56"/>
      <c r="B850" s="56"/>
      <c r="K850" s="56"/>
      <c r="L850" s="56"/>
      <c r="O850" s="56"/>
    </row>
    <row r="851" spans="1:15" ht="13" x14ac:dyDescent="0.15">
      <c r="A851" s="56"/>
      <c r="B851" s="56"/>
      <c r="K851" s="56"/>
      <c r="L851" s="56"/>
      <c r="O851" s="56"/>
    </row>
    <row r="852" spans="1:15" ht="13" x14ac:dyDescent="0.15">
      <c r="A852" s="56"/>
      <c r="B852" s="56"/>
      <c r="K852" s="56"/>
      <c r="L852" s="56"/>
      <c r="O852" s="56"/>
    </row>
    <row r="853" spans="1:15" ht="13" x14ac:dyDescent="0.15">
      <c r="A853" s="56"/>
      <c r="B853" s="56"/>
      <c r="K853" s="56"/>
      <c r="L853" s="56"/>
      <c r="O853" s="56"/>
    </row>
    <row r="854" spans="1:15" ht="13" x14ac:dyDescent="0.15">
      <c r="A854" s="56"/>
      <c r="B854" s="56"/>
      <c r="K854" s="56"/>
      <c r="L854" s="56"/>
      <c r="O854" s="56"/>
    </row>
    <row r="855" spans="1:15" ht="13" x14ac:dyDescent="0.15">
      <c r="A855" s="56"/>
      <c r="B855" s="56"/>
      <c r="K855" s="56"/>
      <c r="L855" s="56"/>
      <c r="O855" s="56"/>
    </row>
    <row r="856" spans="1:15" ht="13" x14ac:dyDescent="0.15">
      <c r="A856" s="56"/>
      <c r="B856" s="56"/>
      <c r="K856" s="56"/>
      <c r="L856" s="56"/>
      <c r="O856" s="56"/>
    </row>
    <row r="857" spans="1:15" ht="13" x14ac:dyDescent="0.15">
      <c r="A857" s="56"/>
      <c r="B857" s="56"/>
      <c r="K857" s="56"/>
      <c r="L857" s="56"/>
      <c r="O857" s="56"/>
    </row>
    <row r="858" spans="1:15" ht="13" x14ac:dyDescent="0.15">
      <c r="A858" s="56"/>
      <c r="B858" s="56"/>
      <c r="K858" s="56"/>
      <c r="L858" s="56"/>
      <c r="O858" s="56"/>
    </row>
    <row r="859" spans="1:15" ht="13" x14ac:dyDescent="0.15">
      <c r="A859" s="56"/>
      <c r="B859" s="56"/>
      <c r="K859" s="56"/>
      <c r="L859" s="56"/>
      <c r="O859" s="56"/>
    </row>
    <row r="860" spans="1:15" ht="13" x14ac:dyDescent="0.15">
      <c r="A860" s="56"/>
      <c r="B860" s="56"/>
      <c r="K860" s="56"/>
      <c r="L860" s="56"/>
      <c r="O860" s="56"/>
    </row>
    <row r="861" spans="1:15" ht="13" x14ac:dyDescent="0.15">
      <c r="A861" s="56"/>
      <c r="B861" s="56"/>
      <c r="K861" s="56"/>
      <c r="L861" s="56"/>
      <c r="O861" s="56"/>
    </row>
    <row r="862" spans="1:15" ht="13" x14ac:dyDescent="0.15">
      <c r="A862" s="56"/>
      <c r="B862" s="56"/>
      <c r="K862" s="56"/>
      <c r="L862" s="56"/>
      <c r="O862" s="56"/>
    </row>
    <row r="863" spans="1:15" ht="13" x14ac:dyDescent="0.15">
      <c r="A863" s="56"/>
      <c r="B863" s="56"/>
      <c r="K863" s="56"/>
      <c r="L863" s="56"/>
      <c r="O863" s="56"/>
    </row>
    <row r="864" spans="1:15" ht="13" x14ac:dyDescent="0.15">
      <c r="A864" s="56"/>
      <c r="B864" s="56"/>
      <c r="K864" s="56"/>
      <c r="L864" s="56"/>
      <c r="O864" s="56"/>
    </row>
    <row r="865" spans="1:15" ht="13" x14ac:dyDescent="0.15">
      <c r="A865" s="56"/>
      <c r="B865" s="56"/>
      <c r="K865" s="56"/>
      <c r="L865" s="56"/>
      <c r="O865" s="56"/>
    </row>
    <row r="866" spans="1:15" ht="13" x14ac:dyDescent="0.15">
      <c r="A866" s="56"/>
      <c r="B866" s="56"/>
      <c r="K866" s="56"/>
      <c r="L866" s="56"/>
      <c r="O866" s="56"/>
    </row>
    <row r="867" spans="1:15" ht="13" x14ac:dyDescent="0.15">
      <c r="A867" s="56"/>
      <c r="B867" s="56"/>
      <c r="K867" s="56"/>
      <c r="L867" s="56"/>
      <c r="O867" s="56"/>
    </row>
    <row r="868" spans="1:15" ht="13" x14ac:dyDescent="0.15">
      <c r="A868" s="56"/>
      <c r="B868" s="56"/>
      <c r="K868" s="56"/>
      <c r="L868" s="56"/>
      <c r="O868" s="56"/>
    </row>
    <row r="869" spans="1:15" ht="13" x14ac:dyDescent="0.15">
      <c r="A869" s="56"/>
      <c r="B869" s="56"/>
      <c r="K869" s="56"/>
      <c r="L869" s="56"/>
      <c r="O869" s="56"/>
    </row>
    <row r="870" spans="1:15" ht="13" x14ac:dyDescent="0.15">
      <c r="A870" s="56"/>
      <c r="B870" s="56"/>
      <c r="K870" s="56"/>
      <c r="L870" s="56"/>
      <c r="O870" s="56"/>
    </row>
    <row r="871" spans="1:15" ht="13" x14ac:dyDescent="0.15">
      <c r="A871" s="56"/>
      <c r="B871" s="56"/>
      <c r="K871" s="56"/>
      <c r="L871" s="56"/>
      <c r="O871" s="56"/>
    </row>
    <row r="872" spans="1:15" ht="13" x14ac:dyDescent="0.15">
      <c r="A872" s="56"/>
      <c r="B872" s="56"/>
      <c r="K872" s="56"/>
      <c r="L872" s="56"/>
      <c r="O872" s="56"/>
    </row>
    <row r="873" spans="1:15" ht="13" x14ac:dyDescent="0.15">
      <c r="A873" s="56"/>
      <c r="B873" s="56"/>
      <c r="K873" s="56"/>
      <c r="L873" s="56"/>
      <c r="O873" s="56"/>
    </row>
    <row r="874" spans="1:15" ht="13" x14ac:dyDescent="0.15">
      <c r="A874" s="56"/>
      <c r="B874" s="56"/>
      <c r="K874" s="56"/>
      <c r="L874" s="56"/>
      <c r="O874" s="56"/>
    </row>
    <row r="875" spans="1:15" ht="13" x14ac:dyDescent="0.15">
      <c r="A875" s="56"/>
      <c r="B875" s="56"/>
      <c r="K875" s="56"/>
      <c r="L875" s="56"/>
      <c r="O875" s="56"/>
    </row>
    <row r="876" spans="1:15" ht="13" x14ac:dyDescent="0.15">
      <c r="A876" s="56"/>
      <c r="B876" s="56"/>
      <c r="K876" s="56"/>
      <c r="L876" s="56"/>
      <c r="O876" s="56"/>
    </row>
    <row r="877" spans="1:15" ht="13" x14ac:dyDescent="0.15">
      <c r="A877" s="56"/>
      <c r="B877" s="56"/>
      <c r="K877" s="56"/>
      <c r="L877" s="56"/>
      <c r="O877" s="56"/>
    </row>
    <row r="878" spans="1:15" ht="13" x14ac:dyDescent="0.15">
      <c r="A878" s="56"/>
      <c r="B878" s="56"/>
      <c r="K878" s="56"/>
      <c r="L878" s="56"/>
      <c r="O878" s="56"/>
    </row>
    <row r="879" spans="1:15" ht="13" x14ac:dyDescent="0.15">
      <c r="A879" s="56"/>
      <c r="B879" s="56"/>
      <c r="K879" s="56"/>
      <c r="L879" s="56"/>
      <c r="O879" s="56"/>
    </row>
    <row r="880" spans="1:15" ht="13" x14ac:dyDescent="0.15">
      <c r="A880" s="56"/>
      <c r="B880" s="56"/>
      <c r="K880" s="56"/>
      <c r="L880" s="56"/>
      <c r="O880" s="56"/>
    </row>
    <row r="881" spans="1:15" ht="13" x14ac:dyDescent="0.15">
      <c r="A881" s="56"/>
      <c r="B881" s="56"/>
      <c r="K881" s="56"/>
      <c r="L881" s="56"/>
      <c r="O881" s="56"/>
    </row>
    <row r="882" spans="1:15" ht="13" x14ac:dyDescent="0.15">
      <c r="A882" s="56"/>
      <c r="B882" s="56"/>
      <c r="K882" s="56"/>
      <c r="L882" s="56"/>
      <c r="O882" s="56"/>
    </row>
    <row r="883" spans="1:15" ht="13" x14ac:dyDescent="0.15">
      <c r="A883" s="56"/>
      <c r="B883" s="56"/>
      <c r="K883" s="56"/>
      <c r="L883" s="56"/>
      <c r="O883" s="56"/>
    </row>
    <row r="884" spans="1:15" ht="13" x14ac:dyDescent="0.15">
      <c r="A884" s="56"/>
      <c r="B884" s="56"/>
      <c r="K884" s="56"/>
      <c r="L884" s="56"/>
      <c r="O884" s="56"/>
    </row>
    <row r="885" spans="1:15" ht="13" x14ac:dyDescent="0.15">
      <c r="A885" s="56"/>
      <c r="B885" s="56"/>
      <c r="K885" s="56"/>
      <c r="L885" s="56"/>
      <c r="O885" s="56"/>
    </row>
    <row r="886" spans="1:15" ht="13" x14ac:dyDescent="0.15">
      <c r="A886" s="56"/>
      <c r="B886" s="56"/>
      <c r="K886" s="56"/>
      <c r="L886" s="56"/>
      <c r="O886" s="56"/>
    </row>
    <row r="887" spans="1:15" ht="13" x14ac:dyDescent="0.15">
      <c r="A887" s="56"/>
      <c r="B887" s="56"/>
      <c r="K887" s="56"/>
      <c r="L887" s="56"/>
      <c r="O887" s="56"/>
    </row>
    <row r="888" spans="1:15" ht="13" x14ac:dyDescent="0.15">
      <c r="A888" s="56"/>
      <c r="B888" s="56"/>
      <c r="K888" s="56"/>
      <c r="L888" s="56"/>
      <c r="O888" s="56"/>
    </row>
    <row r="889" spans="1:15" ht="13" x14ac:dyDescent="0.15">
      <c r="A889" s="56"/>
      <c r="B889" s="56"/>
      <c r="K889" s="56"/>
      <c r="L889" s="56"/>
      <c r="O889" s="56"/>
    </row>
    <row r="890" spans="1:15" ht="13" x14ac:dyDescent="0.15">
      <c r="A890" s="56"/>
      <c r="B890" s="56"/>
      <c r="K890" s="56"/>
      <c r="L890" s="56"/>
      <c r="O890" s="56"/>
    </row>
    <row r="891" spans="1:15" ht="13" x14ac:dyDescent="0.15">
      <c r="A891" s="56"/>
      <c r="B891" s="56"/>
      <c r="K891" s="56"/>
      <c r="L891" s="56"/>
      <c r="O891" s="56"/>
    </row>
    <row r="892" spans="1:15" ht="13" x14ac:dyDescent="0.15">
      <c r="A892" s="56"/>
      <c r="B892" s="56"/>
      <c r="K892" s="56"/>
      <c r="L892" s="56"/>
      <c r="O892" s="56"/>
    </row>
    <row r="893" spans="1:15" ht="13" x14ac:dyDescent="0.15">
      <c r="A893" s="56"/>
      <c r="B893" s="56"/>
      <c r="K893" s="56"/>
      <c r="L893" s="56"/>
      <c r="O893" s="56"/>
    </row>
    <row r="894" spans="1:15" ht="13" x14ac:dyDescent="0.15">
      <c r="A894" s="56"/>
      <c r="B894" s="56"/>
      <c r="K894" s="56"/>
      <c r="L894" s="56"/>
      <c r="O894" s="56"/>
    </row>
    <row r="895" spans="1:15" ht="13" x14ac:dyDescent="0.15">
      <c r="A895" s="56"/>
      <c r="B895" s="56"/>
      <c r="K895" s="56"/>
      <c r="L895" s="56"/>
      <c r="O895" s="56"/>
    </row>
    <row r="896" spans="1:15" ht="13" x14ac:dyDescent="0.15">
      <c r="A896" s="56"/>
      <c r="B896" s="56"/>
      <c r="K896" s="56"/>
      <c r="L896" s="56"/>
      <c r="O896" s="56"/>
    </row>
    <row r="897" spans="1:15" ht="13" x14ac:dyDescent="0.15">
      <c r="A897" s="56"/>
      <c r="B897" s="56"/>
      <c r="K897" s="56"/>
      <c r="L897" s="56"/>
      <c r="O897" s="56"/>
    </row>
    <row r="898" spans="1:15" ht="13" x14ac:dyDescent="0.15">
      <c r="A898" s="56"/>
      <c r="B898" s="56"/>
      <c r="K898" s="56"/>
      <c r="L898" s="56"/>
      <c r="O898" s="56"/>
    </row>
    <row r="899" spans="1:15" ht="13" x14ac:dyDescent="0.15">
      <c r="A899" s="56"/>
      <c r="B899" s="56"/>
      <c r="K899" s="56"/>
      <c r="L899" s="56"/>
      <c r="O899" s="56"/>
    </row>
    <row r="900" spans="1:15" ht="13" x14ac:dyDescent="0.15">
      <c r="A900" s="56"/>
      <c r="B900" s="56"/>
      <c r="K900" s="56"/>
      <c r="L900" s="56"/>
      <c r="O900" s="56"/>
    </row>
    <row r="901" spans="1:15" ht="13" x14ac:dyDescent="0.15">
      <c r="A901" s="56"/>
      <c r="B901" s="56"/>
      <c r="K901" s="56"/>
      <c r="L901" s="56"/>
      <c r="O901" s="56"/>
    </row>
    <row r="902" spans="1:15" ht="13" x14ac:dyDescent="0.15">
      <c r="A902" s="56"/>
      <c r="B902" s="56"/>
      <c r="K902" s="56"/>
      <c r="L902" s="56"/>
      <c r="O902" s="56"/>
    </row>
    <row r="903" spans="1:15" ht="13" x14ac:dyDescent="0.15">
      <c r="A903" s="56"/>
      <c r="B903" s="56"/>
      <c r="K903" s="56"/>
      <c r="L903" s="56"/>
      <c r="O903" s="56"/>
    </row>
    <row r="904" spans="1:15" ht="13" x14ac:dyDescent="0.15">
      <c r="A904" s="56"/>
      <c r="B904" s="56"/>
      <c r="K904" s="56"/>
      <c r="L904" s="56"/>
      <c r="O904" s="56"/>
    </row>
    <row r="905" spans="1:15" ht="13" x14ac:dyDescent="0.15">
      <c r="A905" s="56"/>
      <c r="B905" s="56"/>
      <c r="K905" s="56"/>
      <c r="L905" s="56"/>
      <c r="O905" s="56"/>
    </row>
    <row r="906" spans="1:15" ht="13" x14ac:dyDescent="0.15">
      <c r="A906" s="56"/>
      <c r="B906" s="56"/>
      <c r="K906" s="56"/>
      <c r="L906" s="56"/>
      <c r="O906" s="56"/>
    </row>
    <row r="907" spans="1:15" ht="13" x14ac:dyDescent="0.15">
      <c r="A907" s="56"/>
      <c r="B907" s="56"/>
      <c r="K907" s="56"/>
      <c r="L907" s="56"/>
      <c r="O907" s="56"/>
    </row>
    <row r="908" spans="1:15" ht="13" x14ac:dyDescent="0.15">
      <c r="A908" s="56"/>
      <c r="B908" s="56"/>
      <c r="K908" s="56"/>
      <c r="L908" s="56"/>
      <c r="O908" s="56"/>
    </row>
    <row r="909" spans="1:15" ht="13" x14ac:dyDescent="0.15">
      <c r="A909" s="56"/>
      <c r="B909" s="56"/>
      <c r="K909" s="56"/>
      <c r="L909" s="56"/>
      <c r="O909" s="56"/>
    </row>
    <row r="910" spans="1:15" ht="13" x14ac:dyDescent="0.15">
      <c r="A910" s="56"/>
      <c r="B910" s="56"/>
      <c r="K910" s="56"/>
      <c r="L910" s="56"/>
      <c r="O910" s="56"/>
    </row>
    <row r="911" spans="1:15" ht="13" x14ac:dyDescent="0.15">
      <c r="A911" s="56"/>
      <c r="B911" s="56"/>
      <c r="K911" s="56"/>
      <c r="L911" s="56"/>
      <c r="O911" s="56"/>
    </row>
    <row r="912" spans="1:15" ht="13" x14ac:dyDescent="0.15">
      <c r="A912" s="56"/>
      <c r="B912" s="56"/>
      <c r="K912" s="56"/>
      <c r="L912" s="56"/>
      <c r="O912" s="56"/>
    </row>
    <row r="913" spans="1:15" ht="13" x14ac:dyDescent="0.15">
      <c r="A913" s="56"/>
      <c r="B913" s="56"/>
      <c r="K913" s="56"/>
      <c r="L913" s="56"/>
      <c r="O913" s="56"/>
    </row>
    <row r="914" spans="1:15" ht="13" x14ac:dyDescent="0.15">
      <c r="A914" s="56"/>
      <c r="B914" s="56"/>
      <c r="K914" s="56"/>
      <c r="L914" s="56"/>
      <c r="O914" s="56"/>
    </row>
    <row r="915" spans="1:15" ht="13" x14ac:dyDescent="0.15">
      <c r="A915" s="56"/>
      <c r="B915" s="56"/>
      <c r="K915" s="56"/>
      <c r="L915" s="56"/>
      <c r="O915" s="56"/>
    </row>
    <row r="916" spans="1:15" ht="13" x14ac:dyDescent="0.15">
      <c r="A916" s="56"/>
      <c r="B916" s="56"/>
      <c r="K916" s="56"/>
      <c r="L916" s="56"/>
      <c r="O916" s="56"/>
    </row>
    <row r="917" spans="1:15" ht="13" x14ac:dyDescent="0.15">
      <c r="A917" s="56"/>
      <c r="B917" s="56"/>
      <c r="K917" s="56"/>
      <c r="L917" s="56"/>
      <c r="O917" s="56"/>
    </row>
    <row r="918" spans="1:15" ht="13" x14ac:dyDescent="0.15">
      <c r="A918" s="56"/>
      <c r="B918" s="56"/>
      <c r="K918" s="56"/>
      <c r="L918" s="56"/>
      <c r="O918" s="56"/>
    </row>
    <row r="919" spans="1:15" ht="13" x14ac:dyDescent="0.15">
      <c r="A919" s="56"/>
      <c r="B919" s="56"/>
      <c r="K919" s="56"/>
      <c r="L919" s="56"/>
      <c r="O919" s="56"/>
    </row>
    <row r="920" spans="1:15" ht="13" x14ac:dyDescent="0.15">
      <c r="A920" s="56"/>
      <c r="B920" s="56"/>
      <c r="K920" s="56"/>
      <c r="L920" s="56"/>
      <c r="O920" s="56"/>
    </row>
    <row r="921" spans="1:15" ht="13" x14ac:dyDescent="0.15">
      <c r="A921" s="56"/>
      <c r="B921" s="56"/>
      <c r="K921" s="56"/>
      <c r="L921" s="56"/>
      <c r="O921" s="56"/>
    </row>
    <row r="922" spans="1:15" ht="13" x14ac:dyDescent="0.15">
      <c r="A922" s="56"/>
      <c r="B922" s="56"/>
      <c r="K922" s="56"/>
      <c r="L922" s="56"/>
      <c r="O922" s="56"/>
    </row>
    <row r="923" spans="1:15" ht="13" x14ac:dyDescent="0.15">
      <c r="A923" s="56"/>
      <c r="B923" s="56"/>
      <c r="K923" s="56"/>
      <c r="L923" s="56"/>
      <c r="O923" s="56"/>
    </row>
    <row r="924" spans="1:15" ht="13" x14ac:dyDescent="0.15">
      <c r="A924" s="56"/>
      <c r="B924" s="56"/>
      <c r="K924" s="56"/>
      <c r="L924" s="56"/>
      <c r="O924" s="56"/>
    </row>
    <row r="925" spans="1:15" ht="13" x14ac:dyDescent="0.15">
      <c r="A925" s="56"/>
      <c r="B925" s="56"/>
      <c r="K925" s="56"/>
      <c r="L925" s="56"/>
      <c r="O925" s="56"/>
    </row>
    <row r="926" spans="1:15" ht="13" x14ac:dyDescent="0.15">
      <c r="A926" s="56"/>
      <c r="B926" s="56"/>
      <c r="K926" s="56"/>
      <c r="L926" s="56"/>
      <c r="O926" s="56"/>
    </row>
    <row r="927" spans="1:15" ht="13" x14ac:dyDescent="0.15">
      <c r="A927" s="56"/>
      <c r="B927" s="56"/>
      <c r="K927" s="56"/>
      <c r="L927" s="56"/>
      <c r="O927" s="56"/>
    </row>
    <row r="928" spans="1:15" ht="13" x14ac:dyDescent="0.15">
      <c r="A928" s="56"/>
      <c r="B928" s="56"/>
      <c r="K928" s="56"/>
      <c r="L928" s="56"/>
      <c r="O928" s="56"/>
    </row>
    <row r="929" spans="1:15" ht="13" x14ac:dyDescent="0.15">
      <c r="A929" s="56"/>
      <c r="B929" s="56"/>
      <c r="K929" s="56"/>
      <c r="L929" s="56"/>
      <c r="O929" s="56"/>
    </row>
    <row r="930" spans="1:15" ht="13" x14ac:dyDescent="0.15">
      <c r="A930" s="56"/>
      <c r="B930" s="56"/>
      <c r="K930" s="56"/>
      <c r="L930" s="56"/>
      <c r="O930" s="56"/>
    </row>
    <row r="931" spans="1:15" ht="13" x14ac:dyDescent="0.15">
      <c r="A931" s="56"/>
      <c r="B931" s="56"/>
      <c r="K931" s="56"/>
      <c r="L931" s="56"/>
      <c r="O931" s="56"/>
    </row>
    <row r="932" spans="1:15" ht="13" x14ac:dyDescent="0.15">
      <c r="A932" s="56"/>
      <c r="B932" s="56"/>
      <c r="K932" s="56"/>
      <c r="L932" s="56"/>
      <c r="O932" s="56"/>
    </row>
    <row r="933" spans="1:15" ht="13" x14ac:dyDescent="0.15">
      <c r="A933" s="56"/>
      <c r="B933" s="56"/>
      <c r="K933" s="56"/>
      <c r="L933" s="56"/>
      <c r="O933" s="56"/>
    </row>
    <row r="934" spans="1:15" ht="13" x14ac:dyDescent="0.15">
      <c r="A934" s="56"/>
      <c r="B934" s="56"/>
      <c r="K934" s="56"/>
      <c r="L934" s="56"/>
      <c r="O934" s="56"/>
    </row>
    <row r="935" spans="1:15" ht="13" x14ac:dyDescent="0.15">
      <c r="A935" s="56"/>
      <c r="B935" s="56"/>
      <c r="K935" s="56"/>
      <c r="L935" s="56"/>
      <c r="O935" s="56"/>
    </row>
    <row r="936" spans="1:15" ht="13" x14ac:dyDescent="0.15">
      <c r="A936" s="56"/>
      <c r="B936" s="56"/>
      <c r="K936" s="56"/>
      <c r="L936" s="56"/>
      <c r="O936" s="56"/>
    </row>
    <row r="937" spans="1:15" ht="13" x14ac:dyDescent="0.15">
      <c r="A937" s="56"/>
      <c r="B937" s="56"/>
      <c r="K937" s="56"/>
      <c r="L937" s="56"/>
      <c r="O937" s="56"/>
    </row>
    <row r="938" spans="1:15" ht="13" x14ac:dyDescent="0.15">
      <c r="A938" s="56"/>
      <c r="B938" s="56"/>
      <c r="K938" s="56"/>
      <c r="L938" s="56"/>
      <c r="O938" s="56"/>
    </row>
    <row r="939" spans="1:15" ht="13" x14ac:dyDescent="0.15">
      <c r="A939" s="56"/>
      <c r="B939" s="56"/>
      <c r="K939" s="56"/>
      <c r="L939" s="56"/>
      <c r="O939" s="56"/>
    </row>
    <row r="940" spans="1:15" ht="13" x14ac:dyDescent="0.15">
      <c r="A940" s="56"/>
      <c r="B940" s="56"/>
      <c r="K940" s="56"/>
      <c r="L940" s="56"/>
      <c r="O940" s="56"/>
    </row>
    <row r="941" spans="1:15" ht="13" x14ac:dyDescent="0.15">
      <c r="A941" s="56"/>
      <c r="B941" s="56"/>
      <c r="K941" s="56"/>
      <c r="L941" s="56"/>
      <c r="O941" s="56"/>
    </row>
    <row r="942" spans="1:15" ht="13" x14ac:dyDescent="0.15">
      <c r="A942" s="56"/>
      <c r="B942" s="56"/>
      <c r="K942" s="56"/>
      <c r="L942" s="56"/>
      <c r="O942" s="56"/>
    </row>
    <row r="943" spans="1:15" ht="13" x14ac:dyDescent="0.15">
      <c r="A943" s="56"/>
      <c r="B943" s="56"/>
      <c r="K943" s="56"/>
      <c r="L943" s="56"/>
      <c r="O943" s="56"/>
    </row>
    <row r="944" spans="1:15" ht="13" x14ac:dyDescent="0.15">
      <c r="A944" s="56"/>
      <c r="B944" s="56"/>
      <c r="K944" s="56"/>
      <c r="L944" s="56"/>
      <c r="O944" s="56"/>
    </row>
    <row r="945" spans="1:15" ht="13" x14ac:dyDescent="0.15">
      <c r="A945" s="56"/>
      <c r="B945" s="56"/>
      <c r="K945" s="56"/>
      <c r="L945" s="56"/>
      <c r="O945" s="56"/>
    </row>
    <row r="946" spans="1:15" ht="13" x14ac:dyDescent="0.15">
      <c r="A946" s="56"/>
      <c r="B946" s="56"/>
      <c r="K946" s="56"/>
      <c r="L946" s="56"/>
      <c r="O946" s="56"/>
    </row>
    <row r="947" spans="1:15" ht="13" x14ac:dyDescent="0.15">
      <c r="A947" s="56"/>
      <c r="B947" s="56"/>
      <c r="K947" s="56"/>
      <c r="L947" s="56"/>
      <c r="O947" s="56"/>
    </row>
    <row r="948" spans="1:15" ht="13" x14ac:dyDescent="0.15">
      <c r="A948" s="56"/>
      <c r="B948" s="56"/>
      <c r="K948" s="56"/>
      <c r="L948" s="56"/>
      <c r="O948" s="56"/>
    </row>
    <row r="949" spans="1:15" ht="13" x14ac:dyDescent="0.15">
      <c r="A949" s="56"/>
      <c r="B949" s="56"/>
      <c r="K949" s="56"/>
      <c r="L949" s="56"/>
      <c r="O949" s="56"/>
    </row>
    <row r="950" spans="1:15" ht="13" x14ac:dyDescent="0.15">
      <c r="A950" s="56"/>
      <c r="B950" s="56"/>
      <c r="K950" s="56"/>
      <c r="L950" s="56"/>
      <c r="O950" s="56"/>
    </row>
    <row r="951" spans="1:15" ht="13" x14ac:dyDescent="0.15">
      <c r="A951" s="56"/>
      <c r="B951" s="56"/>
      <c r="K951" s="56"/>
      <c r="L951" s="56"/>
      <c r="O951" s="56"/>
    </row>
    <row r="952" spans="1:15" ht="13" x14ac:dyDescent="0.15">
      <c r="A952" s="56"/>
      <c r="B952" s="56"/>
      <c r="K952" s="56"/>
      <c r="L952" s="56"/>
      <c r="O952" s="56"/>
    </row>
    <row r="953" spans="1:15" ht="13" x14ac:dyDescent="0.15">
      <c r="A953" s="56"/>
      <c r="B953" s="56"/>
      <c r="K953" s="56"/>
      <c r="L953" s="56"/>
      <c r="O953" s="56"/>
    </row>
    <row r="954" spans="1:15" ht="13" x14ac:dyDescent="0.15">
      <c r="A954" s="56"/>
      <c r="B954" s="56"/>
      <c r="K954" s="56"/>
      <c r="L954" s="56"/>
      <c r="O954" s="56"/>
    </row>
    <row r="955" spans="1:15" ht="13" x14ac:dyDescent="0.15">
      <c r="A955" s="56"/>
      <c r="B955" s="56"/>
      <c r="K955" s="56"/>
      <c r="L955" s="56"/>
      <c r="O955" s="56"/>
    </row>
    <row r="956" spans="1:15" ht="13" x14ac:dyDescent="0.15">
      <c r="A956" s="56"/>
      <c r="B956" s="56"/>
      <c r="K956" s="56"/>
      <c r="L956" s="56"/>
      <c r="O956" s="56"/>
    </row>
    <row r="957" spans="1:15" ht="13" x14ac:dyDescent="0.15">
      <c r="A957" s="56"/>
      <c r="B957" s="56"/>
      <c r="K957" s="56"/>
      <c r="L957" s="56"/>
      <c r="O957" s="56"/>
    </row>
    <row r="958" spans="1:15" ht="13" x14ac:dyDescent="0.15">
      <c r="A958" s="56"/>
      <c r="B958" s="56"/>
      <c r="K958" s="56"/>
      <c r="L958" s="56"/>
      <c r="O958" s="56"/>
    </row>
    <row r="959" spans="1:15" ht="13" x14ac:dyDescent="0.15">
      <c r="A959" s="56"/>
      <c r="B959" s="56"/>
      <c r="K959" s="56"/>
      <c r="L959" s="56"/>
      <c r="O959" s="56"/>
    </row>
    <row r="960" spans="1:15" ht="13" x14ac:dyDescent="0.15">
      <c r="A960" s="56"/>
      <c r="B960" s="56"/>
      <c r="K960" s="56"/>
      <c r="L960" s="56"/>
      <c r="O960" s="56"/>
    </row>
    <row r="961" spans="1:15" ht="13" x14ac:dyDescent="0.15">
      <c r="A961" s="56"/>
      <c r="B961" s="56"/>
      <c r="K961" s="56"/>
      <c r="L961" s="56"/>
      <c r="O961" s="56"/>
    </row>
    <row r="962" spans="1:15" ht="13" x14ac:dyDescent="0.15">
      <c r="A962" s="56"/>
      <c r="B962" s="56"/>
      <c r="K962" s="56"/>
      <c r="L962" s="56"/>
      <c r="O962" s="56"/>
    </row>
    <row r="963" spans="1:15" ht="13" x14ac:dyDescent="0.15">
      <c r="A963" s="56"/>
      <c r="B963" s="56"/>
      <c r="K963" s="56"/>
      <c r="L963" s="56"/>
      <c r="O963" s="56"/>
    </row>
    <row r="964" spans="1:15" ht="13" x14ac:dyDescent="0.15">
      <c r="A964" s="56"/>
      <c r="B964" s="56"/>
      <c r="K964" s="56"/>
      <c r="L964" s="56"/>
      <c r="O964" s="56"/>
    </row>
    <row r="965" spans="1:15" ht="13" x14ac:dyDescent="0.15">
      <c r="A965" s="56"/>
      <c r="B965" s="56"/>
      <c r="K965" s="56"/>
      <c r="L965" s="56"/>
      <c r="O965" s="56"/>
    </row>
    <row r="966" spans="1:15" ht="13" x14ac:dyDescent="0.15">
      <c r="A966" s="56"/>
      <c r="B966" s="56"/>
      <c r="K966" s="56"/>
      <c r="L966" s="56"/>
      <c r="O966" s="56"/>
    </row>
    <row r="967" spans="1:15" ht="13" x14ac:dyDescent="0.15">
      <c r="A967" s="56"/>
      <c r="B967" s="56"/>
      <c r="K967" s="56"/>
      <c r="L967" s="56"/>
      <c r="O967" s="56"/>
    </row>
    <row r="968" spans="1:15" ht="13" x14ac:dyDescent="0.15">
      <c r="A968" s="56"/>
      <c r="B968" s="56"/>
      <c r="K968" s="56"/>
      <c r="L968" s="56"/>
      <c r="O968" s="56"/>
    </row>
    <row r="969" spans="1:15" ht="13" x14ac:dyDescent="0.15">
      <c r="A969" s="56"/>
      <c r="B969" s="56"/>
      <c r="K969" s="56"/>
      <c r="L969" s="56"/>
      <c r="O969" s="56"/>
    </row>
    <row r="970" spans="1:15" ht="13" x14ac:dyDescent="0.15">
      <c r="A970" s="56"/>
      <c r="B970" s="56"/>
      <c r="K970" s="56"/>
      <c r="L970" s="56"/>
      <c r="O970" s="56"/>
    </row>
    <row r="971" spans="1:15" ht="13" x14ac:dyDescent="0.15">
      <c r="A971" s="56"/>
      <c r="B971" s="56"/>
      <c r="K971" s="56"/>
      <c r="L971" s="56"/>
      <c r="O971" s="56"/>
    </row>
    <row r="972" spans="1:15" ht="13" x14ac:dyDescent="0.15">
      <c r="A972" s="56"/>
      <c r="B972" s="56"/>
      <c r="K972" s="56"/>
      <c r="L972" s="56"/>
      <c r="O972" s="56"/>
    </row>
    <row r="973" spans="1:15" ht="13" x14ac:dyDescent="0.15">
      <c r="A973" s="56"/>
      <c r="B973" s="56"/>
      <c r="K973" s="56"/>
      <c r="L973" s="56"/>
      <c r="O973" s="56"/>
    </row>
    <row r="974" spans="1:15" ht="13" x14ac:dyDescent="0.15">
      <c r="A974" s="56"/>
      <c r="B974" s="56"/>
      <c r="K974" s="56"/>
      <c r="L974" s="56"/>
      <c r="O974" s="56"/>
    </row>
    <row r="975" spans="1:15" ht="13" x14ac:dyDescent="0.15">
      <c r="A975" s="56"/>
      <c r="B975" s="56"/>
      <c r="K975" s="56"/>
      <c r="L975" s="56"/>
      <c r="O975" s="56"/>
    </row>
    <row r="976" spans="1:15" ht="13" x14ac:dyDescent="0.15">
      <c r="A976" s="56"/>
      <c r="B976" s="56"/>
      <c r="K976" s="56"/>
      <c r="L976" s="56"/>
      <c r="O976" s="56"/>
    </row>
    <row r="977" spans="1:15" ht="13" x14ac:dyDescent="0.15">
      <c r="A977" s="56"/>
      <c r="B977" s="56"/>
      <c r="K977" s="56"/>
      <c r="L977" s="56"/>
      <c r="O977" s="56"/>
    </row>
    <row r="978" spans="1:15" ht="13" x14ac:dyDescent="0.15">
      <c r="A978" s="56"/>
      <c r="B978" s="56"/>
      <c r="K978" s="56"/>
      <c r="L978" s="56"/>
      <c r="O978" s="56"/>
    </row>
    <row r="979" spans="1:15" ht="13" x14ac:dyDescent="0.15">
      <c r="A979" s="56"/>
      <c r="B979" s="56"/>
      <c r="K979" s="56"/>
      <c r="L979" s="56"/>
      <c r="O979" s="56"/>
    </row>
    <row r="980" spans="1:15" ht="13" x14ac:dyDescent="0.15">
      <c r="A980" s="56"/>
      <c r="B980" s="56"/>
      <c r="K980" s="56"/>
      <c r="L980" s="56"/>
      <c r="O980" s="56"/>
    </row>
    <row r="981" spans="1:15" ht="13" x14ac:dyDescent="0.15">
      <c r="A981" s="56"/>
      <c r="B981" s="56"/>
      <c r="K981" s="56"/>
      <c r="L981" s="56"/>
      <c r="O981" s="56"/>
    </row>
    <row r="982" spans="1:15" ht="13" x14ac:dyDescent="0.15">
      <c r="A982" s="56"/>
      <c r="B982" s="56"/>
      <c r="K982" s="56"/>
      <c r="L982" s="56"/>
      <c r="O982" s="56"/>
    </row>
    <row r="983" spans="1:15" ht="13" x14ac:dyDescent="0.15">
      <c r="A983" s="56"/>
      <c r="B983" s="56"/>
      <c r="K983" s="56"/>
      <c r="L983" s="56"/>
      <c r="O983" s="56"/>
    </row>
    <row r="984" spans="1:15" ht="13" x14ac:dyDescent="0.15">
      <c r="A984" s="56"/>
      <c r="B984" s="56"/>
      <c r="K984" s="56"/>
      <c r="L984" s="56"/>
      <c r="O984" s="56"/>
    </row>
    <row r="985" spans="1:15" ht="13" x14ac:dyDescent="0.15">
      <c r="A985" s="56"/>
      <c r="B985" s="56"/>
      <c r="K985" s="56"/>
      <c r="L985" s="56"/>
      <c r="O985" s="56"/>
    </row>
    <row r="986" spans="1:15" ht="13" x14ac:dyDescent="0.15">
      <c r="A986" s="56"/>
      <c r="B986" s="56"/>
      <c r="K986" s="56"/>
      <c r="L986" s="56"/>
      <c r="O986" s="56"/>
    </row>
    <row r="987" spans="1:15" ht="13" x14ac:dyDescent="0.15">
      <c r="A987" s="56"/>
      <c r="B987" s="56"/>
      <c r="K987" s="56"/>
      <c r="L987" s="56"/>
      <c r="O987" s="56"/>
    </row>
    <row r="988" spans="1:15" ht="13" x14ac:dyDescent="0.15">
      <c r="A988" s="56"/>
      <c r="B988" s="56"/>
      <c r="K988" s="56"/>
      <c r="L988" s="56"/>
      <c r="O988" s="56"/>
    </row>
    <row r="989" spans="1:15" ht="13" x14ac:dyDescent="0.15">
      <c r="A989" s="56"/>
      <c r="B989" s="56"/>
      <c r="K989" s="56"/>
      <c r="L989" s="56"/>
      <c r="O989" s="56"/>
    </row>
    <row r="990" spans="1:15" ht="13" x14ac:dyDescent="0.15">
      <c r="A990" s="56"/>
      <c r="B990" s="56"/>
      <c r="K990" s="56"/>
      <c r="L990" s="56"/>
      <c r="O990" s="56"/>
    </row>
    <row r="991" spans="1:15" ht="13" x14ac:dyDescent="0.15">
      <c r="A991" s="56"/>
      <c r="B991" s="56"/>
      <c r="K991" s="56"/>
      <c r="L991" s="56"/>
      <c r="O991" s="56"/>
    </row>
    <row r="992" spans="1:15" ht="13" x14ac:dyDescent="0.15">
      <c r="A992" s="56"/>
      <c r="B992" s="56"/>
      <c r="K992" s="56"/>
      <c r="L992" s="56"/>
      <c r="O992" s="56"/>
    </row>
    <row r="993" spans="1:15" ht="13" x14ac:dyDescent="0.15">
      <c r="A993" s="56"/>
      <c r="B993" s="56"/>
      <c r="K993" s="56"/>
      <c r="L993" s="56"/>
      <c r="O993" s="56"/>
    </row>
    <row r="994" spans="1:15" ht="13" x14ac:dyDescent="0.15">
      <c r="A994" s="56"/>
      <c r="B994" s="56"/>
      <c r="K994" s="56"/>
      <c r="L994" s="56"/>
      <c r="O994" s="56"/>
    </row>
    <row r="995" spans="1:15" ht="13" x14ac:dyDescent="0.15">
      <c r="A995" s="56"/>
      <c r="B995" s="56"/>
      <c r="K995" s="56"/>
      <c r="L995" s="56"/>
      <c r="O995" s="56"/>
    </row>
    <row r="996" spans="1:15" ht="13" x14ac:dyDescent="0.15">
      <c r="A996" s="56"/>
      <c r="B996" s="56"/>
      <c r="K996" s="56"/>
      <c r="L996" s="56"/>
      <c r="O996" s="56"/>
    </row>
    <row r="997" spans="1:15" ht="13" x14ac:dyDescent="0.15">
      <c r="A997" s="56"/>
      <c r="B997" s="56"/>
      <c r="K997" s="56"/>
      <c r="L997" s="56"/>
      <c r="O997" s="56"/>
    </row>
  </sheetData>
  <hyperlinks>
    <hyperlink ref="M5" r:id="rId1" xr:uid="{00000000-0004-0000-0700-000000000000}"/>
    <hyperlink ref="M8" r:id="rId2" xr:uid="{00000000-0004-0000-0700-000001000000}"/>
    <hyperlink ref="M9" r:id="rId3" xr:uid="{00000000-0004-0000-0700-000002000000}"/>
    <hyperlink ref="M10" r:id="rId4" xr:uid="{00000000-0004-0000-0700-000003000000}"/>
    <hyperlink ref="M11" r:id="rId5" xr:uid="{00000000-0004-0000-0700-000004000000}"/>
    <hyperlink ref="M13" r:id="rId6" xr:uid="{00000000-0004-0000-0700-000005000000}"/>
    <hyperlink ref="M14" r:id="rId7" xr:uid="{00000000-0004-0000-0700-000006000000}"/>
    <hyperlink ref="M16" r:id="rId8" xr:uid="{00000000-0004-0000-0700-000007000000}"/>
    <hyperlink ref="M17" r:id="rId9" xr:uid="{00000000-0004-0000-0700-000008000000}"/>
    <hyperlink ref="M18" r:id="rId10" xr:uid="{00000000-0004-0000-0700-000009000000}"/>
    <hyperlink ref="N37" r:id="rId11" xr:uid="{00000000-0004-0000-0700-00000A000000}"/>
    <hyperlink ref="M44" r:id="rId12" xr:uid="{00000000-0004-0000-0700-00000B000000}"/>
  </hyperlinks>
  <pageMargins left="0.7" right="0.7" top="0.3" bottom="0.3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95"/>
  <sheetViews>
    <sheetView workbookViewId="0"/>
  </sheetViews>
  <sheetFormatPr baseColWidth="10" defaultColWidth="12.6640625" defaultRowHeight="15.75" customHeight="1" x14ac:dyDescent="0.15"/>
  <cols>
    <col min="1" max="2" width="15.1640625" customWidth="1"/>
    <col min="3" max="4" width="12.1640625" customWidth="1"/>
    <col min="5" max="5" width="52.1640625" customWidth="1"/>
    <col min="6" max="6" width="94.83203125" customWidth="1"/>
    <col min="7" max="7" width="31.1640625" customWidth="1"/>
    <col min="8" max="8" width="42.83203125" customWidth="1"/>
    <col min="9" max="9" width="27.6640625" customWidth="1"/>
    <col min="10" max="10" width="29.1640625" customWidth="1"/>
    <col min="11" max="11" width="23.33203125" customWidth="1"/>
    <col min="12" max="12" width="23" customWidth="1"/>
    <col min="13" max="13" width="44.83203125" customWidth="1"/>
    <col min="14" max="14" width="35.83203125" customWidth="1"/>
    <col min="15" max="15" width="17.5" customWidth="1"/>
    <col min="16" max="16" width="21.33203125" customWidth="1"/>
    <col min="17" max="17" width="25.33203125" customWidth="1"/>
    <col min="18" max="18" width="27.83203125" customWidth="1"/>
    <col min="19" max="19" width="23.6640625" customWidth="1"/>
    <col min="20" max="20" width="22.33203125" customWidth="1"/>
    <col min="21" max="21" width="29.6640625" customWidth="1"/>
    <col min="22" max="27" width="8.6640625" customWidth="1"/>
  </cols>
  <sheetData>
    <row r="1" spans="1:27" ht="15.75" customHeight="1" x14ac:dyDescent="0.2">
      <c r="A1" s="60" t="s">
        <v>36</v>
      </c>
      <c r="B1" s="60" t="s">
        <v>37</v>
      </c>
      <c r="C1" s="59" t="s">
        <v>38</v>
      </c>
      <c r="D1" s="59"/>
      <c r="E1" s="59" t="s">
        <v>39</v>
      </c>
      <c r="F1" s="59" t="s">
        <v>40</v>
      </c>
      <c r="G1" s="59" t="s">
        <v>41</v>
      </c>
      <c r="H1" s="59" t="s">
        <v>42</v>
      </c>
      <c r="I1" s="59" t="s">
        <v>43</v>
      </c>
      <c r="J1" s="59" t="s">
        <v>44</v>
      </c>
      <c r="K1" s="59" t="s">
        <v>45</v>
      </c>
      <c r="L1" s="59" t="s">
        <v>46</v>
      </c>
      <c r="M1" s="59" t="s">
        <v>47</v>
      </c>
      <c r="N1" s="59" t="s">
        <v>48</v>
      </c>
      <c r="O1" s="6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20</v>
      </c>
      <c r="B2" s="61" t="s">
        <v>2418</v>
      </c>
      <c r="C2" s="62" t="s">
        <v>51</v>
      </c>
      <c r="D2" s="62" t="str">
        <f t="shared" ref="D2:D46" si="0">A2&amp;B2&amp;C2</f>
        <v>2008001</v>
      </c>
      <c r="E2" s="67" t="s">
        <v>2419</v>
      </c>
      <c r="F2" s="63"/>
      <c r="G2" s="63"/>
      <c r="H2" s="63"/>
      <c r="I2" s="63"/>
      <c r="J2" s="63"/>
      <c r="K2" s="62"/>
      <c r="L2" s="62"/>
      <c r="M2" s="63"/>
      <c r="N2" s="63"/>
      <c r="O2" s="6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21</v>
      </c>
      <c r="B3" s="61" t="s">
        <v>2418</v>
      </c>
      <c r="C3" s="62" t="s">
        <v>60</v>
      </c>
      <c r="D3" s="62" t="str">
        <f t="shared" si="0"/>
        <v>2108002</v>
      </c>
      <c r="E3" s="67" t="s">
        <v>2420</v>
      </c>
      <c r="F3" s="67" t="s">
        <v>2421</v>
      </c>
      <c r="G3" s="63" t="s">
        <v>2422</v>
      </c>
      <c r="H3" s="67" t="s">
        <v>2423</v>
      </c>
      <c r="I3" s="67" t="s">
        <v>2424</v>
      </c>
      <c r="J3" s="67" t="s">
        <v>2425</v>
      </c>
      <c r="K3" s="61">
        <v>895803294450</v>
      </c>
      <c r="L3" s="61">
        <v>85536485279</v>
      </c>
      <c r="M3" s="86" t="s">
        <v>2426</v>
      </c>
      <c r="N3" s="67" t="s">
        <v>2427</v>
      </c>
      <c r="O3" s="6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21</v>
      </c>
      <c r="B4" s="61" t="s">
        <v>2418</v>
      </c>
      <c r="C4" s="62" t="s">
        <v>68</v>
      </c>
      <c r="D4" s="62" t="str">
        <f t="shared" si="0"/>
        <v>2108003</v>
      </c>
      <c r="E4" s="67" t="s">
        <v>393</v>
      </c>
      <c r="F4" s="67" t="s">
        <v>2428</v>
      </c>
      <c r="G4" s="67" t="s">
        <v>2422</v>
      </c>
      <c r="H4" s="67" t="s">
        <v>2429</v>
      </c>
      <c r="I4" s="73" t="s">
        <v>2430</v>
      </c>
      <c r="J4" s="67" t="s">
        <v>2431</v>
      </c>
      <c r="K4" s="142" t="s">
        <v>2432</v>
      </c>
      <c r="L4" s="61">
        <v>85785347283</v>
      </c>
      <c r="M4" s="86" t="s">
        <v>2433</v>
      </c>
      <c r="N4" s="73" t="s">
        <v>2434</v>
      </c>
      <c r="O4" s="61">
        <v>8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21</v>
      </c>
      <c r="B5" s="61" t="s">
        <v>2418</v>
      </c>
      <c r="C5" s="62" t="s">
        <v>76</v>
      </c>
      <c r="D5" s="62" t="str">
        <f t="shared" si="0"/>
        <v>2108004</v>
      </c>
      <c r="E5" s="67" t="s">
        <v>2435</v>
      </c>
      <c r="F5" s="67" t="s">
        <v>2436</v>
      </c>
      <c r="G5" s="67" t="s">
        <v>2422</v>
      </c>
      <c r="H5" s="67" t="s">
        <v>2437</v>
      </c>
      <c r="I5" s="67" t="s">
        <v>2438</v>
      </c>
      <c r="J5" s="67" t="s">
        <v>2439</v>
      </c>
      <c r="K5" s="61">
        <v>85336168611</v>
      </c>
      <c r="L5" s="61">
        <v>85856062446</v>
      </c>
      <c r="M5" s="86" t="s">
        <v>2440</v>
      </c>
      <c r="N5" s="67" t="s">
        <v>2441</v>
      </c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21</v>
      </c>
      <c r="B6" s="61" t="s">
        <v>2418</v>
      </c>
      <c r="C6" s="62" t="s">
        <v>84</v>
      </c>
      <c r="D6" s="62" t="str">
        <f t="shared" si="0"/>
        <v>2108005</v>
      </c>
      <c r="E6" s="67" t="s">
        <v>2442</v>
      </c>
      <c r="F6" s="67" t="s">
        <v>2443</v>
      </c>
      <c r="G6" s="67" t="s">
        <v>2422</v>
      </c>
      <c r="H6" s="67" t="s">
        <v>2444</v>
      </c>
      <c r="I6" s="67" t="s">
        <v>2445</v>
      </c>
      <c r="J6" s="67" t="s">
        <v>2446</v>
      </c>
      <c r="K6" s="61">
        <v>87847656012</v>
      </c>
      <c r="L6" s="61">
        <v>87849283087</v>
      </c>
      <c r="M6" s="86" t="s">
        <v>2447</v>
      </c>
      <c r="N6" s="67" t="s">
        <v>2448</v>
      </c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21</v>
      </c>
      <c r="B7" s="61" t="s">
        <v>2418</v>
      </c>
      <c r="C7" s="62" t="s">
        <v>92</v>
      </c>
      <c r="D7" s="62" t="str">
        <f t="shared" si="0"/>
        <v>2108006</v>
      </c>
      <c r="E7" s="67" t="s">
        <v>2449</v>
      </c>
      <c r="F7" s="67" t="s">
        <v>2450</v>
      </c>
      <c r="G7" s="67" t="s">
        <v>2422</v>
      </c>
      <c r="H7" s="67" t="s">
        <v>2451</v>
      </c>
      <c r="I7" s="67" t="s">
        <v>2452</v>
      </c>
      <c r="J7" s="67" t="s">
        <v>2453</v>
      </c>
      <c r="K7" s="61" t="s">
        <v>2253</v>
      </c>
      <c r="L7" s="76" t="s">
        <v>2454</v>
      </c>
      <c r="M7" s="86" t="s">
        <v>2455</v>
      </c>
      <c r="N7" s="67" t="s">
        <v>2456</v>
      </c>
      <c r="O7" s="6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22</v>
      </c>
      <c r="B8" s="61" t="s">
        <v>2418</v>
      </c>
      <c r="C8" s="62" t="s">
        <v>100</v>
      </c>
      <c r="D8" s="62" t="str">
        <f t="shared" si="0"/>
        <v>2208007</v>
      </c>
      <c r="E8" s="69" t="s">
        <v>2457</v>
      </c>
      <c r="F8" s="69" t="s">
        <v>2458</v>
      </c>
      <c r="G8" s="69" t="s">
        <v>2459</v>
      </c>
      <c r="H8" s="69" t="s">
        <v>2460</v>
      </c>
      <c r="I8" s="69" t="s">
        <v>2461</v>
      </c>
      <c r="J8" s="63"/>
      <c r="K8" s="70" t="s">
        <v>2462</v>
      </c>
      <c r="L8" s="62"/>
      <c r="M8" s="63"/>
      <c r="N8" s="63"/>
      <c r="O8" s="68">
        <v>4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22</v>
      </c>
      <c r="B9" s="61" t="s">
        <v>2418</v>
      </c>
      <c r="C9" s="62" t="s">
        <v>108</v>
      </c>
      <c r="D9" s="62" t="str">
        <f t="shared" si="0"/>
        <v>2208008</v>
      </c>
      <c r="E9" s="54" t="s">
        <v>2463</v>
      </c>
      <c r="F9" s="54" t="s">
        <v>2464</v>
      </c>
      <c r="G9" s="54" t="s">
        <v>2459</v>
      </c>
      <c r="H9" s="54" t="s">
        <v>2465</v>
      </c>
      <c r="I9" s="54" t="s">
        <v>2466</v>
      </c>
      <c r="J9" s="54"/>
      <c r="K9" s="96" t="s">
        <v>2467</v>
      </c>
      <c r="L9" s="54"/>
      <c r="M9" s="154"/>
      <c r="N9" s="54" t="s">
        <v>2468</v>
      </c>
      <c r="O9" s="96">
        <v>3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22</v>
      </c>
      <c r="B10" s="61" t="s">
        <v>2418</v>
      </c>
      <c r="C10" s="62" t="s">
        <v>116</v>
      </c>
      <c r="D10" s="62" t="str">
        <f t="shared" si="0"/>
        <v>2208009</v>
      </c>
      <c r="E10" s="69" t="s">
        <v>2469</v>
      </c>
      <c r="F10" s="69" t="s">
        <v>2470</v>
      </c>
      <c r="G10" s="69" t="s">
        <v>2459</v>
      </c>
      <c r="H10" s="69" t="s">
        <v>2471</v>
      </c>
      <c r="I10" s="69" t="s">
        <v>1453</v>
      </c>
      <c r="J10" s="67" t="s">
        <v>2472</v>
      </c>
      <c r="K10" s="70" t="s">
        <v>1454</v>
      </c>
      <c r="L10" s="61">
        <v>87840112279</v>
      </c>
      <c r="M10" s="63"/>
      <c r="N10" s="67" t="s">
        <v>2473</v>
      </c>
      <c r="O10" s="61">
        <v>10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22</v>
      </c>
      <c r="B11" s="61" t="s">
        <v>2418</v>
      </c>
      <c r="C11" s="62" t="s">
        <v>124</v>
      </c>
      <c r="D11" s="62" t="str">
        <f t="shared" si="0"/>
        <v>2208010</v>
      </c>
      <c r="E11" s="69" t="s">
        <v>2474</v>
      </c>
      <c r="F11" s="69" t="s">
        <v>2475</v>
      </c>
      <c r="G11" s="69" t="s">
        <v>2459</v>
      </c>
      <c r="H11" s="69" t="s">
        <v>2476</v>
      </c>
      <c r="I11" s="69" t="s">
        <v>2477</v>
      </c>
      <c r="J11" s="67"/>
      <c r="K11" s="70" t="s">
        <v>2478</v>
      </c>
      <c r="L11" s="61"/>
      <c r="M11" s="67"/>
      <c r="N11" s="67"/>
      <c r="O11" s="68">
        <v>1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22</v>
      </c>
      <c r="B12" s="61" t="s">
        <v>2418</v>
      </c>
      <c r="C12" s="62" t="s">
        <v>132</v>
      </c>
      <c r="D12" s="62" t="str">
        <f t="shared" si="0"/>
        <v>2208011</v>
      </c>
      <c r="E12" s="69" t="s">
        <v>2479</v>
      </c>
      <c r="F12" s="69" t="s">
        <v>2480</v>
      </c>
      <c r="G12" s="69" t="s">
        <v>2459</v>
      </c>
      <c r="H12" s="69" t="s">
        <v>2481</v>
      </c>
      <c r="I12" s="69" t="s">
        <v>2479</v>
      </c>
      <c r="J12" s="67"/>
      <c r="K12" s="70" t="s">
        <v>2482</v>
      </c>
      <c r="L12" s="61"/>
      <c r="M12" s="67"/>
      <c r="N12" s="67"/>
      <c r="O12" s="6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22</v>
      </c>
      <c r="B13" s="61" t="s">
        <v>2418</v>
      </c>
      <c r="C13" s="62" t="s">
        <v>140</v>
      </c>
      <c r="D13" s="62" t="str">
        <f t="shared" si="0"/>
        <v>2208012</v>
      </c>
      <c r="E13" s="69" t="s">
        <v>2483</v>
      </c>
      <c r="F13" s="69" t="s">
        <v>2484</v>
      </c>
      <c r="G13" s="69" t="s">
        <v>2459</v>
      </c>
      <c r="H13" s="69" t="s">
        <v>2485</v>
      </c>
      <c r="I13" s="69" t="s">
        <v>2486</v>
      </c>
      <c r="J13" s="67"/>
      <c r="K13" s="70" t="s">
        <v>2487</v>
      </c>
      <c r="L13" s="61"/>
      <c r="M13" s="67"/>
      <c r="N13" s="67"/>
      <c r="O13" s="68">
        <v>7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23</v>
      </c>
      <c r="B14" s="61" t="s">
        <v>2418</v>
      </c>
      <c r="C14" s="62" t="s">
        <v>148</v>
      </c>
      <c r="D14" s="62" t="str">
        <f t="shared" si="0"/>
        <v>2308013</v>
      </c>
      <c r="E14" s="69" t="s">
        <v>2488</v>
      </c>
      <c r="F14" s="69" t="s">
        <v>2488</v>
      </c>
      <c r="G14" s="69" t="s">
        <v>2459</v>
      </c>
      <c r="H14" s="69" t="s">
        <v>2489</v>
      </c>
      <c r="I14" s="69" t="s">
        <v>2490</v>
      </c>
      <c r="J14" s="67"/>
      <c r="K14" s="68">
        <v>6281377656544</v>
      </c>
      <c r="L14" s="61"/>
      <c r="M14" s="67"/>
      <c r="N14" s="67"/>
      <c r="O14" s="68">
        <v>5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23</v>
      </c>
      <c r="B15" s="61" t="s">
        <v>2418</v>
      </c>
      <c r="C15" s="62" t="s">
        <v>156</v>
      </c>
      <c r="D15" s="62" t="str">
        <f t="shared" si="0"/>
        <v>2308014</v>
      </c>
      <c r="E15" s="69" t="s">
        <v>2491</v>
      </c>
      <c r="F15" s="69" t="s">
        <v>2492</v>
      </c>
      <c r="G15" s="69" t="s">
        <v>2459</v>
      </c>
      <c r="H15" s="69" t="s">
        <v>2493</v>
      </c>
      <c r="I15" s="69" t="s">
        <v>2494</v>
      </c>
      <c r="J15" s="67"/>
      <c r="K15" s="70" t="s">
        <v>2495</v>
      </c>
      <c r="L15" s="61"/>
      <c r="M15" s="67"/>
      <c r="N15" s="67"/>
      <c r="O15" s="68">
        <v>2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23</v>
      </c>
      <c r="B16" s="61" t="s">
        <v>2418</v>
      </c>
      <c r="C16" s="62" t="s">
        <v>164</v>
      </c>
      <c r="D16" s="62" t="str">
        <f t="shared" si="0"/>
        <v>2308015</v>
      </c>
      <c r="E16" s="69" t="s">
        <v>2496</v>
      </c>
      <c r="F16" s="69" t="s">
        <v>2497</v>
      </c>
      <c r="G16" s="69" t="s">
        <v>2459</v>
      </c>
      <c r="H16" s="69" t="s">
        <v>2498</v>
      </c>
      <c r="I16" s="69" t="s">
        <v>2499</v>
      </c>
      <c r="J16" s="67"/>
      <c r="K16" s="70" t="s">
        <v>2500</v>
      </c>
      <c r="L16" s="61"/>
      <c r="M16" s="67"/>
      <c r="N16" s="67"/>
      <c r="O16" s="6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23</v>
      </c>
      <c r="B17" s="61" t="s">
        <v>2418</v>
      </c>
      <c r="C17" s="62" t="s">
        <v>173</v>
      </c>
      <c r="D17" s="62" t="str">
        <f t="shared" si="0"/>
        <v>2308016</v>
      </c>
      <c r="E17" s="69" t="s">
        <v>2501</v>
      </c>
      <c r="F17" s="69" t="s">
        <v>2502</v>
      </c>
      <c r="G17" s="69" t="s">
        <v>2459</v>
      </c>
      <c r="H17" s="69" t="s">
        <v>2503</v>
      </c>
      <c r="I17" s="69" t="s">
        <v>2504</v>
      </c>
      <c r="J17" s="67"/>
      <c r="K17" s="70" t="s">
        <v>2505</v>
      </c>
      <c r="L17" s="61"/>
      <c r="M17" s="67"/>
      <c r="N17" s="69"/>
      <c r="O17" s="68">
        <v>20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23</v>
      </c>
      <c r="B18" s="61" t="s">
        <v>2418</v>
      </c>
      <c r="C18" s="62" t="s">
        <v>180</v>
      </c>
      <c r="D18" s="62" t="str">
        <f t="shared" si="0"/>
        <v>2308017</v>
      </c>
      <c r="E18" s="69" t="s">
        <v>2506</v>
      </c>
      <c r="F18" s="69" t="s">
        <v>2507</v>
      </c>
      <c r="G18" s="69" t="s">
        <v>2459</v>
      </c>
      <c r="H18" s="69" t="s">
        <v>2508</v>
      </c>
      <c r="I18" s="69" t="s">
        <v>2032</v>
      </c>
      <c r="J18" s="67"/>
      <c r="K18" s="70" t="s">
        <v>2509</v>
      </c>
      <c r="L18" s="61"/>
      <c r="M18" s="67"/>
      <c r="N18" s="69" t="s">
        <v>2033</v>
      </c>
      <c r="O18" s="68">
        <v>2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23</v>
      </c>
      <c r="B19" s="61" t="s">
        <v>2418</v>
      </c>
      <c r="C19" s="62" t="s">
        <v>188</v>
      </c>
      <c r="D19" s="62" t="str">
        <f t="shared" si="0"/>
        <v>2308018</v>
      </c>
      <c r="E19" s="69" t="s">
        <v>2510</v>
      </c>
      <c r="F19" s="69" t="s">
        <v>2511</v>
      </c>
      <c r="G19" s="69" t="s">
        <v>2459</v>
      </c>
      <c r="H19" s="69" t="s">
        <v>2512</v>
      </c>
      <c r="I19" s="69" t="s">
        <v>2513</v>
      </c>
      <c r="J19" s="67"/>
      <c r="K19" s="70" t="s">
        <v>2514</v>
      </c>
      <c r="L19" s="61"/>
      <c r="M19" s="67"/>
      <c r="N19" s="69" t="s">
        <v>2515</v>
      </c>
      <c r="O19" s="68">
        <v>13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23</v>
      </c>
      <c r="B20" s="61" t="s">
        <v>2418</v>
      </c>
      <c r="C20" s="62" t="s">
        <v>196</v>
      </c>
      <c r="D20" s="62" t="str">
        <f t="shared" si="0"/>
        <v>2308019</v>
      </c>
      <c r="E20" s="69" t="s">
        <v>2516</v>
      </c>
      <c r="F20" s="69" t="s">
        <v>2517</v>
      </c>
      <c r="G20" s="69" t="s">
        <v>2459</v>
      </c>
      <c r="H20" s="69" t="s">
        <v>2518</v>
      </c>
      <c r="I20" s="69" t="s">
        <v>2519</v>
      </c>
      <c r="J20" s="67"/>
      <c r="K20" s="70" t="s">
        <v>2520</v>
      </c>
      <c r="L20" s="61"/>
      <c r="M20" s="67"/>
      <c r="N20" s="69" t="s">
        <v>2521</v>
      </c>
      <c r="O20" s="68">
        <v>12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23</v>
      </c>
      <c r="B21" s="61" t="s">
        <v>2418</v>
      </c>
      <c r="C21" s="62" t="s">
        <v>204</v>
      </c>
      <c r="D21" s="62" t="str">
        <f t="shared" si="0"/>
        <v>2308020</v>
      </c>
      <c r="E21" s="69" t="s">
        <v>2522</v>
      </c>
      <c r="F21" s="69" t="s">
        <v>2523</v>
      </c>
      <c r="G21" s="69" t="s">
        <v>2459</v>
      </c>
      <c r="H21" s="69" t="s">
        <v>2524</v>
      </c>
      <c r="I21" s="69" t="s">
        <v>2525</v>
      </c>
      <c r="J21" s="67"/>
      <c r="K21" s="70" t="s">
        <v>2526</v>
      </c>
      <c r="L21" s="61"/>
      <c r="M21" s="67"/>
      <c r="N21" s="69" t="s">
        <v>2527</v>
      </c>
      <c r="O21" s="68">
        <v>5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23</v>
      </c>
      <c r="B22" s="61" t="s">
        <v>2418</v>
      </c>
      <c r="C22" s="62" t="s">
        <v>212</v>
      </c>
      <c r="D22" s="62" t="str">
        <f t="shared" si="0"/>
        <v>2308021</v>
      </c>
      <c r="E22" s="69" t="s">
        <v>2528</v>
      </c>
      <c r="F22" s="69" t="s">
        <v>2529</v>
      </c>
      <c r="G22" s="69" t="s">
        <v>2459</v>
      </c>
      <c r="H22" s="69" t="s">
        <v>2530</v>
      </c>
      <c r="I22" s="69" t="s">
        <v>2531</v>
      </c>
      <c r="J22" s="67" t="s">
        <v>2532</v>
      </c>
      <c r="K22" s="70" t="s">
        <v>2533</v>
      </c>
      <c r="L22" s="61">
        <v>85850813575</v>
      </c>
      <c r="M22" s="67"/>
      <c r="N22" s="67" t="s">
        <v>2534</v>
      </c>
      <c r="O22" s="61">
        <v>5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23</v>
      </c>
      <c r="B23" s="61" t="s">
        <v>2418</v>
      </c>
      <c r="C23" s="62" t="s">
        <v>219</v>
      </c>
      <c r="D23" s="62" t="str">
        <f t="shared" si="0"/>
        <v>2308022</v>
      </c>
      <c r="E23" s="69" t="s">
        <v>2535</v>
      </c>
      <c r="F23" s="69" t="s">
        <v>2536</v>
      </c>
      <c r="G23" s="69" t="s">
        <v>2459</v>
      </c>
      <c r="H23" s="69" t="s">
        <v>2537</v>
      </c>
      <c r="I23" s="69" t="s">
        <v>2538</v>
      </c>
      <c r="J23" s="67"/>
      <c r="K23" s="70" t="s">
        <v>2539</v>
      </c>
      <c r="L23" s="61"/>
      <c r="M23" s="67"/>
      <c r="N23" s="69" t="s">
        <v>2540</v>
      </c>
      <c r="O23" s="68">
        <v>2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24</v>
      </c>
      <c r="B24" s="61" t="s">
        <v>2418</v>
      </c>
      <c r="C24" s="62" t="s">
        <v>226</v>
      </c>
      <c r="D24" s="62" t="str">
        <f t="shared" si="0"/>
        <v>2408023</v>
      </c>
      <c r="E24" s="67" t="s">
        <v>2541</v>
      </c>
      <c r="F24" s="67" t="s">
        <v>2542</v>
      </c>
      <c r="G24" s="67" t="s">
        <v>2459</v>
      </c>
      <c r="H24" s="67" t="s">
        <v>2543</v>
      </c>
      <c r="I24" s="67" t="s">
        <v>2544</v>
      </c>
      <c r="J24" s="67"/>
      <c r="K24" s="61">
        <v>89503941548</v>
      </c>
      <c r="L24" s="71"/>
      <c r="M24" s="155"/>
      <c r="N24" s="67" t="s">
        <v>2545</v>
      </c>
      <c r="O24" s="61">
        <v>5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24</v>
      </c>
      <c r="B25" s="61" t="s">
        <v>2418</v>
      </c>
      <c r="C25" s="62" t="s">
        <v>234</v>
      </c>
      <c r="D25" s="62" t="str">
        <f t="shared" si="0"/>
        <v>2408024</v>
      </c>
      <c r="E25" s="67" t="s">
        <v>2546</v>
      </c>
      <c r="F25" s="67" t="s">
        <v>2547</v>
      </c>
      <c r="G25" s="67" t="s">
        <v>2459</v>
      </c>
      <c r="H25" s="67" t="s">
        <v>2548</v>
      </c>
      <c r="I25" s="67" t="s">
        <v>2549</v>
      </c>
      <c r="J25" s="67"/>
      <c r="K25" s="61">
        <v>82231054620</v>
      </c>
      <c r="L25" s="61"/>
      <c r="M25" s="67"/>
      <c r="N25" s="67" t="s">
        <v>2550</v>
      </c>
      <c r="O25" s="61">
        <v>10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24</v>
      </c>
      <c r="B26" s="61" t="s">
        <v>2418</v>
      </c>
      <c r="C26" s="62" t="s">
        <v>240</v>
      </c>
      <c r="D26" s="62" t="str">
        <f t="shared" si="0"/>
        <v>2408025</v>
      </c>
      <c r="E26" s="67" t="s">
        <v>2551</v>
      </c>
      <c r="F26" s="67" t="s">
        <v>2552</v>
      </c>
      <c r="G26" s="67" t="s">
        <v>2459</v>
      </c>
      <c r="H26" s="67" t="s">
        <v>2553</v>
      </c>
      <c r="I26" s="67" t="s">
        <v>2554</v>
      </c>
      <c r="J26" s="67"/>
      <c r="K26" s="61">
        <v>85854372681</v>
      </c>
      <c r="L26" s="61"/>
      <c r="M26" s="67"/>
      <c r="N26" s="67" t="s">
        <v>2555</v>
      </c>
      <c r="O26" s="61">
        <v>7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24</v>
      </c>
      <c r="B27" s="61" t="s">
        <v>2418</v>
      </c>
      <c r="C27" s="62" t="s">
        <v>246</v>
      </c>
      <c r="D27" s="62" t="str">
        <f t="shared" si="0"/>
        <v>2408026</v>
      </c>
      <c r="E27" s="67" t="s">
        <v>2556</v>
      </c>
      <c r="F27" s="67" t="s">
        <v>2557</v>
      </c>
      <c r="G27" s="67" t="s">
        <v>2459</v>
      </c>
      <c r="H27" s="67" t="s">
        <v>2558</v>
      </c>
      <c r="I27" s="67" t="s">
        <v>2559</v>
      </c>
      <c r="J27" s="67"/>
      <c r="K27" s="61">
        <v>89676041462</v>
      </c>
      <c r="L27" s="61"/>
      <c r="M27" s="67"/>
      <c r="N27" s="67"/>
      <c r="O27" s="61">
        <v>3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24</v>
      </c>
      <c r="B28" s="61" t="s">
        <v>2418</v>
      </c>
      <c r="C28" s="62" t="s">
        <v>251</v>
      </c>
      <c r="D28" s="62" t="str">
        <f t="shared" si="0"/>
        <v>2408027</v>
      </c>
      <c r="E28" s="75" t="s">
        <v>2560</v>
      </c>
      <c r="F28" s="75" t="s">
        <v>2561</v>
      </c>
      <c r="G28" s="67" t="s">
        <v>2459</v>
      </c>
      <c r="H28" s="75" t="s">
        <v>2562</v>
      </c>
      <c r="I28" s="75" t="s">
        <v>2563</v>
      </c>
      <c r="J28" s="67"/>
      <c r="K28" s="93" t="s">
        <v>2564</v>
      </c>
      <c r="L28" s="61"/>
      <c r="M28" s="67"/>
      <c r="N28" s="75" t="s">
        <v>2561</v>
      </c>
      <c r="O28" s="76">
        <v>10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24</v>
      </c>
      <c r="B29" s="61" t="s">
        <v>2418</v>
      </c>
      <c r="C29" s="62" t="s">
        <v>256</v>
      </c>
      <c r="D29" s="62" t="str">
        <f t="shared" si="0"/>
        <v>2408028</v>
      </c>
      <c r="E29" s="75" t="s">
        <v>2565</v>
      </c>
      <c r="F29" s="75" t="s">
        <v>2566</v>
      </c>
      <c r="G29" s="67" t="s">
        <v>2459</v>
      </c>
      <c r="H29" s="75" t="s">
        <v>2567</v>
      </c>
      <c r="I29" s="75" t="s">
        <v>2568</v>
      </c>
      <c r="J29" s="67"/>
      <c r="K29" s="76">
        <v>82231052365</v>
      </c>
      <c r="L29" s="61"/>
      <c r="M29" s="67"/>
      <c r="N29" s="75" t="s">
        <v>2569</v>
      </c>
      <c r="O29" s="76">
        <v>10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24</v>
      </c>
      <c r="B30" s="61" t="s">
        <v>2418</v>
      </c>
      <c r="C30" s="62" t="s">
        <v>261</v>
      </c>
      <c r="D30" s="62" t="str">
        <f t="shared" si="0"/>
        <v>2408029</v>
      </c>
      <c r="E30" s="75" t="s">
        <v>2570</v>
      </c>
      <c r="F30" s="75" t="s">
        <v>2571</v>
      </c>
      <c r="G30" s="67" t="s">
        <v>2459</v>
      </c>
      <c r="H30" s="75" t="s">
        <v>2572</v>
      </c>
      <c r="I30" s="75" t="s">
        <v>2573</v>
      </c>
      <c r="J30" s="75" t="s">
        <v>2574</v>
      </c>
      <c r="K30" s="76">
        <v>85604610759</v>
      </c>
      <c r="L30" s="76" t="s">
        <v>2575</v>
      </c>
      <c r="M30" s="67"/>
      <c r="N30" s="75" t="s">
        <v>2576</v>
      </c>
      <c r="O30" s="76">
        <v>7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24</v>
      </c>
      <c r="B31" s="61" t="s">
        <v>2418</v>
      </c>
      <c r="C31" s="62" t="s">
        <v>266</v>
      </c>
      <c r="D31" s="62" t="str">
        <f t="shared" si="0"/>
        <v>2408030</v>
      </c>
      <c r="E31" s="75" t="s">
        <v>2577</v>
      </c>
      <c r="F31" s="75" t="s">
        <v>2578</v>
      </c>
      <c r="G31" s="67" t="s">
        <v>2459</v>
      </c>
      <c r="H31" s="75" t="s">
        <v>2579</v>
      </c>
      <c r="I31" s="75" t="s">
        <v>2580</v>
      </c>
      <c r="J31" s="67"/>
      <c r="K31" s="76" t="s">
        <v>2581</v>
      </c>
      <c r="L31" s="61"/>
      <c r="M31" s="67"/>
      <c r="N31" s="75" t="s">
        <v>2582</v>
      </c>
      <c r="O31" s="76">
        <v>4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24</v>
      </c>
      <c r="B32" s="61" t="s">
        <v>2418</v>
      </c>
      <c r="C32" s="62" t="s">
        <v>272</v>
      </c>
      <c r="D32" s="62" t="str">
        <f t="shared" si="0"/>
        <v>2408031</v>
      </c>
      <c r="E32" s="75" t="s">
        <v>2583</v>
      </c>
      <c r="F32" s="75" t="s">
        <v>2492</v>
      </c>
      <c r="G32" s="67" t="s">
        <v>2459</v>
      </c>
      <c r="H32" s="75" t="s">
        <v>2584</v>
      </c>
      <c r="I32" s="75" t="s">
        <v>2585</v>
      </c>
      <c r="J32" s="67"/>
      <c r="K32" s="76">
        <v>8568808081</v>
      </c>
      <c r="L32" s="61"/>
      <c r="M32" s="67"/>
      <c r="N32" s="75" t="s">
        <v>2586</v>
      </c>
      <c r="O32" s="76">
        <v>2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24</v>
      </c>
      <c r="B33" s="61" t="s">
        <v>2418</v>
      </c>
      <c r="C33" s="62" t="s">
        <v>278</v>
      </c>
      <c r="D33" s="62" t="str">
        <f t="shared" si="0"/>
        <v>2408032</v>
      </c>
      <c r="E33" s="75" t="s">
        <v>2587</v>
      </c>
      <c r="F33" s="75" t="s">
        <v>2588</v>
      </c>
      <c r="G33" s="67" t="s">
        <v>2459</v>
      </c>
      <c r="H33" s="75" t="s">
        <v>2589</v>
      </c>
      <c r="I33" s="75" t="s">
        <v>2590</v>
      </c>
      <c r="J33" s="67"/>
      <c r="K33" s="76">
        <v>85857582512</v>
      </c>
      <c r="L33" s="61"/>
      <c r="M33" s="67"/>
      <c r="N33" s="75" t="s">
        <v>2591</v>
      </c>
      <c r="O33" s="76">
        <v>2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24</v>
      </c>
      <c r="B34" s="61" t="s">
        <v>2418</v>
      </c>
      <c r="C34" s="62" t="s">
        <v>284</v>
      </c>
      <c r="D34" s="62" t="str">
        <f t="shared" si="0"/>
        <v>2408033</v>
      </c>
      <c r="E34" s="75" t="s">
        <v>2592</v>
      </c>
      <c r="F34" s="75" t="s">
        <v>2593</v>
      </c>
      <c r="G34" s="67" t="s">
        <v>2459</v>
      </c>
      <c r="H34" s="75" t="s">
        <v>2594</v>
      </c>
      <c r="I34" s="75" t="s">
        <v>2595</v>
      </c>
      <c r="J34" s="67"/>
      <c r="K34" s="76">
        <v>89530380074</v>
      </c>
      <c r="L34" s="61"/>
      <c r="M34" s="67"/>
      <c r="N34" s="75" t="s">
        <v>2596</v>
      </c>
      <c r="O34" s="76">
        <v>8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61">
        <v>24</v>
      </c>
      <c r="B35" s="61" t="s">
        <v>2418</v>
      </c>
      <c r="C35" s="62" t="s">
        <v>290</v>
      </c>
      <c r="D35" s="62" t="str">
        <f t="shared" si="0"/>
        <v>2408034</v>
      </c>
      <c r="E35" s="75" t="s">
        <v>2597</v>
      </c>
      <c r="F35" s="75" t="s">
        <v>2598</v>
      </c>
      <c r="G35" s="67" t="s">
        <v>2459</v>
      </c>
      <c r="H35" s="75" t="s">
        <v>2599</v>
      </c>
      <c r="I35" s="75" t="s">
        <v>2600</v>
      </c>
      <c r="J35" s="67"/>
      <c r="K35" s="76">
        <v>881027535462</v>
      </c>
      <c r="L35" s="61"/>
      <c r="M35" s="67"/>
      <c r="N35" s="75" t="s">
        <v>2601</v>
      </c>
      <c r="O35" s="76">
        <v>2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61">
        <v>24</v>
      </c>
      <c r="B36" s="61" t="s">
        <v>2418</v>
      </c>
      <c r="C36" s="62" t="s">
        <v>296</v>
      </c>
      <c r="D36" s="62" t="str">
        <f t="shared" si="0"/>
        <v>2408035</v>
      </c>
      <c r="E36" s="75" t="s">
        <v>2602</v>
      </c>
      <c r="F36" s="75" t="s">
        <v>2603</v>
      </c>
      <c r="G36" s="67" t="s">
        <v>2459</v>
      </c>
      <c r="H36" s="75" t="s">
        <v>2604</v>
      </c>
      <c r="I36" s="75" t="s">
        <v>2605</v>
      </c>
      <c r="J36" s="67"/>
      <c r="K36" s="76">
        <v>81235530948</v>
      </c>
      <c r="L36" s="61"/>
      <c r="M36" s="67"/>
      <c r="N36" s="75" t="s">
        <v>2606</v>
      </c>
      <c r="O36" s="76">
        <v>3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61">
        <v>24</v>
      </c>
      <c r="B37" s="61" t="s">
        <v>2418</v>
      </c>
      <c r="C37" s="62" t="s">
        <v>301</v>
      </c>
      <c r="D37" s="62" t="str">
        <f t="shared" si="0"/>
        <v>2408036</v>
      </c>
      <c r="E37" s="54" t="s">
        <v>2607</v>
      </c>
      <c r="F37" s="54" t="s">
        <v>2608</v>
      </c>
      <c r="G37" s="54" t="s">
        <v>2459</v>
      </c>
      <c r="H37" s="54" t="s">
        <v>2609</v>
      </c>
      <c r="I37" s="54" t="s">
        <v>2610</v>
      </c>
      <c r="J37" s="54"/>
      <c r="K37" s="93" t="s">
        <v>2611</v>
      </c>
      <c r="L37" s="96"/>
      <c r="M37" s="54"/>
      <c r="N37" s="54" t="s">
        <v>2612</v>
      </c>
      <c r="O37" s="96">
        <v>2</v>
      </c>
      <c r="R37" s="43"/>
      <c r="T37" s="44"/>
      <c r="U37" s="43"/>
      <c r="V37" s="43"/>
      <c r="W37" s="43"/>
      <c r="X37" s="43"/>
      <c r="Y37" s="43"/>
      <c r="Z37" s="43"/>
      <c r="AA37" s="43"/>
    </row>
    <row r="38" spans="1:27" ht="15.75" customHeight="1" x14ac:dyDescent="0.2">
      <c r="A38" s="61">
        <v>24</v>
      </c>
      <c r="B38" s="61" t="s">
        <v>2418</v>
      </c>
      <c r="C38" s="62" t="s">
        <v>308</v>
      </c>
      <c r="D38" s="62" t="str">
        <f t="shared" si="0"/>
        <v>2408037</v>
      </c>
      <c r="E38" s="54" t="s">
        <v>2613</v>
      </c>
      <c r="F38" s="54" t="s">
        <v>2614</v>
      </c>
      <c r="G38" s="54" t="s">
        <v>2459</v>
      </c>
      <c r="H38" s="54" t="s">
        <v>2615</v>
      </c>
      <c r="I38" s="54" t="s">
        <v>2616</v>
      </c>
      <c r="J38" s="54"/>
      <c r="K38" s="93" t="s">
        <v>2617</v>
      </c>
      <c r="L38" s="96"/>
      <c r="M38" s="154"/>
      <c r="N38" s="54" t="s">
        <v>2618</v>
      </c>
      <c r="O38" s="96">
        <v>6</v>
      </c>
      <c r="R38" s="43"/>
      <c r="T38" s="44"/>
      <c r="V38" s="43"/>
      <c r="W38" s="43"/>
      <c r="X38" s="43"/>
      <c r="Y38" s="43"/>
      <c r="Z38" s="43"/>
      <c r="AA38" s="43"/>
    </row>
    <row r="39" spans="1:27" ht="15.75" customHeight="1" x14ac:dyDescent="0.2">
      <c r="A39" s="61">
        <v>25</v>
      </c>
      <c r="B39" s="61" t="s">
        <v>2418</v>
      </c>
      <c r="C39" s="62" t="s">
        <v>314</v>
      </c>
      <c r="D39" s="62" t="str">
        <f t="shared" si="0"/>
        <v>2508038</v>
      </c>
      <c r="E39" s="54" t="s">
        <v>2619</v>
      </c>
      <c r="F39" s="54" t="s">
        <v>2620</v>
      </c>
      <c r="G39" s="54" t="s">
        <v>2459</v>
      </c>
      <c r="H39" s="54" t="s">
        <v>2621</v>
      </c>
      <c r="I39" s="54" t="s">
        <v>2622</v>
      </c>
      <c r="J39" s="54"/>
      <c r="K39" s="93" t="s">
        <v>2623</v>
      </c>
      <c r="L39" s="54"/>
      <c r="M39" s="154"/>
      <c r="N39" s="54" t="s">
        <v>2624</v>
      </c>
      <c r="O39" s="96">
        <v>10</v>
      </c>
      <c r="R39" s="43"/>
      <c r="T39" s="43"/>
      <c r="V39" s="43"/>
      <c r="W39" s="43"/>
      <c r="X39" s="43"/>
      <c r="Y39" s="43"/>
      <c r="Z39" s="43"/>
      <c r="AA39" s="43"/>
    </row>
    <row r="40" spans="1:27" ht="15.75" customHeight="1" x14ac:dyDescent="0.2">
      <c r="A40" s="156">
        <v>25</v>
      </c>
      <c r="B40" s="156" t="s">
        <v>2418</v>
      </c>
      <c r="C40" s="157" t="s">
        <v>320</v>
      </c>
      <c r="D40" s="157" t="str">
        <f t="shared" si="0"/>
        <v>2508039</v>
      </c>
      <c r="E40" s="158" t="s">
        <v>2625</v>
      </c>
      <c r="F40" s="158" t="s">
        <v>2626</v>
      </c>
      <c r="G40" s="158" t="s">
        <v>2459</v>
      </c>
      <c r="H40" s="158" t="s">
        <v>2627</v>
      </c>
      <c r="I40" s="158" t="s">
        <v>2628</v>
      </c>
      <c r="J40" s="158"/>
      <c r="K40" s="159" t="s">
        <v>2629</v>
      </c>
      <c r="L40" s="158"/>
      <c r="M40" s="158"/>
      <c r="N40" s="158"/>
      <c r="O40" s="160">
        <v>3</v>
      </c>
      <c r="R40" s="43"/>
      <c r="T40" s="44"/>
      <c r="U40" s="43"/>
      <c r="V40" s="23"/>
      <c r="W40" s="23"/>
      <c r="X40" s="23"/>
      <c r="Y40" s="23"/>
      <c r="Z40" s="23"/>
      <c r="AA40" s="23"/>
    </row>
    <row r="41" spans="1:27" ht="15.75" customHeight="1" x14ac:dyDescent="0.2">
      <c r="A41" s="61">
        <v>25</v>
      </c>
      <c r="B41" s="61" t="s">
        <v>2418</v>
      </c>
      <c r="C41" s="62" t="s">
        <v>326</v>
      </c>
      <c r="D41" s="62" t="str">
        <f t="shared" si="0"/>
        <v>2508040</v>
      </c>
      <c r="E41" s="54" t="s">
        <v>2630</v>
      </c>
      <c r="F41" s="54" t="s">
        <v>2631</v>
      </c>
      <c r="G41" s="54" t="s">
        <v>2459</v>
      </c>
      <c r="H41" s="54" t="s">
        <v>2476</v>
      </c>
      <c r="I41" s="54" t="s">
        <v>2632</v>
      </c>
      <c r="J41" s="54"/>
      <c r="K41" s="93" t="s">
        <v>2633</v>
      </c>
      <c r="L41" s="54"/>
      <c r="M41" s="154"/>
      <c r="N41" s="54" t="s">
        <v>2634</v>
      </c>
      <c r="O41" s="96">
        <v>7</v>
      </c>
      <c r="R41" s="43"/>
      <c r="T41" s="44"/>
      <c r="V41" s="23"/>
      <c r="W41" s="23"/>
      <c r="X41" s="23"/>
      <c r="Y41" s="23"/>
      <c r="Z41" s="23"/>
      <c r="AA41" s="23"/>
    </row>
    <row r="42" spans="1:27" ht="15.75" customHeight="1" x14ac:dyDescent="0.2">
      <c r="A42" s="61">
        <v>25</v>
      </c>
      <c r="B42" s="61" t="s">
        <v>2418</v>
      </c>
      <c r="C42" s="62" t="s">
        <v>332</v>
      </c>
      <c r="D42" s="62" t="str">
        <f t="shared" si="0"/>
        <v>2508041</v>
      </c>
      <c r="E42" s="43" t="s">
        <v>2635</v>
      </c>
      <c r="F42" s="43" t="s">
        <v>2636</v>
      </c>
      <c r="G42" s="43" t="s">
        <v>2459</v>
      </c>
      <c r="H42" s="43" t="s">
        <v>2637</v>
      </c>
      <c r="I42" s="43" t="s">
        <v>2638</v>
      </c>
      <c r="J42" s="43"/>
      <c r="K42" s="43" t="s">
        <v>2639</v>
      </c>
      <c r="L42" s="43"/>
      <c r="M42" s="43"/>
      <c r="N42" s="43"/>
      <c r="O42" s="43"/>
      <c r="P42" s="43" t="s">
        <v>2640</v>
      </c>
      <c r="Q42" s="43" t="s">
        <v>2641</v>
      </c>
      <c r="R42" s="43" t="s">
        <v>2642</v>
      </c>
      <c r="S42" s="55" t="s">
        <v>2643</v>
      </c>
      <c r="T42" s="55" t="s">
        <v>2643</v>
      </c>
      <c r="U42" s="43"/>
      <c r="V42" s="43"/>
      <c r="W42" s="43"/>
      <c r="X42" s="43"/>
      <c r="Y42" s="43"/>
      <c r="Z42" s="43"/>
      <c r="AA42" s="43"/>
    </row>
    <row r="43" spans="1:27" ht="15.75" customHeight="1" x14ac:dyDescent="0.2">
      <c r="A43" s="61">
        <v>25</v>
      </c>
      <c r="B43" s="61" t="s">
        <v>2418</v>
      </c>
      <c r="C43" s="62" t="s">
        <v>338</v>
      </c>
      <c r="D43" s="62" t="str">
        <f t="shared" si="0"/>
        <v>2508042</v>
      </c>
      <c r="E43" s="43" t="s">
        <v>2644</v>
      </c>
      <c r="F43" s="43" t="s">
        <v>2645</v>
      </c>
      <c r="G43" s="43" t="s">
        <v>2459</v>
      </c>
      <c r="H43" s="43" t="s">
        <v>2646</v>
      </c>
      <c r="I43" s="43" t="s">
        <v>2647</v>
      </c>
      <c r="J43" s="43" t="s">
        <v>2648</v>
      </c>
      <c r="K43" s="43" t="s">
        <v>2649</v>
      </c>
      <c r="L43" s="43" t="s">
        <v>2650</v>
      </c>
      <c r="M43" s="43" t="s">
        <v>2650</v>
      </c>
      <c r="N43" s="43" t="s">
        <v>2650</v>
      </c>
      <c r="O43" s="43" t="s">
        <v>2650</v>
      </c>
      <c r="P43" s="44">
        <v>5</v>
      </c>
      <c r="Q43" s="43" t="s">
        <v>2651</v>
      </c>
      <c r="R43" s="43" t="s">
        <v>2652</v>
      </c>
      <c r="S43" s="55" t="s">
        <v>2653</v>
      </c>
      <c r="T43" s="55" t="s">
        <v>2653</v>
      </c>
      <c r="U43" s="43" t="s">
        <v>2654</v>
      </c>
      <c r="V43" s="43"/>
      <c r="W43" s="43"/>
      <c r="X43" s="43"/>
      <c r="Y43" s="43"/>
      <c r="Z43" s="43"/>
      <c r="AA43" s="43"/>
    </row>
    <row r="44" spans="1:27" ht="15.75" customHeight="1" x14ac:dyDescent="0.2">
      <c r="A44" s="61">
        <v>25</v>
      </c>
      <c r="B44" s="61" t="s">
        <v>2418</v>
      </c>
      <c r="C44" s="62" t="s">
        <v>344</v>
      </c>
      <c r="D44" s="62" t="str">
        <f t="shared" si="0"/>
        <v>2508043</v>
      </c>
      <c r="E44" s="43" t="s">
        <v>2655</v>
      </c>
      <c r="F44" s="43" t="s">
        <v>2656</v>
      </c>
      <c r="G44" s="43" t="s">
        <v>2459</v>
      </c>
      <c r="H44" s="43" t="s">
        <v>2657</v>
      </c>
      <c r="I44" s="43" t="s">
        <v>2658</v>
      </c>
      <c r="J44" s="43" t="s">
        <v>2658</v>
      </c>
      <c r="K44" s="43" t="s">
        <v>2658</v>
      </c>
      <c r="L44" s="43"/>
      <c r="M44" s="43"/>
      <c r="N44" s="43"/>
      <c r="O44" s="43"/>
      <c r="P44" s="44">
        <v>15</v>
      </c>
      <c r="Q44" s="43" t="s">
        <v>1735</v>
      </c>
      <c r="R44" s="43" t="s">
        <v>2659</v>
      </c>
      <c r="S44" s="55" t="s">
        <v>2660</v>
      </c>
      <c r="T44" s="55" t="s">
        <v>2660</v>
      </c>
      <c r="U44" s="43" t="s">
        <v>2661</v>
      </c>
      <c r="V44" s="43"/>
      <c r="W44" s="43"/>
      <c r="X44" s="43"/>
      <c r="Y44" s="43"/>
      <c r="Z44" s="43"/>
      <c r="AA44" s="43"/>
    </row>
    <row r="45" spans="1:27" ht="15.75" customHeight="1" x14ac:dyDescent="0.2">
      <c r="A45" s="61">
        <v>25</v>
      </c>
      <c r="B45" s="61" t="s">
        <v>2418</v>
      </c>
      <c r="C45" s="62" t="s">
        <v>350</v>
      </c>
      <c r="D45" s="62" t="str">
        <f t="shared" si="0"/>
        <v>2508044</v>
      </c>
      <c r="E45" s="43" t="s">
        <v>2662</v>
      </c>
      <c r="F45" s="43" t="s">
        <v>2663</v>
      </c>
      <c r="G45" s="43" t="s">
        <v>2459</v>
      </c>
      <c r="H45" s="43" t="s">
        <v>2664</v>
      </c>
      <c r="I45" s="43" t="s">
        <v>2665</v>
      </c>
      <c r="J45" s="43" t="s">
        <v>2666</v>
      </c>
      <c r="K45" s="43" t="s">
        <v>2667</v>
      </c>
      <c r="L45" s="43" t="s">
        <v>663</v>
      </c>
      <c r="M45" s="43" t="s">
        <v>663</v>
      </c>
      <c r="N45" s="43" t="s">
        <v>2668</v>
      </c>
      <c r="O45" s="43" t="s">
        <v>663</v>
      </c>
      <c r="P45" s="43" t="s">
        <v>2669</v>
      </c>
      <c r="Q45" s="43" t="s">
        <v>2670</v>
      </c>
      <c r="R45" s="43" t="s">
        <v>663</v>
      </c>
      <c r="S45" s="43" t="s">
        <v>2671</v>
      </c>
      <c r="T45" s="43" t="s">
        <v>663</v>
      </c>
      <c r="U45" s="43" t="s">
        <v>2672</v>
      </c>
      <c r="V45" s="43"/>
      <c r="W45" s="43"/>
      <c r="X45" s="43"/>
      <c r="Y45" s="43"/>
      <c r="Z45" s="43"/>
      <c r="AA45" s="43"/>
    </row>
    <row r="46" spans="1:27" ht="15.75" customHeight="1" x14ac:dyDescent="0.2">
      <c r="A46" s="61">
        <v>25</v>
      </c>
      <c r="B46" s="61" t="s">
        <v>2418</v>
      </c>
      <c r="C46" s="62" t="s">
        <v>356</v>
      </c>
      <c r="D46" s="62" t="str">
        <f t="shared" si="0"/>
        <v>2508045</v>
      </c>
      <c r="E46" s="43" t="s">
        <v>2673</v>
      </c>
      <c r="F46" s="43" t="s">
        <v>2674</v>
      </c>
      <c r="G46" s="43" t="s">
        <v>2459</v>
      </c>
      <c r="H46" s="43" t="s">
        <v>2675</v>
      </c>
      <c r="I46" s="43" t="s">
        <v>2676</v>
      </c>
      <c r="J46" s="43" t="s">
        <v>663</v>
      </c>
      <c r="K46" s="43" t="s">
        <v>2677</v>
      </c>
      <c r="L46" s="43" t="s">
        <v>663</v>
      </c>
      <c r="M46" s="43" t="s">
        <v>663</v>
      </c>
      <c r="N46" s="43" t="s">
        <v>2678</v>
      </c>
      <c r="O46" s="43" t="s">
        <v>663</v>
      </c>
      <c r="P46" s="44">
        <v>1</v>
      </c>
      <c r="Q46" s="43" t="s">
        <v>2673</v>
      </c>
      <c r="R46" s="43" t="s">
        <v>2679</v>
      </c>
      <c r="S46" s="55" t="s">
        <v>2680</v>
      </c>
      <c r="T46" s="44">
        <v>0</v>
      </c>
      <c r="U46" s="43" t="s">
        <v>2681</v>
      </c>
      <c r="V46" s="43"/>
      <c r="W46" s="43"/>
      <c r="X46" s="43"/>
      <c r="Y46" s="43"/>
      <c r="Z46" s="43"/>
      <c r="AA46" s="43"/>
    </row>
    <row r="47" spans="1:27" ht="15.75" customHeight="1" x14ac:dyDescent="0.15">
      <c r="A47" s="56"/>
      <c r="B47" s="56"/>
      <c r="C47" s="23"/>
      <c r="D47" s="23"/>
      <c r="E47" s="23"/>
      <c r="F47" s="23"/>
      <c r="G47" s="23"/>
      <c r="H47" s="23"/>
      <c r="I47" s="23"/>
      <c r="J47" s="23"/>
      <c r="K47" s="56"/>
      <c r="L47" s="56"/>
      <c r="M47" s="23"/>
      <c r="N47" s="23"/>
      <c r="O47" s="56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15">
      <c r="A48" s="56"/>
      <c r="B48" s="56"/>
      <c r="C48" s="23"/>
      <c r="D48" s="23"/>
      <c r="E48" s="23"/>
      <c r="F48" s="23"/>
      <c r="G48" s="23"/>
      <c r="H48" s="23"/>
      <c r="I48" s="23"/>
      <c r="J48" s="23"/>
      <c r="K48" s="56"/>
      <c r="L48" s="56"/>
      <c r="M48" s="23"/>
      <c r="N48" s="23"/>
      <c r="O48" s="5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15">
      <c r="A49" s="56"/>
      <c r="B49" s="56"/>
      <c r="C49" s="23"/>
      <c r="D49" s="23"/>
      <c r="E49" s="23"/>
      <c r="F49" s="23"/>
      <c r="G49" s="23"/>
      <c r="H49" s="23"/>
      <c r="I49" s="23"/>
      <c r="J49" s="23"/>
      <c r="K49" s="56"/>
      <c r="L49" s="56"/>
      <c r="M49" s="23"/>
      <c r="N49" s="23"/>
      <c r="O49" s="56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15">
      <c r="A50" s="56"/>
      <c r="B50" s="56"/>
      <c r="C50" s="23"/>
      <c r="D50" s="23"/>
      <c r="E50" s="23"/>
      <c r="F50" s="23"/>
      <c r="G50" s="23"/>
      <c r="H50" s="23"/>
      <c r="I50" s="23"/>
      <c r="J50" s="23"/>
      <c r="K50" s="56"/>
      <c r="L50" s="56"/>
      <c r="M50" s="23"/>
      <c r="N50" s="23"/>
      <c r="O50" s="56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15">
      <c r="A51" s="56"/>
      <c r="B51" s="56"/>
      <c r="C51" s="23"/>
      <c r="D51" s="23"/>
      <c r="E51" s="23"/>
      <c r="F51" s="23"/>
      <c r="G51" s="23"/>
      <c r="H51" s="23"/>
      <c r="I51" s="23"/>
      <c r="J51" s="23"/>
      <c r="K51" s="56"/>
      <c r="L51" s="56"/>
      <c r="M51" s="23"/>
      <c r="N51" s="23"/>
      <c r="O51" s="56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15">
      <c r="A52" s="56"/>
      <c r="B52" s="56"/>
      <c r="C52" s="23"/>
      <c r="D52" s="23"/>
      <c r="E52" s="23"/>
      <c r="F52" s="23"/>
      <c r="G52" s="23"/>
      <c r="H52" s="23"/>
      <c r="I52" s="23"/>
      <c r="J52" s="23"/>
      <c r="K52" s="56"/>
      <c r="L52" s="56"/>
      <c r="M52" s="23"/>
      <c r="N52" s="23"/>
      <c r="O52" s="5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15">
      <c r="A53" s="56"/>
      <c r="B53" s="56"/>
      <c r="C53" s="23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3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3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3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3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3" x14ac:dyDescent="0.15">
      <c r="A236" s="79"/>
      <c r="B236" s="79"/>
      <c r="K236" s="79"/>
      <c r="L236" s="79"/>
      <c r="O236" s="79"/>
    </row>
    <row r="237" spans="1:27" ht="13" x14ac:dyDescent="0.15">
      <c r="A237" s="79"/>
      <c r="B237" s="79"/>
      <c r="K237" s="79"/>
      <c r="L237" s="79"/>
      <c r="O237" s="79"/>
    </row>
    <row r="238" spans="1:27" ht="13" x14ac:dyDescent="0.15">
      <c r="A238" s="79"/>
      <c r="B238" s="79"/>
      <c r="K238" s="79"/>
      <c r="L238" s="79"/>
      <c r="O238" s="79"/>
    </row>
    <row r="239" spans="1:27" ht="13" x14ac:dyDescent="0.15">
      <c r="A239" s="79"/>
      <c r="B239" s="79"/>
      <c r="K239" s="79"/>
      <c r="L239" s="79"/>
      <c r="O239" s="79"/>
    </row>
    <row r="240" spans="1:27" ht="13" x14ac:dyDescent="0.15">
      <c r="A240" s="79"/>
      <c r="B240" s="79"/>
      <c r="K240" s="79"/>
      <c r="L240" s="79"/>
      <c r="O240" s="79"/>
    </row>
    <row r="241" spans="1:15" ht="13" x14ac:dyDescent="0.15">
      <c r="A241" s="79"/>
      <c r="B241" s="79"/>
      <c r="K241" s="79"/>
      <c r="L241" s="79"/>
      <c r="O241" s="79"/>
    </row>
    <row r="242" spans="1:15" ht="13" x14ac:dyDescent="0.15">
      <c r="A242" s="79"/>
      <c r="B242" s="79"/>
      <c r="K242" s="79"/>
      <c r="L242" s="79"/>
      <c r="O242" s="79"/>
    </row>
    <row r="243" spans="1:15" ht="13" x14ac:dyDescent="0.15">
      <c r="A243" s="79"/>
      <c r="B243" s="79"/>
      <c r="K243" s="79"/>
      <c r="L243" s="79"/>
      <c r="O243" s="79"/>
    </row>
    <row r="244" spans="1:15" ht="13" x14ac:dyDescent="0.15">
      <c r="A244" s="79"/>
      <c r="B244" s="79"/>
      <c r="K244" s="79"/>
      <c r="L244" s="79"/>
      <c r="O244" s="79"/>
    </row>
    <row r="245" spans="1:15" ht="13" x14ac:dyDescent="0.15">
      <c r="A245" s="79"/>
      <c r="B245" s="79"/>
      <c r="K245" s="79"/>
      <c r="L245" s="79"/>
      <c r="O245" s="79"/>
    </row>
    <row r="246" spans="1:15" ht="13" x14ac:dyDescent="0.15">
      <c r="A246" s="79"/>
      <c r="B246" s="79"/>
      <c r="K246" s="79"/>
      <c r="L246" s="79"/>
      <c r="O246" s="79"/>
    </row>
    <row r="247" spans="1:15" ht="13" x14ac:dyDescent="0.15">
      <c r="A247" s="79"/>
      <c r="B247" s="79"/>
      <c r="K247" s="79"/>
      <c r="L247" s="79"/>
      <c r="O247" s="79"/>
    </row>
    <row r="248" spans="1:15" ht="13" x14ac:dyDescent="0.15">
      <c r="A248" s="79"/>
      <c r="B248" s="79"/>
      <c r="K248" s="79"/>
      <c r="L248" s="79"/>
      <c r="O248" s="79"/>
    </row>
    <row r="249" spans="1:15" ht="13" x14ac:dyDescent="0.15">
      <c r="A249" s="79"/>
      <c r="B249" s="79"/>
      <c r="K249" s="79"/>
      <c r="L249" s="79"/>
      <c r="O249" s="79"/>
    </row>
    <row r="250" spans="1:15" ht="13" x14ac:dyDescent="0.15">
      <c r="A250" s="79"/>
      <c r="B250" s="79"/>
      <c r="K250" s="79"/>
      <c r="L250" s="79"/>
      <c r="O250" s="79"/>
    </row>
    <row r="251" spans="1:15" ht="13" x14ac:dyDescent="0.15">
      <c r="A251" s="79"/>
      <c r="B251" s="79"/>
      <c r="K251" s="79"/>
      <c r="L251" s="79"/>
      <c r="O251" s="79"/>
    </row>
    <row r="252" spans="1:15" ht="13" x14ac:dyDescent="0.15">
      <c r="A252" s="79"/>
      <c r="B252" s="79"/>
      <c r="K252" s="79"/>
      <c r="L252" s="79"/>
      <c r="O252" s="79"/>
    </row>
    <row r="253" spans="1:15" ht="13" x14ac:dyDescent="0.15">
      <c r="A253" s="79"/>
      <c r="B253" s="79"/>
      <c r="K253" s="79"/>
      <c r="L253" s="79"/>
      <c r="O253" s="79"/>
    </row>
    <row r="254" spans="1:15" ht="13" x14ac:dyDescent="0.15">
      <c r="A254" s="79"/>
      <c r="B254" s="79"/>
      <c r="K254" s="79"/>
      <c r="L254" s="79"/>
      <c r="O254" s="79"/>
    </row>
    <row r="255" spans="1:15" ht="13" x14ac:dyDescent="0.15">
      <c r="A255" s="79"/>
      <c r="B255" s="79"/>
      <c r="K255" s="79"/>
      <c r="L255" s="79"/>
      <c r="O255" s="79"/>
    </row>
    <row r="256" spans="1:15" ht="13" x14ac:dyDescent="0.15">
      <c r="A256" s="79"/>
      <c r="B256" s="79"/>
      <c r="K256" s="79"/>
      <c r="L256" s="79"/>
      <c r="O256" s="79"/>
    </row>
    <row r="257" spans="1:15" ht="13" x14ac:dyDescent="0.15">
      <c r="A257" s="79"/>
      <c r="B257" s="79"/>
      <c r="K257" s="79"/>
      <c r="L257" s="79"/>
      <c r="O257" s="79"/>
    </row>
    <row r="258" spans="1:15" ht="13" x14ac:dyDescent="0.15">
      <c r="A258" s="79"/>
      <c r="B258" s="79"/>
      <c r="K258" s="79"/>
      <c r="L258" s="79"/>
      <c r="O258" s="79"/>
    </row>
    <row r="259" spans="1:15" ht="13" x14ac:dyDescent="0.15">
      <c r="A259" s="79"/>
      <c r="B259" s="79"/>
      <c r="K259" s="79"/>
      <c r="L259" s="79"/>
      <c r="O259" s="79"/>
    </row>
    <row r="260" spans="1:15" ht="13" x14ac:dyDescent="0.15">
      <c r="A260" s="79"/>
      <c r="B260" s="79"/>
      <c r="K260" s="79"/>
      <c r="L260" s="79"/>
      <c r="O260" s="79"/>
    </row>
    <row r="261" spans="1:15" ht="13" x14ac:dyDescent="0.15">
      <c r="A261" s="79"/>
      <c r="B261" s="79"/>
      <c r="K261" s="79"/>
      <c r="L261" s="79"/>
      <c r="O261" s="79"/>
    </row>
    <row r="262" spans="1:15" ht="13" x14ac:dyDescent="0.15">
      <c r="A262" s="79"/>
      <c r="B262" s="79"/>
      <c r="K262" s="79"/>
      <c r="L262" s="79"/>
      <c r="O262" s="79"/>
    </row>
    <row r="263" spans="1:15" ht="13" x14ac:dyDescent="0.15">
      <c r="A263" s="79"/>
      <c r="B263" s="79"/>
      <c r="K263" s="79"/>
      <c r="L263" s="79"/>
      <c r="O263" s="79"/>
    </row>
    <row r="264" spans="1:15" ht="13" x14ac:dyDescent="0.15">
      <c r="A264" s="79"/>
      <c r="B264" s="79"/>
      <c r="K264" s="79"/>
      <c r="L264" s="79"/>
      <c r="O264" s="79"/>
    </row>
    <row r="265" spans="1:15" ht="13" x14ac:dyDescent="0.15">
      <c r="A265" s="79"/>
      <c r="B265" s="79"/>
      <c r="K265" s="79"/>
      <c r="L265" s="79"/>
      <c r="O265" s="79"/>
    </row>
    <row r="266" spans="1:15" ht="13" x14ac:dyDescent="0.15">
      <c r="A266" s="79"/>
      <c r="B266" s="79"/>
      <c r="K266" s="79"/>
      <c r="L266" s="79"/>
      <c r="O266" s="79"/>
    </row>
    <row r="267" spans="1:15" ht="13" x14ac:dyDescent="0.15">
      <c r="A267" s="79"/>
      <c r="B267" s="79"/>
      <c r="K267" s="79"/>
      <c r="L267" s="79"/>
      <c r="O267" s="79"/>
    </row>
    <row r="268" spans="1:15" ht="13" x14ac:dyDescent="0.15">
      <c r="A268" s="79"/>
      <c r="B268" s="79"/>
      <c r="K268" s="79"/>
      <c r="L268" s="79"/>
      <c r="O268" s="79"/>
    </row>
    <row r="269" spans="1:15" ht="13" x14ac:dyDescent="0.15">
      <c r="A269" s="79"/>
      <c r="B269" s="79"/>
      <c r="K269" s="79"/>
      <c r="L269" s="79"/>
      <c r="O269" s="79"/>
    </row>
    <row r="270" spans="1:15" ht="13" x14ac:dyDescent="0.15">
      <c r="A270" s="79"/>
      <c r="B270" s="79"/>
      <c r="K270" s="79"/>
      <c r="L270" s="79"/>
      <c r="O270" s="79"/>
    </row>
    <row r="271" spans="1:15" ht="13" x14ac:dyDescent="0.15">
      <c r="A271" s="79"/>
      <c r="B271" s="79"/>
      <c r="K271" s="79"/>
      <c r="L271" s="79"/>
      <c r="O271" s="79"/>
    </row>
    <row r="272" spans="1:15" ht="13" x14ac:dyDescent="0.15">
      <c r="A272" s="79"/>
      <c r="B272" s="79"/>
      <c r="K272" s="79"/>
      <c r="L272" s="79"/>
      <c r="O272" s="79"/>
    </row>
    <row r="273" spans="1:15" ht="13" x14ac:dyDescent="0.15">
      <c r="A273" s="79"/>
      <c r="B273" s="79"/>
      <c r="K273" s="79"/>
      <c r="L273" s="79"/>
      <c r="O273" s="79"/>
    </row>
    <row r="274" spans="1:15" ht="13" x14ac:dyDescent="0.15">
      <c r="A274" s="79"/>
      <c r="B274" s="79"/>
      <c r="K274" s="79"/>
      <c r="L274" s="79"/>
      <c r="O274" s="79"/>
    </row>
    <row r="275" spans="1:15" ht="13" x14ac:dyDescent="0.15">
      <c r="A275" s="79"/>
      <c r="B275" s="79"/>
      <c r="K275" s="79"/>
      <c r="L275" s="79"/>
      <c r="O275" s="79"/>
    </row>
    <row r="276" spans="1:15" ht="13" x14ac:dyDescent="0.15">
      <c r="A276" s="79"/>
      <c r="B276" s="79"/>
      <c r="K276" s="79"/>
      <c r="L276" s="79"/>
      <c r="O276" s="79"/>
    </row>
    <row r="277" spans="1:15" ht="13" x14ac:dyDescent="0.15">
      <c r="A277" s="79"/>
      <c r="B277" s="79"/>
      <c r="K277" s="79"/>
      <c r="L277" s="79"/>
      <c r="O277" s="79"/>
    </row>
    <row r="278" spans="1:15" ht="13" x14ac:dyDescent="0.15">
      <c r="A278" s="79"/>
      <c r="B278" s="79"/>
      <c r="K278" s="79"/>
      <c r="L278" s="79"/>
      <c r="O278" s="79"/>
    </row>
    <row r="279" spans="1:15" ht="13" x14ac:dyDescent="0.15">
      <c r="A279" s="79"/>
      <c r="B279" s="79"/>
      <c r="K279" s="79"/>
      <c r="L279" s="79"/>
      <c r="O279" s="79"/>
    </row>
    <row r="280" spans="1:15" ht="13" x14ac:dyDescent="0.15">
      <c r="A280" s="79"/>
      <c r="B280" s="79"/>
      <c r="K280" s="79"/>
      <c r="L280" s="79"/>
      <c r="O280" s="79"/>
    </row>
    <row r="281" spans="1:15" ht="13" x14ac:dyDescent="0.15">
      <c r="A281" s="79"/>
      <c r="B281" s="79"/>
      <c r="K281" s="79"/>
      <c r="L281" s="79"/>
      <c r="O281" s="79"/>
    </row>
    <row r="282" spans="1:15" ht="13" x14ac:dyDescent="0.15">
      <c r="A282" s="79"/>
      <c r="B282" s="79"/>
      <c r="K282" s="79"/>
      <c r="L282" s="79"/>
      <c r="O282" s="79"/>
    </row>
    <row r="283" spans="1:15" ht="13" x14ac:dyDescent="0.15">
      <c r="A283" s="79"/>
      <c r="B283" s="79"/>
      <c r="K283" s="79"/>
      <c r="L283" s="79"/>
      <c r="O283" s="79"/>
    </row>
    <row r="284" spans="1:15" ht="13" x14ac:dyDescent="0.15">
      <c r="A284" s="79"/>
      <c r="B284" s="79"/>
      <c r="K284" s="79"/>
      <c r="L284" s="79"/>
      <c r="O284" s="79"/>
    </row>
    <row r="285" spans="1:15" ht="13" x14ac:dyDescent="0.15">
      <c r="A285" s="79"/>
      <c r="B285" s="79"/>
      <c r="K285" s="79"/>
      <c r="L285" s="79"/>
      <c r="O285" s="79"/>
    </row>
    <row r="286" spans="1:15" ht="13" x14ac:dyDescent="0.15">
      <c r="A286" s="79"/>
      <c r="B286" s="79"/>
      <c r="K286" s="79"/>
      <c r="L286" s="79"/>
      <c r="O286" s="79"/>
    </row>
    <row r="287" spans="1:15" ht="13" x14ac:dyDescent="0.15">
      <c r="A287" s="79"/>
      <c r="B287" s="79"/>
      <c r="K287" s="79"/>
      <c r="L287" s="79"/>
      <c r="O287" s="79"/>
    </row>
    <row r="288" spans="1:15" ht="13" x14ac:dyDescent="0.15">
      <c r="A288" s="79"/>
      <c r="B288" s="79"/>
      <c r="K288" s="79"/>
      <c r="L288" s="79"/>
      <c r="O288" s="79"/>
    </row>
    <row r="289" spans="1:15" ht="13" x14ac:dyDescent="0.15">
      <c r="A289" s="79"/>
      <c r="B289" s="79"/>
      <c r="K289" s="79"/>
      <c r="L289" s="79"/>
      <c r="O289" s="79"/>
    </row>
    <row r="290" spans="1:15" ht="13" x14ac:dyDescent="0.15">
      <c r="A290" s="79"/>
      <c r="B290" s="79"/>
      <c r="K290" s="79"/>
      <c r="L290" s="79"/>
      <c r="O290" s="79"/>
    </row>
    <row r="291" spans="1:15" ht="13" x14ac:dyDescent="0.15">
      <c r="A291" s="79"/>
      <c r="B291" s="79"/>
      <c r="K291" s="79"/>
      <c r="L291" s="79"/>
      <c r="O291" s="79"/>
    </row>
    <row r="292" spans="1:15" ht="13" x14ac:dyDescent="0.15">
      <c r="A292" s="79"/>
      <c r="B292" s="79"/>
      <c r="K292" s="79"/>
      <c r="L292" s="79"/>
      <c r="O292" s="79"/>
    </row>
    <row r="293" spans="1:15" ht="13" x14ac:dyDescent="0.15">
      <c r="A293" s="79"/>
      <c r="B293" s="79"/>
      <c r="K293" s="79"/>
      <c r="L293" s="79"/>
      <c r="O293" s="79"/>
    </row>
    <row r="294" spans="1:15" ht="13" x14ac:dyDescent="0.15">
      <c r="A294" s="79"/>
      <c r="B294" s="79"/>
      <c r="K294" s="79"/>
      <c r="L294" s="79"/>
      <c r="O294" s="79"/>
    </row>
    <row r="295" spans="1:15" ht="13" x14ac:dyDescent="0.15">
      <c r="A295" s="79"/>
      <c r="B295" s="79"/>
      <c r="K295" s="79"/>
      <c r="L295" s="79"/>
      <c r="O295" s="79"/>
    </row>
    <row r="296" spans="1:15" ht="13" x14ac:dyDescent="0.15">
      <c r="A296" s="79"/>
      <c r="B296" s="79"/>
      <c r="K296" s="79"/>
      <c r="L296" s="79"/>
      <c r="O296" s="79"/>
    </row>
    <row r="297" spans="1:15" ht="13" x14ac:dyDescent="0.15">
      <c r="A297" s="79"/>
      <c r="B297" s="79"/>
      <c r="K297" s="79"/>
      <c r="L297" s="79"/>
      <c r="O297" s="79"/>
    </row>
    <row r="298" spans="1:15" ht="13" x14ac:dyDescent="0.15">
      <c r="A298" s="79"/>
      <c r="B298" s="79"/>
      <c r="K298" s="79"/>
      <c r="L298" s="79"/>
      <c r="O298" s="79"/>
    </row>
    <row r="299" spans="1:15" ht="13" x14ac:dyDescent="0.15">
      <c r="A299" s="79"/>
      <c r="B299" s="79"/>
      <c r="K299" s="79"/>
      <c r="L299" s="79"/>
      <c r="O299" s="79"/>
    </row>
    <row r="300" spans="1:15" ht="13" x14ac:dyDescent="0.15">
      <c r="A300" s="79"/>
      <c r="B300" s="79"/>
      <c r="K300" s="79"/>
      <c r="L300" s="79"/>
      <c r="O300" s="79"/>
    </row>
    <row r="301" spans="1:15" ht="13" x14ac:dyDescent="0.15">
      <c r="A301" s="79"/>
      <c r="B301" s="79"/>
      <c r="K301" s="79"/>
      <c r="L301" s="79"/>
      <c r="O301" s="79"/>
    </row>
    <row r="302" spans="1:15" ht="13" x14ac:dyDescent="0.15">
      <c r="A302" s="79"/>
      <c r="B302" s="79"/>
      <c r="K302" s="79"/>
      <c r="L302" s="79"/>
      <c r="O302" s="79"/>
    </row>
    <row r="303" spans="1:15" ht="13" x14ac:dyDescent="0.15">
      <c r="A303" s="79"/>
      <c r="B303" s="79"/>
      <c r="K303" s="79"/>
      <c r="L303" s="79"/>
      <c r="O303" s="79"/>
    </row>
    <row r="304" spans="1:15" ht="13" x14ac:dyDescent="0.15">
      <c r="A304" s="79"/>
      <c r="B304" s="79"/>
      <c r="K304" s="79"/>
      <c r="L304" s="79"/>
      <c r="O304" s="79"/>
    </row>
    <row r="305" spans="1:15" ht="13" x14ac:dyDescent="0.15">
      <c r="A305" s="79"/>
      <c r="B305" s="79"/>
      <c r="K305" s="79"/>
      <c r="L305" s="79"/>
      <c r="O305" s="79"/>
    </row>
    <row r="306" spans="1:15" ht="13" x14ac:dyDescent="0.15">
      <c r="A306" s="79"/>
      <c r="B306" s="79"/>
      <c r="K306" s="79"/>
      <c r="L306" s="79"/>
      <c r="O306" s="79"/>
    </row>
    <row r="307" spans="1:15" ht="13" x14ac:dyDescent="0.15">
      <c r="A307" s="79"/>
      <c r="B307" s="79"/>
      <c r="K307" s="79"/>
      <c r="L307" s="79"/>
      <c r="O307" s="79"/>
    </row>
    <row r="308" spans="1:15" ht="13" x14ac:dyDescent="0.15">
      <c r="A308" s="79"/>
      <c r="B308" s="79"/>
      <c r="K308" s="79"/>
      <c r="L308" s="79"/>
      <c r="O308" s="79"/>
    </row>
    <row r="309" spans="1:15" ht="13" x14ac:dyDescent="0.15">
      <c r="A309" s="79"/>
      <c r="B309" s="79"/>
      <c r="K309" s="79"/>
      <c r="L309" s="79"/>
      <c r="O309" s="79"/>
    </row>
    <row r="310" spans="1:15" ht="13" x14ac:dyDescent="0.15">
      <c r="A310" s="79"/>
      <c r="B310" s="79"/>
      <c r="K310" s="79"/>
      <c r="L310" s="79"/>
      <c r="O310" s="79"/>
    </row>
    <row r="311" spans="1:15" ht="13" x14ac:dyDescent="0.15">
      <c r="A311" s="79"/>
      <c r="B311" s="79"/>
      <c r="K311" s="79"/>
      <c r="L311" s="79"/>
      <c r="O311" s="79"/>
    </row>
    <row r="312" spans="1:15" ht="13" x14ac:dyDescent="0.15">
      <c r="A312" s="79"/>
      <c r="B312" s="79"/>
      <c r="K312" s="79"/>
      <c r="L312" s="79"/>
      <c r="O312" s="79"/>
    </row>
    <row r="313" spans="1:15" ht="13" x14ac:dyDescent="0.15">
      <c r="A313" s="79"/>
      <c r="B313" s="79"/>
      <c r="K313" s="79"/>
      <c r="L313" s="79"/>
      <c r="O313" s="79"/>
    </row>
    <row r="314" spans="1:15" ht="13" x14ac:dyDescent="0.15">
      <c r="A314" s="79"/>
      <c r="B314" s="79"/>
      <c r="K314" s="79"/>
      <c r="L314" s="79"/>
      <c r="O314" s="79"/>
    </row>
    <row r="315" spans="1:15" ht="13" x14ac:dyDescent="0.15">
      <c r="A315" s="79"/>
      <c r="B315" s="79"/>
      <c r="K315" s="79"/>
      <c r="L315" s="79"/>
      <c r="O315" s="79"/>
    </row>
    <row r="316" spans="1:15" ht="13" x14ac:dyDescent="0.15">
      <c r="A316" s="79"/>
      <c r="B316" s="79"/>
      <c r="K316" s="79"/>
      <c r="L316" s="79"/>
      <c r="O316" s="79"/>
    </row>
    <row r="317" spans="1:15" ht="13" x14ac:dyDescent="0.15">
      <c r="A317" s="79"/>
      <c r="B317" s="79"/>
      <c r="K317" s="79"/>
      <c r="L317" s="79"/>
      <c r="O317" s="79"/>
    </row>
    <row r="318" spans="1:15" ht="13" x14ac:dyDescent="0.15">
      <c r="A318" s="79"/>
      <c r="B318" s="79"/>
      <c r="K318" s="79"/>
      <c r="L318" s="79"/>
      <c r="O318" s="79"/>
    </row>
    <row r="319" spans="1:15" ht="13" x14ac:dyDescent="0.15">
      <c r="A319" s="79"/>
      <c r="B319" s="79"/>
      <c r="K319" s="79"/>
      <c r="L319" s="79"/>
      <c r="O319" s="79"/>
    </row>
    <row r="320" spans="1:15" ht="13" x14ac:dyDescent="0.15">
      <c r="A320" s="79"/>
      <c r="B320" s="79"/>
      <c r="K320" s="79"/>
      <c r="L320" s="79"/>
      <c r="O320" s="79"/>
    </row>
    <row r="321" spans="1:15" ht="13" x14ac:dyDescent="0.15">
      <c r="A321" s="79"/>
      <c r="B321" s="79"/>
      <c r="K321" s="79"/>
      <c r="L321" s="79"/>
      <c r="O321" s="79"/>
    </row>
    <row r="322" spans="1:15" ht="13" x14ac:dyDescent="0.15">
      <c r="A322" s="79"/>
      <c r="B322" s="79"/>
      <c r="K322" s="79"/>
      <c r="L322" s="79"/>
      <c r="O322" s="79"/>
    </row>
    <row r="323" spans="1:15" ht="13" x14ac:dyDescent="0.15">
      <c r="A323" s="79"/>
      <c r="B323" s="79"/>
      <c r="K323" s="79"/>
      <c r="L323" s="79"/>
      <c r="O323" s="79"/>
    </row>
    <row r="324" spans="1:15" ht="13" x14ac:dyDescent="0.15">
      <c r="A324" s="79"/>
      <c r="B324" s="79"/>
      <c r="K324" s="79"/>
      <c r="L324" s="79"/>
      <c r="O324" s="79"/>
    </row>
    <row r="325" spans="1:15" ht="13" x14ac:dyDescent="0.15">
      <c r="A325" s="79"/>
      <c r="B325" s="79"/>
      <c r="K325" s="79"/>
      <c r="L325" s="79"/>
      <c r="O325" s="79"/>
    </row>
    <row r="326" spans="1:15" ht="13" x14ac:dyDescent="0.15">
      <c r="A326" s="79"/>
      <c r="B326" s="79"/>
      <c r="K326" s="79"/>
      <c r="L326" s="79"/>
      <c r="O326" s="79"/>
    </row>
    <row r="327" spans="1:15" ht="13" x14ac:dyDescent="0.15">
      <c r="A327" s="79"/>
      <c r="B327" s="79"/>
      <c r="K327" s="79"/>
      <c r="L327" s="79"/>
      <c r="O327" s="79"/>
    </row>
    <row r="328" spans="1:15" ht="13" x14ac:dyDescent="0.15">
      <c r="A328" s="79"/>
      <c r="B328" s="79"/>
      <c r="K328" s="79"/>
      <c r="L328" s="79"/>
      <c r="O328" s="79"/>
    </row>
    <row r="329" spans="1:15" ht="13" x14ac:dyDescent="0.15">
      <c r="A329" s="79"/>
      <c r="B329" s="79"/>
      <c r="K329" s="79"/>
      <c r="L329" s="79"/>
      <c r="O329" s="79"/>
    </row>
    <row r="330" spans="1:15" ht="13" x14ac:dyDescent="0.15">
      <c r="A330" s="79"/>
      <c r="B330" s="79"/>
      <c r="K330" s="79"/>
      <c r="L330" s="79"/>
      <c r="O330" s="79"/>
    </row>
    <row r="331" spans="1:15" ht="13" x14ac:dyDescent="0.15">
      <c r="A331" s="79"/>
      <c r="B331" s="79"/>
      <c r="K331" s="79"/>
      <c r="L331" s="79"/>
      <c r="O331" s="79"/>
    </row>
    <row r="332" spans="1:15" ht="13" x14ac:dyDescent="0.15">
      <c r="A332" s="79"/>
      <c r="B332" s="79"/>
      <c r="K332" s="79"/>
      <c r="L332" s="79"/>
      <c r="O332" s="79"/>
    </row>
    <row r="333" spans="1:15" ht="13" x14ac:dyDescent="0.15">
      <c r="A333" s="79"/>
      <c r="B333" s="79"/>
      <c r="K333" s="79"/>
      <c r="L333" s="79"/>
      <c r="O333" s="79"/>
    </row>
    <row r="334" spans="1:15" ht="13" x14ac:dyDescent="0.15">
      <c r="A334" s="79"/>
      <c r="B334" s="79"/>
      <c r="K334" s="79"/>
      <c r="L334" s="79"/>
      <c r="O334" s="79"/>
    </row>
    <row r="335" spans="1:15" ht="13" x14ac:dyDescent="0.15">
      <c r="A335" s="79"/>
      <c r="B335" s="79"/>
      <c r="K335" s="79"/>
      <c r="L335" s="79"/>
      <c r="O335" s="79"/>
    </row>
    <row r="336" spans="1:15" ht="13" x14ac:dyDescent="0.15">
      <c r="A336" s="79"/>
      <c r="B336" s="79"/>
      <c r="K336" s="79"/>
      <c r="L336" s="79"/>
      <c r="O336" s="79"/>
    </row>
    <row r="337" spans="1:15" ht="13" x14ac:dyDescent="0.15">
      <c r="A337" s="79"/>
      <c r="B337" s="79"/>
      <c r="K337" s="79"/>
      <c r="L337" s="79"/>
      <c r="O337" s="79"/>
    </row>
    <row r="338" spans="1:15" ht="13" x14ac:dyDescent="0.15">
      <c r="A338" s="79"/>
      <c r="B338" s="79"/>
      <c r="K338" s="79"/>
      <c r="L338" s="79"/>
      <c r="O338" s="79"/>
    </row>
    <row r="339" spans="1:15" ht="13" x14ac:dyDescent="0.15">
      <c r="A339" s="79"/>
      <c r="B339" s="79"/>
      <c r="K339" s="79"/>
      <c r="L339" s="79"/>
      <c r="O339" s="79"/>
    </row>
    <row r="340" spans="1:15" ht="13" x14ac:dyDescent="0.15">
      <c r="A340" s="79"/>
      <c r="B340" s="79"/>
      <c r="K340" s="79"/>
      <c r="L340" s="79"/>
      <c r="O340" s="79"/>
    </row>
    <row r="341" spans="1:15" ht="13" x14ac:dyDescent="0.15">
      <c r="A341" s="79"/>
      <c r="B341" s="79"/>
      <c r="K341" s="79"/>
      <c r="L341" s="79"/>
      <c r="O341" s="79"/>
    </row>
    <row r="342" spans="1:15" ht="13" x14ac:dyDescent="0.15">
      <c r="A342" s="79"/>
      <c r="B342" s="79"/>
      <c r="K342" s="79"/>
      <c r="L342" s="79"/>
      <c r="O342" s="79"/>
    </row>
    <row r="343" spans="1:15" ht="13" x14ac:dyDescent="0.15">
      <c r="A343" s="79"/>
      <c r="B343" s="79"/>
      <c r="K343" s="79"/>
      <c r="L343" s="79"/>
      <c r="O343" s="79"/>
    </row>
    <row r="344" spans="1:15" ht="13" x14ac:dyDescent="0.15">
      <c r="A344" s="79"/>
      <c r="B344" s="79"/>
      <c r="K344" s="79"/>
      <c r="L344" s="79"/>
      <c r="O344" s="79"/>
    </row>
    <row r="345" spans="1:15" ht="13" x14ac:dyDescent="0.15">
      <c r="A345" s="79"/>
      <c r="B345" s="79"/>
      <c r="K345" s="79"/>
      <c r="L345" s="79"/>
      <c r="O345" s="79"/>
    </row>
    <row r="346" spans="1:15" ht="13" x14ac:dyDescent="0.15">
      <c r="A346" s="79"/>
      <c r="B346" s="79"/>
      <c r="K346" s="79"/>
      <c r="L346" s="79"/>
      <c r="O346" s="79"/>
    </row>
    <row r="347" spans="1:15" ht="13" x14ac:dyDescent="0.15">
      <c r="A347" s="79"/>
      <c r="B347" s="79"/>
      <c r="K347" s="79"/>
      <c r="L347" s="79"/>
      <c r="O347" s="79"/>
    </row>
    <row r="348" spans="1:15" ht="13" x14ac:dyDescent="0.15">
      <c r="A348" s="79"/>
      <c r="B348" s="79"/>
      <c r="K348" s="79"/>
      <c r="L348" s="79"/>
      <c r="O348" s="79"/>
    </row>
    <row r="349" spans="1:15" ht="13" x14ac:dyDescent="0.15">
      <c r="A349" s="79"/>
      <c r="B349" s="79"/>
      <c r="K349" s="79"/>
      <c r="L349" s="79"/>
      <c r="O349" s="79"/>
    </row>
    <row r="350" spans="1:15" ht="13" x14ac:dyDescent="0.15">
      <c r="A350" s="79"/>
      <c r="B350" s="79"/>
      <c r="K350" s="79"/>
      <c r="L350" s="79"/>
      <c r="O350" s="79"/>
    </row>
    <row r="351" spans="1:15" ht="13" x14ac:dyDescent="0.15">
      <c r="A351" s="79"/>
      <c r="B351" s="79"/>
      <c r="K351" s="79"/>
      <c r="L351" s="79"/>
      <c r="O351" s="79"/>
    </row>
    <row r="352" spans="1:15" ht="13" x14ac:dyDescent="0.15">
      <c r="A352" s="79"/>
      <c r="B352" s="79"/>
      <c r="K352" s="79"/>
      <c r="L352" s="79"/>
      <c r="O352" s="79"/>
    </row>
    <row r="353" spans="1:15" ht="13" x14ac:dyDescent="0.15">
      <c r="A353" s="79"/>
      <c r="B353" s="79"/>
      <c r="K353" s="79"/>
      <c r="L353" s="79"/>
      <c r="O353" s="79"/>
    </row>
    <row r="354" spans="1:15" ht="13" x14ac:dyDescent="0.15">
      <c r="A354" s="79"/>
      <c r="B354" s="79"/>
      <c r="K354" s="79"/>
      <c r="L354" s="79"/>
      <c r="O354" s="79"/>
    </row>
    <row r="355" spans="1:15" ht="13" x14ac:dyDescent="0.15">
      <c r="A355" s="79"/>
      <c r="B355" s="79"/>
      <c r="K355" s="79"/>
      <c r="L355" s="79"/>
      <c r="O355" s="79"/>
    </row>
    <row r="356" spans="1:15" ht="13" x14ac:dyDescent="0.15">
      <c r="A356" s="79"/>
      <c r="B356" s="79"/>
      <c r="K356" s="79"/>
      <c r="L356" s="79"/>
      <c r="O356" s="79"/>
    </row>
    <row r="357" spans="1:15" ht="13" x14ac:dyDescent="0.15">
      <c r="A357" s="79"/>
      <c r="B357" s="79"/>
      <c r="K357" s="79"/>
      <c r="L357" s="79"/>
      <c r="O357" s="79"/>
    </row>
    <row r="358" spans="1:15" ht="13" x14ac:dyDescent="0.15">
      <c r="A358" s="79"/>
      <c r="B358" s="79"/>
      <c r="K358" s="79"/>
      <c r="L358" s="79"/>
      <c r="O358" s="79"/>
    </row>
    <row r="359" spans="1:15" ht="13" x14ac:dyDescent="0.15">
      <c r="A359" s="79"/>
      <c r="B359" s="79"/>
      <c r="K359" s="79"/>
      <c r="L359" s="79"/>
      <c r="O359" s="79"/>
    </row>
    <row r="360" spans="1:15" ht="13" x14ac:dyDescent="0.15">
      <c r="A360" s="79"/>
      <c r="B360" s="79"/>
      <c r="K360" s="79"/>
      <c r="L360" s="79"/>
      <c r="O360" s="79"/>
    </row>
    <row r="361" spans="1:15" ht="13" x14ac:dyDescent="0.15">
      <c r="A361" s="79"/>
      <c r="B361" s="79"/>
      <c r="K361" s="79"/>
      <c r="L361" s="79"/>
      <c r="O361" s="79"/>
    </row>
    <row r="362" spans="1:15" ht="13" x14ac:dyDescent="0.15">
      <c r="A362" s="79"/>
      <c r="B362" s="79"/>
      <c r="K362" s="79"/>
      <c r="L362" s="79"/>
      <c r="O362" s="79"/>
    </row>
    <row r="363" spans="1:15" ht="13" x14ac:dyDescent="0.15">
      <c r="A363" s="79"/>
      <c r="B363" s="79"/>
      <c r="K363" s="79"/>
      <c r="L363" s="79"/>
      <c r="O363" s="79"/>
    </row>
    <row r="364" spans="1:15" ht="13" x14ac:dyDescent="0.15">
      <c r="A364" s="79"/>
      <c r="B364" s="79"/>
      <c r="K364" s="79"/>
      <c r="L364" s="79"/>
      <c r="O364" s="79"/>
    </row>
    <row r="365" spans="1:15" ht="13" x14ac:dyDescent="0.15">
      <c r="A365" s="79"/>
      <c r="B365" s="79"/>
      <c r="K365" s="79"/>
      <c r="L365" s="79"/>
      <c r="O365" s="79"/>
    </row>
    <row r="366" spans="1:15" ht="13" x14ac:dyDescent="0.15">
      <c r="A366" s="79"/>
      <c r="B366" s="79"/>
      <c r="K366" s="79"/>
      <c r="L366" s="79"/>
      <c r="O366" s="79"/>
    </row>
    <row r="367" spans="1:15" ht="13" x14ac:dyDescent="0.15">
      <c r="A367" s="79"/>
      <c r="B367" s="79"/>
      <c r="K367" s="79"/>
      <c r="L367" s="79"/>
      <c r="O367" s="79"/>
    </row>
    <row r="368" spans="1:15" ht="13" x14ac:dyDescent="0.15">
      <c r="A368" s="79"/>
      <c r="B368" s="79"/>
      <c r="K368" s="79"/>
      <c r="L368" s="79"/>
      <c r="O368" s="79"/>
    </row>
    <row r="369" spans="1:15" ht="13" x14ac:dyDescent="0.15">
      <c r="A369" s="79"/>
      <c r="B369" s="79"/>
      <c r="K369" s="79"/>
      <c r="L369" s="79"/>
      <c r="O369" s="79"/>
    </row>
    <row r="370" spans="1:15" ht="13" x14ac:dyDescent="0.15">
      <c r="A370" s="79"/>
      <c r="B370" s="79"/>
      <c r="K370" s="79"/>
      <c r="L370" s="79"/>
      <c r="O370" s="79"/>
    </row>
    <row r="371" spans="1:15" ht="13" x14ac:dyDescent="0.15">
      <c r="A371" s="79"/>
      <c r="B371" s="79"/>
      <c r="K371" s="79"/>
      <c r="L371" s="79"/>
      <c r="O371" s="79"/>
    </row>
    <row r="372" spans="1:15" ht="13" x14ac:dyDescent="0.15">
      <c r="A372" s="79"/>
      <c r="B372" s="79"/>
      <c r="K372" s="79"/>
      <c r="L372" s="79"/>
      <c r="O372" s="79"/>
    </row>
    <row r="373" spans="1:15" ht="13" x14ac:dyDescent="0.15">
      <c r="A373" s="79"/>
      <c r="B373" s="79"/>
      <c r="K373" s="79"/>
      <c r="L373" s="79"/>
      <c r="O373" s="79"/>
    </row>
    <row r="374" spans="1:15" ht="13" x14ac:dyDescent="0.15">
      <c r="A374" s="79"/>
      <c r="B374" s="79"/>
      <c r="K374" s="79"/>
      <c r="L374" s="79"/>
      <c r="O374" s="79"/>
    </row>
    <row r="375" spans="1:15" ht="13" x14ac:dyDescent="0.15">
      <c r="A375" s="79"/>
      <c r="B375" s="79"/>
      <c r="K375" s="79"/>
      <c r="L375" s="79"/>
      <c r="O375" s="79"/>
    </row>
    <row r="376" spans="1:15" ht="13" x14ac:dyDescent="0.15">
      <c r="A376" s="79"/>
      <c r="B376" s="79"/>
      <c r="K376" s="79"/>
      <c r="L376" s="79"/>
      <c r="O376" s="79"/>
    </row>
    <row r="377" spans="1:15" ht="13" x14ac:dyDescent="0.15">
      <c r="A377" s="79"/>
      <c r="B377" s="79"/>
      <c r="K377" s="79"/>
      <c r="L377" s="79"/>
      <c r="O377" s="79"/>
    </row>
    <row r="378" spans="1:15" ht="13" x14ac:dyDescent="0.15">
      <c r="A378" s="79"/>
      <c r="B378" s="79"/>
      <c r="K378" s="79"/>
      <c r="L378" s="79"/>
      <c r="O378" s="79"/>
    </row>
    <row r="379" spans="1:15" ht="13" x14ac:dyDescent="0.15">
      <c r="A379" s="79"/>
      <c r="B379" s="79"/>
      <c r="K379" s="79"/>
      <c r="L379" s="79"/>
      <c r="O379" s="79"/>
    </row>
    <row r="380" spans="1:15" ht="13" x14ac:dyDescent="0.15">
      <c r="A380" s="79"/>
      <c r="B380" s="79"/>
      <c r="K380" s="79"/>
      <c r="L380" s="79"/>
      <c r="O380" s="79"/>
    </row>
    <row r="381" spans="1:15" ht="13" x14ac:dyDescent="0.15">
      <c r="A381" s="79"/>
      <c r="B381" s="79"/>
      <c r="K381" s="79"/>
      <c r="L381" s="79"/>
      <c r="O381" s="79"/>
    </row>
    <row r="382" spans="1:15" ht="13" x14ac:dyDescent="0.15">
      <c r="A382" s="79"/>
      <c r="B382" s="79"/>
      <c r="K382" s="79"/>
      <c r="L382" s="79"/>
      <c r="O382" s="79"/>
    </row>
    <row r="383" spans="1:15" ht="13" x14ac:dyDescent="0.15">
      <c r="A383" s="79"/>
      <c r="B383" s="79"/>
      <c r="K383" s="79"/>
      <c r="L383" s="79"/>
      <c r="O383" s="79"/>
    </row>
    <row r="384" spans="1:15" ht="13" x14ac:dyDescent="0.15">
      <c r="A384" s="79"/>
      <c r="B384" s="79"/>
      <c r="K384" s="79"/>
      <c r="L384" s="79"/>
      <c r="O384" s="79"/>
    </row>
    <row r="385" spans="1:15" ht="13" x14ac:dyDescent="0.15">
      <c r="A385" s="79"/>
      <c r="B385" s="79"/>
      <c r="K385" s="79"/>
      <c r="L385" s="79"/>
      <c r="O385" s="79"/>
    </row>
    <row r="386" spans="1:15" ht="13" x14ac:dyDescent="0.15">
      <c r="A386" s="79"/>
      <c r="B386" s="79"/>
      <c r="K386" s="79"/>
      <c r="L386" s="79"/>
      <c r="O386" s="79"/>
    </row>
    <row r="387" spans="1:15" ht="13" x14ac:dyDescent="0.15">
      <c r="A387" s="79"/>
      <c r="B387" s="79"/>
      <c r="K387" s="79"/>
      <c r="L387" s="79"/>
      <c r="O387" s="79"/>
    </row>
    <row r="388" spans="1:15" ht="13" x14ac:dyDescent="0.15">
      <c r="A388" s="79"/>
      <c r="B388" s="79"/>
      <c r="K388" s="79"/>
      <c r="L388" s="79"/>
      <c r="O388" s="79"/>
    </row>
    <row r="389" spans="1:15" ht="13" x14ac:dyDescent="0.15">
      <c r="A389" s="79"/>
      <c r="B389" s="79"/>
      <c r="K389" s="79"/>
      <c r="L389" s="79"/>
      <c r="O389" s="79"/>
    </row>
    <row r="390" spans="1:15" ht="13" x14ac:dyDescent="0.15">
      <c r="A390" s="79"/>
      <c r="B390" s="79"/>
      <c r="K390" s="79"/>
      <c r="L390" s="79"/>
      <c r="O390" s="79"/>
    </row>
    <row r="391" spans="1:15" ht="13" x14ac:dyDescent="0.15">
      <c r="A391" s="79"/>
      <c r="B391" s="79"/>
      <c r="K391" s="79"/>
      <c r="L391" s="79"/>
      <c r="O391" s="79"/>
    </row>
    <row r="392" spans="1:15" ht="13" x14ac:dyDescent="0.15">
      <c r="A392" s="79"/>
      <c r="B392" s="79"/>
      <c r="K392" s="79"/>
      <c r="L392" s="79"/>
      <c r="O392" s="79"/>
    </row>
    <row r="393" spans="1:15" ht="13" x14ac:dyDescent="0.15">
      <c r="A393" s="79"/>
      <c r="B393" s="79"/>
      <c r="K393" s="79"/>
      <c r="L393" s="79"/>
      <c r="O393" s="79"/>
    </row>
    <row r="394" spans="1:15" ht="13" x14ac:dyDescent="0.15">
      <c r="A394" s="79"/>
      <c r="B394" s="79"/>
      <c r="K394" s="79"/>
      <c r="L394" s="79"/>
      <c r="O394" s="79"/>
    </row>
    <row r="395" spans="1:15" ht="13" x14ac:dyDescent="0.15">
      <c r="A395" s="79"/>
      <c r="B395" s="79"/>
      <c r="K395" s="79"/>
      <c r="L395" s="79"/>
      <c r="O395" s="79"/>
    </row>
    <row r="396" spans="1:15" ht="13" x14ac:dyDescent="0.15">
      <c r="A396" s="79"/>
      <c r="B396" s="79"/>
      <c r="K396" s="79"/>
      <c r="L396" s="79"/>
      <c r="O396" s="79"/>
    </row>
    <row r="397" spans="1:15" ht="13" x14ac:dyDescent="0.15">
      <c r="A397" s="79"/>
      <c r="B397" s="79"/>
      <c r="K397" s="79"/>
      <c r="L397" s="79"/>
      <c r="O397" s="79"/>
    </row>
    <row r="398" spans="1:15" ht="13" x14ac:dyDescent="0.15">
      <c r="A398" s="79"/>
      <c r="B398" s="79"/>
      <c r="K398" s="79"/>
      <c r="L398" s="79"/>
      <c r="O398" s="79"/>
    </row>
    <row r="399" spans="1:15" ht="13" x14ac:dyDescent="0.15">
      <c r="A399" s="79"/>
      <c r="B399" s="79"/>
      <c r="K399" s="79"/>
      <c r="L399" s="79"/>
      <c r="O399" s="79"/>
    </row>
    <row r="400" spans="1:15" ht="13" x14ac:dyDescent="0.15">
      <c r="A400" s="79"/>
      <c r="B400" s="79"/>
      <c r="K400" s="79"/>
      <c r="L400" s="79"/>
      <c r="O400" s="79"/>
    </row>
    <row r="401" spans="1:15" ht="13" x14ac:dyDescent="0.15">
      <c r="A401" s="79"/>
      <c r="B401" s="79"/>
      <c r="K401" s="79"/>
      <c r="L401" s="79"/>
      <c r="O401" s="79"/>
    </row>
    <row r="402" spans="1:15" ht="13" x14ac:dyDescent="0.15">
      <c r="A402" s="79"/>
      <c r="B402" s="79"/>
      <c r="K402" s="79"/>
      <c r="L402" s="79"/>
      <c r="O402" s="79"/>
    </row>
    <row r="403" spans="1:15" ht="13" x14ac:dyDescent="0.15">
      <c r="A403" s="79"/>
      <c r="B403" s="79"/>
      <c r="K403" s="79"/>
      <c r="L403" s="79"/>
      <c r="O403" s="79"/>
    </row>
    <row r="404" spans="1:15" ht="13" x14ac:dyDescent="0.15">
      <c r="A404" s="79"/>
      <c r="B404" s="79"/>
      <c r="K404" s="79"/>
      <c r="L404" s="79"/>
      <c r="O404" s="79"/>
    </row>
    <row r="405" spans="1:15" ht="13" x14ac:dyDescent="0.15">
      <c r="A405" s="79"/>
      <c r="B405" s="79"/>
      <c r="K405" s="79"/>
      <c r="L405" s="79"/>
      <c r="O405" s="79"/>
    </row>
    <row r="406" spans="1:15" ht="13" x14ac:dyDescent="0.15">
      <c r="A406" s="79"/>
      <c r="B406" s="79"/>
      <c r="K406" s="79"/>
      <c r="L406" s="79"/>
      <c r="O406" s="79"/>
    </row>
    <row r="407" spans="1:15" ht="13" x14ac:dyDescent="0.15">
      <c r="A407" s="79"/>
      <c r="B407" s="79"/>
      <c r="K407" s="79"/>
      <c r="L407" s="79"/>
      <c r="O407" s="79"/>
    </row>
    <row r="408" spans="1:15" ht="13" x14ac:dyDescent="0.15">
      <c r="A408" s="79"/>
      <c r="B408" s="79"/>
      <c r="K408" s="79"/>
      <c r="L408" s="79"/>
      <c r="O408" s="79"/>
    </row>
    <row r="409" spans="1:15" ht="13" x14ac:dyDescent="0.15">
      <c r="A409" s="79"/>
      <c r="B409" s="79"/>
      <c r="K409" s="79"/>
      <c r="L409" s="79"/>
      <c r="O409" s="79"/>
    </row>
    <row r="410" spans="1:15" ht="13" x14ac:dyDescent="0.15">
      <c r="A410" s="79"/>
      <c r="B410" s="79"/>
      <c r="K410" s="79"/>
      <c r="L410" s="79"/>
      <c r="O410" s="79"/>
    </row>
    <row r="411" spans="1:15" ht="13" x14ac:dyDescent="0.15">
      <c r="A411" s="79"/>
      <c r="B411" s="79"/>
      <c r="K411" s="79"/>
      <c r="L411" s="79"/>
      <c r="O411" s="79"/>
    </row>
    <row r="412" spans="1:15" ht="13" x14ac:dyDescent="0.15">
      <c r="A412" s="79"/>
      <c r="B412" s="79"/>
      <c r="K412" s="79"/>
      <c r="L412" s="79"/>
      <c r="O412" s="79"/>
    </row>
    <row r="413" spans="1:15" ht="13" x14ac:dyDescent="0.15">
      <c r="A413" s="79"/>
      <c r="B413" s="79"/>
      <c r="K413" s="79"/>
      <c r="L413" s="79"/>
      <c r="O413" s="79"/>
    </row>
    <row r="414" spans="1:15" ht="13" x14ac:dyDescent="0.15">
      <c r="A414" s="79"/>
      <c r="B414" s="79"/>
      <c r="K414" s="79"/>
      <c r="L414" s="79"/>
      <c r="O414" s="79"/>
    </row>
    <row r="415" spans="1:15" ht="13" x14ac:dyDescent="0.15">
      <c r="A415" s="79"/>
      <c r="B415" s="79"/>
      <c r="K415" s="79"/>
      <c r="L415" s="79"/>
      <c r="O415" s="79"/>
    </row>
    <row r="416" spans="1:15" ht="13" x14ac:dyDescent="0.15">
      <c r="A416" s="79"/>
      <c r="B416" s="79"/>
      <c r="K416" s="79"/>
      <c r="L416" s="79"/>
      <c r="O416" s="79"/>
    </row>
    <row r="417" spans="1:15" ht="13" x14ac:dyDescent="0.15">
      <c r="A417" s="79"/>
      <c r="B417" s="79"/>
      <c r="K417" s="79"/>
      <c r="L417" s="79"/>
      <c r="O417" s="79"/>
    </row>
    <row r="418" spans="1:15" ht="13" x14ac:dyDescent="0.15">
      <c r="A418" s="79"/>
      <c r="B418" s="79"/>
      <c r="K418" s="79"/>
      <c r="L418" s="79"/>
      <c r="O418" s="79"/>
    </row>
    <row r="419" spans="1:15" ht="13" x14ac:dyDescent="0.15">
      <c r="A419" s="79"/>
      <c r="B419" s="79"/>
      <c r="K419" s="79"/>
      <c r="L419" s="79"/>
      <c r="O419" s="79"/>
    </row>
    <row r="420" spans="1:15" ht="13" x14ac:dyDescent="0.15">
      <c r="A420" s="79"/>
      <c r="B420" s="79"/>
      <c r="K420" s="79"/>
      <c r="L420" s="79"/>
      <c r="O420" s="79"/>
    </row>
    <row r="421" spans="1:15" ht="13" x14ac:dyDescent="0.15">
      <c r="A421" s="79"/>
      <c r="B421" s="79"/>
      <c r="K421" s="79"/>
      <c r="L421" s="79"/>
      <c r="O421" s="79"/>
    </row>
    <row r="422" spans="1:15" ht="13" x14ac:dyDescent="0.15">
      <c r="A422" s="79"/>
      <c r="B422" s="79"/>
      <c r="K422" s="79"/>
      <c r="L422" s="79"/>
      <c r="O422" s="79"/>
    </row>
    <row r="423" spans="1:15" ht="13" x14ac:dyDescent="0.15">
      <c r="A423" s="79"/>
      <c r="B423" s="79"/>
      <c r="K423" s="79"/>
      <c r="L423" s="79"/>
      <c r="O423" s="79"/>
    </row>
    <row r="424" spans="1:15" ht="13" x14ac:dyDescent="0.15">
      <c r="A424" s="79"/>
      <c r="B424" s="79"/>
      <c r="K424" s="79"/>
      <c r="L424" s="79"/>
      <c r="O424" s="79"/>
    </row>
    <row r="425" spans="1:15" ht="13" x14ac:dyDescent="0.15">
      <c r="A425" s="79"/>
      <c r="B425" s="79"/>
      <c r="K425" s="79"/>
      <c r="L425" s="79"/>
      <c r="O425" s="79"/>
    </row>
    <row r="426" spans="1:15" ht="13" x14ac:dyDescent="0.15">
      <c r="A426" s="79"/>
      <c r="B426" s="79"/>
      <c r="K426" s="79"/>
      <c r="L426" s="79"/>
      <c r="O426" s="79"/>
    </row>
    <row r="427" spans="1:15" ht="13" x14ac:dyDescent="0.15">
      <c r="A427" s="79"/>
      <c r="B427" s="79"/>
      <c r="K427" s="79"/>
      <c r="L427" s="79"/>
      <c r="O427" s="79"/>
    </row>
    <row r="428" spans="1:15" ht="13" x14ac:dyDescent="0.15">
      <c r="A428" s="79"/>
      <c r="B428" s="79"/>
      <c r="K428" s="79"/>
      <c r="L428" s="79"/>
      <c r="O428" s="79"/>
    </row>
    <row r="429" spans="1:15" ht="13" x14ac:dyDescent="0.15">
      <c r="A429" s="79"/>
      <c r="B429" s="79"/>
      <c r="K429" s="79"/>
      <c r="L429" s="79"/>
      <c r="O429" s="79"/>
    </row>
    <row r="430" spans="1:15" ht="13" x14ac:dyDescent="0.15">
      <c r="A430" s="79"/>
      <c r="B430" s="79"/>
      <c r="K430" s="79"/>
      <c r="L430" s="79"/>
      <c r="O430" s="79"/>
    </row>
    <row r="431" spans="1:15" ht="13" x14ac:dyDescent="0.15">
      <c r="A431" s="79"/>
      <c r="B431" s="79"/>
      <c r="K431" s="79"/>
      <c r="L431" s="79"/>
      <c r="O431" s="79"/>
    </row>
    <row r="432" spans="1:15" ht="13" x14ac:dyDescent="0.15">
      <c r="A432" s="79"/>
      <c r="B432" s="79"/>
      <c r="K432" s="79"/>
      <c r="L432" s="79"/>
      <c r="O432" s="79"/>
    </row>
    <row r="433" spans="1:15" ht="13" x14ac:dyDescent="0.15">
      <c r="A433" s="79"/>
      <c r="B433" s="79"/>
      <c r="K433" s="79"/>
      <c r="L433" s="79"/>
      <c r="O433" s="79"/>
    </row>
    <row r="434" spans="1:15" ht="13" x14ac:dyDescent="0.15">
      <c r="A434" s="79"/>
      <c r="B434" s="79"/>
      <c r="K434" s="79"/>
      <c r="L434" s="79"/>
      <c r="O434" s="79"/>
    </row>
    <row r="435" spans="1:15" ht="13" x14ac:dyDescent="0.15">
      <c r="A435" s="79"/>
      <c r="B435" s="79"/>
      <c r="K435" s="79"/>
      <c r="L435" s="79"/>
      <c r="O435" s="79"/>
    </row>
    <row r="436" spans="1:15" ht="13" x14ac:dyDescent="0.15">
      <c r="A436" s="79"/>
      <c r="B436" s="79"/>
      <c r="K436" s="79"/>
      <c r="L436" s="79"/>
      <c r="O436" s="79"/>
    </row>
    <row r="437" spans="1:15" ht="13" x14ac:dyDescent="0.15">
      <c r="A437" s="79"/>
      <c r="B437" s="79"/>
      <c r="K437" s="79"/>
      <c r="L437" s="79"/>
      <c r="O437" s="79"/>
    </row>
    <row r="438" spans="1:15" ht="13" x14ac:dyDescent="0.15">
      <c r="A438" s="79"/>
      <c r="B438" s="79"/>
      <c r="K438" s="79"/>
      <c r="L438" s="79"/>
      <c r="O438" s="79"/>
    </row>
    <row r="439" spans="1:15" ht="13" x14ac:dyDescent="0.15">
      <c r="A439" s="79"/>
      <c r="B439" s="79"/>
      <c r="K439" s="79"/>
      <c r="L439" s="79"/>
      <c r="O439" s="79"/>
    </row>
    <row r="440" spans="1:15" ht="13" x14ac:dyDescent="0.15">
      <c r="A440" s="79"/>
      <c r="B440" s="79"/>
      <c r="K440" s="79"/>
      <c r="L440" s="79"/>
      <c r="O440" s="79"/>
    </row>
    <row r="441" spans="1:15" ht="13" x14ac:dyDescent="0.15">
      <c r="A441" s="79"/>
      <c r="B441" s="79"/>
      <c r="K441" s="79"/>
      <c r="L441" s="79"/>
      <c r="O441" s="79"/>
    </row>
    <row r="442" spans="1:15" ht="13" x14ac:dyDescent="0.15">
      <c r="A442" s="79"/>
      <c r="B442" s="79"/>
      <c r="K442" s="79"/>
      <c r="L442" s="79"/>
      <c r="O442" s="79"/>
    </row>
    <row r="443" spans="1:15" ht="13" x14ac:dyDescent="0.15">
      <c r="A443" s="79"/>
      <c r="B443" s="79"/>
      <c r="K443" s="79"/>
      <c r="L443" s="79"/>
      <c r="O443" s="79"/>
    </row>
    <row r="444" spans="1:15" ht="13" x14ac:dyDescent="0.15">
      <c r="A444" s="79"/>
      <c r="B444" s="79"/>
      <c r="K444" s="79"/>
      <c r="L444" s="79"/>
      <c r="O444" s="79"/>
    </row>
    <row r="445" spans="1:15" ht="13" x14ac:dyDescent="0.15">
      <c r="A445" s="79"/>
      <c r="B445" s="79"/>
      <c r="K445" s="79"/>
      <c r="L445" s="79"/>
      <c r="O445" s="79"/>
    </row>
    <row r="446" spans="1:15" ht="13" x14ac:dyDescent="0.15">
      <c r="A446" s="79"/>
      <c r="B446" s="79"/>
      <c r="K446" s="79"/>
      <c r="L446" s="79"/>
      <c r="O446" s="79"/>
    </row>
    <row r="447" spans="1:15" ht="13" x14ac:dyDescent="0.15">
      <c r="A447" s="79"/>
      <c r="B447" s="79"/>
      <c r="K447" s="79"/>
      <c r="L447" s="79"/>
      <c r="O447" s="79"/>
    </row>
    <row r="448" spans="1:15" ht="13" x14ac:dyDescent="0.15">
      <c r="A448" s="79"/>
      <c r="B448" s="79"/>
      <c r="K448" s="79"/>
      <c r="L448" s="79"/>
      <c r="O448" s="79"/>
    </row>
    <row r="449" spans="1:15" ht="13" x14ac:dyDescent="0.15">
      <c r="A449" s="79"/>
      <c r="B449" s="79"/>
      <c r="K449" s="79"/>
      <c r="L449" s="79"/>
      <c r="O449" s="79"/>
    </row>
    <row r="450" spans="1:15" ht="13" x14ac:dyDescent="0.15">
      <c r="A450" s="79"/>
      <c r="B450" s="79"/>
      <c r="K450" s="79"/>
      <c r="L450" s="79"/>
      <c r="O450" s="79"/>
    </row>
    <row r="451" spans="1:15" ht="13" x14ac:dyDescent="0.15">
      <c r="A451" s="79"/>
      <c r="B451" s="79"/>
      <c r="K451" s="79"/>
      <c r="L451" s="79"/>
      <c r="O451" s="79"/>
    </row>
    <row r="452" spans="1:15" ht="13" x14ac:dyDescent="0.15">
      <c r="A452" s="79"/>
      <c r="B452" s="79"/>
      <c r="K452" s="79"/>
      <c r="L452" s="79"/>
      <c r="O452" s="79"/>
    </row>
    <row r="453" spans="1:15" ht="13" x14ac:dyDescent="0.15">
      <c r="A453" s="79"/>
      <c r="B453" s="79"/>
      <c r="K453" s="79"/>
      <c r="L453" s="79"/>
      <c r="O453" s="79"/>
    </row>
    <row r="454" spans="1:15" ht="13" x14ac:dyDescent="0.15">
      <c r="A454" s="79"/>
      <c r="B454" s="79"/>
      <c r="K454" s="79"/>
      <c r="L454" s="79"/>
      <c r="O454" s="79"/>
    </row>
    <row r="455" spans="1:15" ht="13" x14ac:dyDescent="0.15">
      <c r="A455" s="79"/>
      <c r="B455" s="79"/>
      <c r="K455" s="79"/>
      <c r="L455" s="79"/>
      <c r="O455" s="79"/>
    </row>
    <row r="456" spans="1:15" ht="13" x14ac:dyDescent="0.15">
      <c r="A456" s="79"/>
      <c r="B456" s="79"/>
      <c r="K456" s="79"/>
      <c r="L456" s="79"/>
      <c r="O456" s="79"/>
    </row>
    <row r="457" spans="1:15" ht="13" x14ac:dyDescent="0.15">
      <c r="A457" s="79"/>
      <c r="B457" s="79"/>
      <c r="K457" s="79"/>
      <c r="L457" s="79"/>
      <c r="O457" s="79"/>
    </row>
    <row r="458" spans="1:15" ht="13" x14ac:dyDescent="0.15">
      <c r="A458" s="79"/>
      <c r="B458" s="79"/>
      <c r="K458" s="79"/>
      <c r="L458" s="79"/>
      <c r="O458" s="79"/>
    </row>
    <row r="459" spans="1:15" ht="13" x14ac:dyDescent="0.15">
      <c r="A459" s="79"/>
      <c r="B459" s="79"/>
      <c r="K459" s="79"/>
      <c r="L459" s="79"/>
      <c r="O459" s="79"/>
    </row>
    <row r="460" spans="1:15" ht="13" x14ac:dyDescent="0.15">
      <c r="A460" s="79"/>
      <c r="B460" s="79"/>
      <c r="K460" s="79"/>
      <c r="L460" s="79"/>
      <c r="O460" s="79"/>
    </row>
    <row r="461" spans="1:15" ht="13" x14ac:dyDescent="0.15">
      <c r="A461" s="79"/>
      <c r="B461" s="79"/>
      <c r="K461" s="79"/>
      <c r="L461" s="79"/>
      <c r="O461" s="79"/>
    </row>
    <row r="462" spans="1:15" ht="13" x14ac:dyDescent="0.15">
      <c r="A462" s="79"/>
      <c r="B462" s="79"/>
      <c r="K462" s="79"/>
      <c r="L462" s="79"/>
      <c r="O462" s="79"/>
    </row>
    <row r="463" spans="1:15" ht="13" x14ac:dyDescent="0.15">
      <c r="A463" s="79"/>
      <c r="B463" s="79"/>
      <c r="K463" s="79"/>
      <c r="L463" s="79"/>
      <c r="O463" s="79"/>
    </row>
    <row r="464" spans="1:15" ht="13" x14ac:dyDescent="0.15">
      <c r="A464" s="79"/>
      <c r="B464" s="79"/>
      <c r="K464" s="79"/>
      <c r="L464" s="79"/>
      <c r="O464" s="79"/>
    </row>
    <row r="465" spans="1:15" ht="13" x14ac:dyDescent="0.15">
      <c r="A465" s="79"/>
      <c r="B465" s="79"/>
      <c r="K465" s="79"/>
      <c r="L465" s="79"/>
      <c r="O465" s="79"/>
    </row>
    <row r="466" spans="1:15" ht="13" x14ac:dyDescent="0.15">
      <c r="A466" s="79"/>
      <c r="B466" s="79"/>
      <c r="K466" s="79"/>
      <c r="L466" s="79"/>
      <c r="O466" s="79"/>
    </row>
    <row r="467" spans="1:15" ht="13" x14ac:dyDescent="0.15">
      <c r="A467" s="79"/>
      <c r="B467" s="79"/>
      <c r="K467" s="79"/>
      <c r="L467" s="79"/>
      <c r="O467" s="79"/>
    </row>
    <row r="468" spans="1:15" ht="13" x14ac:dyDescent="0.15">
      <c r="A468" s="79"/>
      <c r="B468" s="79"/>
      <c r="K468" s="79"/>
      <c r="L468" s="79"/>
      <c r="O468" s="79"/>
    </row>
    <row r="469" spans="1:15" ht="13" x14ac:dyDescent="0.15">
      <c r="A469" s="79"/>
      <c r="B469" s="79"/>
      <c r="K469" s="79"/>
      <c r="L469" s="79"/>
      <c r="O469" s="79"/>
    </row>
    <row r="470" spans="1:15" ht="13" x14ac:dyDescent="0.15">
      <c r="A470" s="79"/>
      <c r="B470" s="79"/>
      <c r="K470" s="79"/>
      <c r="L470" s="79"/>
      <c r="O470" s="79"/>
    </row>
    <row r="471" spans="1:15" ht="13" x14ac:dyDescent="0.15">
      <c r="A471" s="79"/>
      <c r="B471" s="79"/>
      <c r="K471" s="79"/>
      <c r="L471" s="79"/>
      <c r="O471" s="79"/>
    </row>
    <row r="472" spans="1:15" ht="13" x14ac:dyDescent="0.15">
      <c r="A472" s="79"/>
      <c r="B472" s="79"/>
      <c r="K472" s="79"/>
      <c r="L472" s="79"/>
      <c r="O472" s="79"/>
    </row>
    <row r="473" spans="1:15" ht="13" x14ac:dyDescent="0.15">
      <c r="A473" s="79"/>
      <c r="B473" s="79"/>
      <c r="K473" s="79"/>
      <c r="L473" s="79"/>
      <c r="O473" s="79"/>
    </row>
    <row r="474" spans="1:15" ht="13" x14ac:dyDescent="0.15">
      <c r="A474" s="79"/>
      <c r="B474" s="79"/>
      <c r="K474" s="79"/>
      <c r="L474" s="79"/>
      <c r="O474" s="79"/>
    </row>
    <row r="475" spans="1:15" ht="13" x14ac:dyDescent="0.15">
      <c r="A475" s="79"/>
      <c r="B475" s="79"/>
      <c r="K475" s="79"/>
      <c r="L475" s="79"/>
      <c r="O475" s="79"/>
    </row>
    <row r="476" spans="1:15" ht="13" x14ac:dyDescent="0.15">
      <c r="A476" s="79"/>
      <c r="B476" s="79"/>
      <c r="K476" s="79"/>
      <c r="L476" s="79"/>
      <c r="O476" s="79"/>
    </row>
    <row r="477" spans="1:15" ht="13" x14ac:dyDescent="0.15">
      <c r="A477" s="79"/>
      <c r="B477" s="79"/>
      <c r="K477" s="79"/>
      <c r="L477" s="79"/>
      <c r="O477" s="79"/>
    </row>
    <row r="478" spans="1:15" ht="13" x14ac:dyDescent="0.15">
      <c r="A478" s="79"/>
      <c r="B478" s="79"/>
      <c r="K478" s="79"/>
      <c r="L478" s="79"/>
      <c r="O478" s="79"/>
    </row>
    <row r="479" spans="1:15" ht="13" x14ac:dyDescent="0.15">
      <c r="A479" s="79"/>
      <c r="B479" s="79"/>
      <c r="K479" s="79"/>
      <c r="L479" s="79"/>
      <c r="O479" s="79"/>
    </row>
    <row r="480" spans="1:15" ht="13" x14ac:dyDescent="0.15">
      <c r="A480" s="79"/>
      <c r="B480" s="79"/>
      <c r="K480" s="79"/>
      <c r="L480" s="79"/>
      <c r="O480" s="79"/>
    </row>
    <row r="481" spans="1:15" ht="13" x14ac:dyDescent="0.15">
      <c r="A481" s="79"/>
      <c r="B481" s="79"/>
      <c r="K481" s="79"/>
      <c r="L481" s="79"/>
      <c r="O481" s="79"/>
    </row>
    <row r="482" spans="1:15" ht="13" x14ac:dyDescent="0.15">
      <c r="A482" s="79"/>
      <c r="B482" s="79"/>
      <c r="K482" s="79"/>
      <c r="L482" s="79"/>
      <c r="O482" s="79"/>
    </row>
    <row r="483" spans="1:15" ht="13" x14ac:dyDescent="0.15">
      <c r="A483" s="79"/>
      <c r="B483" s="79"/>
      <c r="K483" s="79"/>
      <c r="L483" s="79"/>
      <c r="O483" s="79"/>
    </row>
    <row r="484" spans="1:15" ht="13" x14ac:dyDescent="0.15">
      <c r="A484" s="79"/>
      <c r="B484" s="79"/>
      <c r="K484" s="79"/>
      <c r="L484" s="79"/>
      <c r="O484" s="79"/>
    </row>
    <row r="485" spans="1:15" ht="13" x14ac:dyDescent="0.15">
      <c r="A485" s="79"/>
      <c r="B485" s="79"/>
      <c r="K485" s="79"/>
      <c r="L485" s="79"/>
      <c r="O485" s="79"/>
    </row>
    <row r="486" spans="1:15" ht="13" x14ac:dyDescent="0.15">
      <c r="A486" s="79"/>
      <c r="B486" s="79"/>
      <c r="K486" s="79"/>
      <c r="L486" s="79"/>
      <c r="O486" s="79"/>
    </row>
    <row r="487" spans="1:15" ht="13" x14ac:dyDescent="0.15">
      <c r="A487" s="79"/>
      <c r="B487" s="79"/>
      <c r="K487" s="79"/>
      <c r="L487" s="79"/>
      <c r="O487" s="79"/>
    </row>
    <row r="488" spans="1:15" ht="13" x14ac:dyDescent="0.15">
      <c r="A488" s="79"/>
      <c r="B488" s="79"/>
      <c r="K488" s="79"/>
      <c r="L488" s="79"/>
      <c r="O488" s="79"/>
    </row>
    <row r="489" spans="1:15" ht="13" x14ac:dyDescent="0.15">
      <c r="A489" s="79"/>
      <c r="B489" s="79"/>
      <c r="K489" s="79"/>
      <c r="L489" s="79"/>
      <c r="O489" s="79"/>
    </row>
    <row r="490" spans="1:15" ht="13" x14ac:dyDescent="0.15">
      <c r="A490" s="79"/>
      <c r="B490" s="79"/>
      <c r="K490" s="79"/>
      <c r="L490" s="79"/>
      <c r="O490" s="79"/>
    </row>
    <row r="491" spans="1:15" ht="13" x14ac:dyDescent="0.15">
      <c r="A491" s="79"/>
      <c r="B491" s="79"/>
      <c r="K491" s="79"/>
      <c r="L491" s="79"/>
      <c r="O491" s="79"/>
    </row>
    <row r="492" spans="1:15" ht="13" x14ac:dyDescent="0.15">
      <c r="A492" s="79"/>
      <c r="B492" s="79"/>
      <c r="K492" s="79"/>
      <c r="L492" s="79"/>
      <c r="O492" s="79"/>
    </row>
    <row r="493" spans="1:15" ht="13" x14ac:dyDescent="0.15">
      <c r="A493" s="79"/>
      <c r="B493" s="79"/>
      <c r="K493" s="79"/>
      <c r="L493" s="79"/>
      <c r="O493" s="79"/>
    </row>
    <row r="494" spans="1:15" ht="13" x14ac:dyDescent="0.15">
      <c r="A494" s="79"/>
      <c r="B494" s="79"/>
      <c r="K494" s="79"/>
      <c r="L494" s="79"/>
      <c r="O494" s="79"/>
    </row>
    <row r="495" spans="1:15" ht="13" x14ac:dyDescent="0.15">
      <c r="A495" s="79"/>
      <c r="B495" s="79"/>
      <c r="K495" s="79"/>
      <c r="L495" s="79"/>
      <c r="O495" s="79"/>
    </row>
    <row r="496" spans="1:15" ht="13" x14ac:dyDescent="0.15">
      <c r="A496" s="79"/>
      <c r="B496" s="79"/>
      <c r="K496" s="79"/>
      <c r="L496" s="79"/>
      <c r="O496" s="79"/>
    </row>
    <row r="497" spans="1:15" ht="13" x14ac:dyDescent="0.15">
      <c r="A497" s="79"/>
      <c r="B497" s="79"/>
      <c r="K497" s="79"/>
      <c r="L497" s="79"/>
      <c r="O497" s="79"/>
    </row>
    <row r="498" spans="1:15" ht="13" x14ac:dyDescent="0.15">
      <c r="A498" s="79"/>
      <c r="B498" s="79"/>
      <c r="K498" s="79"/>
      <c r="L498" s="79"/>
      <c r="O498" s="79"/>
    </row>
    <row r="499" spans="1:15" ht="13" x14ac:dyDescent="0.15">
      <c r="A499" s="79"/>
      <c r="B499" s="79"/>
      <c r="K499" s="79"/>
      <c r="L499" s="79"/>
      <c r="O499" s="79"/>
    </row>
    <row r="500" spans="1:15" ht="13" x14ac:dyDescent="0.15">
      <c r="A500" s="79"/>
      <c r="B500" s="79"/>
      <c r="K500" s="79"/>
      <c r="L500" s="79"/>
      <c r="O500" s="79"/>
    </row>
    <row r="501" spans="1:15" ht="13" x14ac:dyDescent="0.15">
      <c r="A501" s="79"/>
      <c r="B501" s="79"/>
      <c r="K501" s="79"/>
      <c r="L501" s="79"/>
      <c r="O501" s="79"/>
    </row>
    <row r="502" spans="1:15" ht="13" x14ac:dyDescent="0.15">
      <c r="A502" s="79"/>
      <c r="B502" s="79"/>
      <c r="K502" s="79"/>
      <c r="L502" s="79"/>
      <c r="O502" s="79"/>
    </row>
    <row r="503" spans="1:15" ht="13" x14ac:dyDescent="0.15">
      <c r="A503" s="79"/>
      <c r="B503" s="79"/>
      <c r="K503" s="79"/>
      <c r="L503" s="79"/>
      <c r="O503" s="79"/>
    </row>
    <row r="504" spans="1:15" ht="13" x14ac:dyDescent="0.15">
      <c r="A504" s="79"/>
      <c r="B504" s="79"/>
      <c r="K504" s="79"/>
      <c r="L504" s="79"/>
      <c r="O504" s="79"/>
    </row>
    <row r="505" spans="1:15" ht="13" x14ac:dyDescent="0.15">
      <c r="A505" s="79"/>
      <c r="B505" s="79"/>
      <c r="K505" s="79"/>
      <c r="L505" s="79"/>
      <c r="O505" s="79"/>
    </row>
    <row r="506" spans="1:15" ht="13" x14ac:dyDescent="0.15">
      <c r="A506" s="79"/>
      <c r="B506" s="79"/>
      <c r="K506" s="79"/>
      <c r="L506" s="79"/>
      <c r="O506" s="79"/>
    </row>
    <row r="507" spans="1:15" ht="13" x14ac:dyDescent="0.15">
      <c r="A507" s="79"/>
      <c r="B507" s="79"/>
      <c r="K507" s="79"/>
      <c r="L507" s="79"/>
      <c r="O507" s="79"/>
    </row>
    <row r="508" spans="1:15" ht="13" x14ac:dyDescent="0.15">
      <c r="A508" s="79"/>
      <c r="B508" s="79"/>
      <c r="K508" s="79"/>
      <c r="L508" s="79"/>
      <c r="O508" s="79"/>
    </row>
    <row r="509" spans="1:15" ht="13" x14ac:dyDescent="0.15">
      <c r="A509" s="79"/>
      <c r="B509" s="79"/>
      <c r="K509" s="79"/>
      <c r="L509" s="79"/>
      <c r="O509" s="79"/>
    </row>
    <row r="510" spans="1:15" ht="13" x14ac:dyDescent="0.15">
      <c r="A510" s="79"/>
      <c r="B510" s="79"/>
      <c r="K510" s="79"/>
      <c r="L510" s="79"/>
      <c r="O510" s="79"/>
    </row>
    <row r="511" spans="1:15" ht="13" x14ac:dyDescent="0.15">
      <c r="A511" s="79"/>
      <c r="B511" s="79"/>
      <c r="K511" s="79"/>
      <c r="L511" s="79"/>
      <c r="O511" s="79"/>
    </row>
    <row r="512" spans="1:15" ht="13" x14ac:dyDescent="0.15">
      <c r="A512" s="79"/>
      <c r="B512" s="79"/>
      <c r="K512" s="79"/>
      <c r="L512" s="79"/>
      <c r="O512" s="79"/>
    </row>
    <row r="513" spans="1:15" ht="13" x14ac:dyDescent="0.15">
      <c r="A513" s="79"/>
      <c r="B513" s="79"/>
      <c r="K513" s="79"/>
      <c r="L513" s="79"/>
      <c r="O513" s="79"/>
    </row>
    <row r="514" spans="1:15" ht="13" x14ac:dyDescent="0.15">
      <c r="A514" s="79"/>
      <c r="B514" s="79"/>
      <c r="K514" s="79"/>
      <c r="L514" s="79"/>
      <c r="O514" s="79"/>
    </row>
    <row r="515" spans="1:15" ht="13" x14ac:dyDescent="0.15">
      <c r="A515" s="79"/>
      <c r="B515" s="79"/>
      <c r="K515" s="79"/>
      <c r="L515" s="79"/>
      <c r="O515" s="79"/>
    </row>
    <row r="516" spans="1:15" ht="13" x14ac:dyDescent="0.15">
      <c r="A516" s="79"/>
      <c r="B516" s="79"/>
      <c r="K516" s="79"/>
      <c r="L516" s="79"/>
      <c r="O516" s="79"/>
    </row>
    <row r="517" spans="1:15" ht="13" x14ac:dyDescent="0.15">
      <c r="A517" s="79"/>
      <c r="B517" s="79"/>
      <c r="K517" s="79"/>
      <c r="L517" s="79"/>
      <c r="O517" s="79"/>
    </row>
    <row r="518" spans="1:15" ht="13" x14ac:dyDescent="0.15">
      <c r="A518" s="79"/>
      <c r="B518" s="79"/>
      <c r="K518" s="79"/>
      <c r="L518" s="79"/>
      <c r="O518" s="79"/>
    </row>
    <row r="519" spans="1:15" ht="13" x14ac:dyDescent="0.15">
      <c r="A519" s="79"/>
      <c r="B519" s="79"/>
      <c r="K519" s="79"/>
      <c r="L519" s="79"/>
      <c r="O519" s="79"/>
    </row>
    <row r="520" spans="1:15" ht="13" x14ac:dyDescent="0.15">
      <c r="A520" s="79"/>
      <c r="B520" s="79"/>
      <c r="K520" s="79"/>
      <c r="L520" s="79"/>
      <c r="O520" s="79"/>
    </row>
    <row r="521" spans="1:15" ht="13" x14ac:dyDescent="0.15">
      <c r="A521" s="79"/>
      <c r="B521" s="79"/>
      <c r="K521" s="79"/>
      <c r="L521" s="79"/>
      <c r="O521" s="79"/>
    </row>
    <row r="522" spans="1:15" ht="13" x14ac:dyDescent="0.15">
      <c r="A522" s="79"/>
      <c r="B522" s="79"/>
      <c r="K522" s="79"/>
      <c r="L522" s="79"/>
      <c r="O522" s="79"/>
    </row>
    <row r="523" spans="1:15" ht="13" x14ac:dyDescent="0.15">
      <c r="A523" s="79"/>
      <c r="B523" s="79"/>
      <c r="K523" s="79"/>
      <c r="L523" s="79"/>
      <c r="O523" s="79"/>
    </row>
    <row r="524" spans="1:15" ht="13" x14ac:dyDescent="0.15">
      <c r="A524" s="79"/>
      <c r="B524" s="79"/>
      <c r="K524" s="79"/>
      <c r="L524" s="79"/>
      <c r="O524" s="79"/>
    </row>
    <row r="525" spans="1:15" ht="13" x14ac:dyDescent="0.15">
      <c r="A525" s="79"/>
      <c r="B525" s="79"/>
      <c r="K525" s="79"/>
      <c r="L525" s="79"/>
      <c r="O525" s="79"/>
    </row>
    <row r="526" spans="1:15" ht="13" x14ac:dyDescent="0.15">
      <c r="A526" s="79"/>
      <c r="B526" s="79"/>
      <c r="K526" s="79"/>
      <c r="L526" s="79"/>
      <c r="O526" s="79"/>
    </row>
    <row r="527" spans="1:15" ht="13" x14ac:dyDescent="0.15">
      <c r="A527" s="79"/>
      <c r="B527" s="79"/>
      <c r="K527" s="79"/>
      <c r="L527" s="79"/>
      <c r="O527" s="79"/>
    </row>
    <row r="528" spans="1:15" ht="13" x14ac:dyDescent="0.15">
      <c r="A528" s="79"/>
      <c r="B528" s="79"/>
      <c r="K528" s="79"/>
      <c r="L528" s="79"/>
      <c r="O528" s="79"/>
    </row>
    <row r="529" spans="1:15" ht="13" x14ac:dyDescent="0.15">
      <c r="A529" s="79"/>
      <c r="B529" s="79"/>
      <c r="K529" s="79"/>
      <c r="L529" s="79"/>
      <c r="O529" s="79"/>
    </row>
    <row r="530" spans="1:15" ht="13" x14ac:dyDescent="0.15">
      <c r="A530" s="79"/>
      <c r="B530" s="79"/>
      <c r="K530" s="79"/>
      <c r="L530" s="79"/>
      <c r="O530" s="79"/>
    </row>
    <row r="531" spans="1:15" ht="13" x14ac:dyDescent="0.15">
      <c r="A531" s="79"/>
      <c r="B531" s="79"/>
      <c r="K531" s="79"/>
      <c r="L531" s="79"/>
      <c r="O531" s="79"/>
    </row>
    <row r="532" spans="1:15" ht="13" x14ac:dyDescent="0.15">
      <c r="A532" s="79"/>
      <c r="B532" s="79"/>
      <c r="K532" s="79"/>
      <c r="L532" s="79"/>
      <c r="O532" s="79"/>
    </row>
    <row r="533" spans="1:15" ht="13" x14ac:dyDescent="0.15">
      <c r="A533" s="79"/>
      <c r="B533" s="79"/>
      <c r="K533" s="79"/>
      <c r="L533" s="79"/>
      <c r="O533" s="79"/>
    </row>
    <row r="534" spans="1:15" ht="13" x14ac:dyDescent="0.15">
      <c r="A534" s="79"/>
      <c r="B534" s="79"/>
      <c r="K534" s="79"/>
      <c r="L534" s="79"/>
      <c r="O534" s="79"/>
    </row>
    <row r="535" spans="1:15" ht="13" x14ac:dyDescent="0.15">
      <c r="A535" s="79"/>
      <c r="B535" s="79"/>
      <c r="K535" s="79"/>
      <c r="L535" s="79"/>
      <c r="O535" s="79"/>
    </row>
    <row r="536" spans="1:15" ht="13" x14ac:dyDescent="0.15">
      <c r="A536" s="79"/>
      <c r="B536" s="79"/>
      <c r="K536" s="79"/>
      <c r="L536" s="79"/>
      <c r="O536" s="79"/>
    </row>
    <row r="537" spans="1:15" ht="13" x14ac:dyDescent="0.15">
      <c r="A537" s="79"/>
      <c r="B537" s="79"/>
      <c r="K537" s="79"/>
      <c r="L537" s="79"/>
      <c r="O537" s="79"/>
    </row>
    <row r="538" spans="1:15" ht="13" x14ac:dyDescent="0.15">
      <c r="A538" s="79"/>
      <c r="B538" s="79"/>
      <c r="K538" s="79"/>
      <c r="L538" s="79"/>
      <c r="O538" s="79"/>
    </row>
    <row r="539" spans="1:15" ht="13" x14ac:dyDescent="0.15">
      <c r="A539" s="79"/>
      <c r="B539" s="79"/>
      <c r="K539" s="79"/>
      <c r="L539" s="79"/>
      <c r="O539" s="79"/>
    </row>
    <row r="540" spans="1:15" ht="13" x14ac:dyDescent="0.15">
      <c r="A540" s="79"/>
      <c r="B540" s="79"/>
      <c r="K540" s="79"/>
      <c r="L540" s="79"/>
      <c r="O540" s="79"/>
    </row>
    <row r="541" spans="1:15" ht="13" x14ac:dyDescent="0.15">
      <c r="A541" s="79"/>
      <c r="B541" s="79"/>
      <c r="K541" s="79"/>
      <c r="L541" s="79"/>
      <c r="O541" s="79"/>
    </row>
    <row r="542" spans="1:15" ht="13" x14ac:dyDescent="0.15">
      <c r="A542" s="79"/>
      <c r="B542" s="79"/>
      <c r="K542" s="79"/>
      <c r="L542" s="79"/>
      <c r="O542" s="79"/>
    </row>
    <row r="543" spans="1:15" ht="13" x14ac:dyDescent="0.15">
      <c r="A543" s="79"/>
      <c r="B543" s="79"/>
      <c r="K543" s="79"/>
      <c r="L543" s="79"/>
      <c r="O543" s="79"/>
    </row>
    <row r="544" spans="1:15" ht="13" x14ac:dyDescent="0.15">
      <c r="A544" s="79"/>
      <c r="B544" s="79"/>
      <c r="K544" s="79"/>
      <c r="L544" s="79"/>
      <c r="O544" s="79"/>
    </row>
    <row r="545" spans="1:15" ht="13" x14ac:dyDescent="0.15">
      <c r="A545" s="79"/>
      <c r="B545" s="79"/>
      <c r="K545" s="79"/>
      <c r="L545" s="79"/>
      <c r="O545" s="79"/>
    </row>
    <row r="546" spans="1:15" ht="13" x14ac:dyDescent="0.15">
      <c r="A546" s="79"/>
      <c r="B546" s="79"/>
      <c r="K546" s="79"/>
      <c r="L546" s="79"/>
      <c r="O546" s="79"/>
    </row>
    <row r="547" spans="1:15" ht="13" x14ac:dyDescent="0.15">
      <c r="A547" s="79"/>
      <c r="B547" s="79"/>
      <c r="K547" s="79"/>
      <c r="L547" s="79"/>
      <c r="O547" s="79"/>
    </row>
    <row r="548" spans="1:15" ht="13" x14ac:dyDescent="0.15">
      <c r="A548" s="79"/>
      <c r="B548" s="79"/>
      <c r="K548" s="79"/>
      <c r="L548" s="79"/>
      <c r="O548" s="79"/>
    </row>
    <row r="549" spans="1:15" ht="13" x14ac:dyDescent="0.15">
      <c r="A549" s="79"/>
      <c r="B549" s="79"/>
      <c r="K549" s="79"/>
      <c r="L549" s="79"/>
      <c r="O549" s="79"/>
    </row>
    <row r="550" spans="1:15" ht="13" x14ac:dyDescent="0.15">
      <c r="A550" s="79"/>
      <c r="B550" s="79"/>
      <c r="K550" s="79"/>
      <c r="L550" s="79"/>
      <c r="O550" s="79"/>
    </row>
    <row r="551" spans="1:15" ht="13" x14ac:dyDescent="0.15">
      <c r="A551" s="79"/>
      <c r="B551" s="79"/>
      <c r="K551" s="79"/>
      <c r="L551" s="79"/>
      <c r="O551" s="79"/>
    </row>
    <row r="552" spans="1:15" ht="13" x14ac:dyDescent="0.15">
      <c r="A552" s="79"/>
      <c r="B552" s="79"/>
      <c r="K552" s="79"/>
      <c r="L552" s="79"/>
      <c r="O552" s="79"/>
    </row>
    <row r="553" spans="1:15" ht="13" x14ac:dyDescent="0.15">
      <c r="A553" s="79"/>
      <c r="B553" s="79"/>
      <c r="K553" s="79"/>
      <c r="L553" s="79"/>
      <c r="O553" s="79"/>
    </row>
    <row r="554" spans="1:15" ht="13" x14ac:dyDescent="0.15">
      <c r="A554" s="79"/>
      <c r="B554" s="79"/>
      <c r="K554" s="79"/>
      <c r="L554" s="79"/>
      <c r="O554" s="79"/>
    </row>
    <row r="555" spans="1:15" ht="13" x14ac:dyDescent="0.15">
      <c r="A555" s="79"/>
      <c r="B555" s="79"/>
      <c r="K555" s="79"/>
      <c r="L555" s="79"/>
      <c r="O555" s="79"/>
    </row>
    <row r="556" spans="1:15" ht="13" x14ac:dyDescent="0.15">
      <c r="A556" s="79"/>
      <c r="B556" s="79"/>
      <c r="K556" s="79"/>
      <c r="L556" s="79"/>
      <c r="O556" s="79"/>
    </row>
    <row r="557" spans="1:15" ht="13" x14ac:dyDescent="0.15">
      <c r="A557" s="79"/>
      <c r="B557" s="79"/>
      <c r="K557" s="79"/>
      <c r="L557" s="79"/>
      <c r="O557" s="79"/>
    </row>
    <row r="558" spans="1:15" ht="13" x14ac:dyDescent="0.15">
      <c r="A558" s="79"/>
      <c r="B558" s="79"/>
      <c r="K558" s="79"/>
      <c r="L558" s="79"/>
      <c r="O558" s="79"/>
    </row>
    <row r="559" spans="1:15" ht="13" x14ac:dyDescent="0.15">
      <c r="A559" s="79"/>
      <c r="B559" s="79"/>
      <c r="K559" s="79"/>
      <c r="L559" s="79"/>
      <c r="O559" s="79"/>
    </row>
    <row r="560" spans="1:15" ht="13" x14ac:dyDescent="0.15">
      <c r="A560" s="79"/>
      <c r="B560" s="79"/>
      <c r="K560" s="79"/>
      <c r="L560" s="79"/>
      <c r="O560" s="79"/>
    </row>
    <row r="561" spans="1:15" ht="13" x14ac:dyDescent="0.15">
      <c r="A561" s="79"/>
      <c r="B561" s="79"/>
      <c r="K561" s="79"/>
      <c r="L561" s="79"/>
      <c r="O561" s="79"/>
    </row>
    <row r="562" spans="1:15" ht="13" x14ac:dyDescent="0.15">
      <c r="A562" s="79"/>
      <c r="B562" s="79"/>
      <c r="K562" s="79"/>
      <c r="L562" s="79"/>
      <c r="O562" s="79"/>
    </row>
    <row r="563" spans="1:15" ht="13" x14ac:dyDescent="0.15">
      <c r="A563" s="79"/>
      <c r="B563" s="79"/>
      <c r="K563" s="79"/>
      <c r="L563" s="79"/>
      <c r="O563" s="79"/>
    </row>
    <row r="564" spans="1:15" ht="13" x14ac:dyDescent="0.15">
      <c r="A564" s="79"/>
      <c r="B564" s="79"/>
      <c r="K564" s="79"/>
      <c r="L564" s="79"/>
      <c r="O564" s="79"/>
    </row>
    <row r="565" spans="1:15" ht="13" x14ac:dyDescent="0.15">
      <c r="A565" s="79"/>
      <c r="B565" s="79"/>
      <c r="K565" s="79"/>
      <c r="L565" s="79"/>
      <c r="O565" s="79"/>
    </row>
    <row r="566" spans="1:15" ht="13" x14ac:dyDescent="0.15">
      <c r="A566" s="79"/>
      <c r="B566" s="79"/>
      <c r="K566" s="79"/>
      <c r="L566" s="79"/>
      <c r="O566" s="79"/>
    </row>
    <row r="567" spans="1:15" ht="13" x14ac:dyDescent="0.15">
      <c r="A567" s="79"/>
      <c r="B567" s="79"/>
      <c r="K567" s="79"/>
      <c r="L567" s="79"/>
      <c r="O567" s="79"/>
    </row>
    <row r="568" spans="1:15" ht="13" x14ac:dyDescent="0.15">
      <c r="A568" s="79"/>
      <c r="B568" s="79"/>
      <c r="K568" s="79"/>
      <c r="L568" s="79"/>
      <c r="O568" s="79"/>
    </row>
    <row r="569" spans="1:15" ht="13" x14ac:dyDescent="0.15">
      <c r="A569" s="79"/>
      <c r="B569" s="79"/>
      <c r="K569" s="79"/>
      <c r="L569" s="79"/>
      <c r="O569" s="79"/>
    </row>
    <row r="570" spans="1:15" ht="13" x14ac:dyDescent="0.15">
      <c r="A570" s="79"/>
      <c r="B570" s="79"/>
      <c r="K570" s="79"/>
      <c r="L570" s="79"/>
      <c r="O570" s="79"/>
    </row>
    <row r="571" spans="1:15" ht="13" x14ac:dyDescent="0.15">
      <c r="A571" s="79"/>
      <c r="B571" s="79"/>
      <c r="K571" s="79"/>
      <c r="L571" s="79"/>
      <c r="O571" s="79"/>
    </row>
    <row r="572" spans="1:15" ht="13" x14ac:dyDescent="0.15">
      <c r="A572" s="79"/>
      <c r="B572" s="79"/>
      <c r="K572" s="79"/>
      <c r="L572" s="79"/>
      <c r="O572" s="79"/>
    </row>
    <row r="573" spans="1:15" ht="13" x14ac:dyDescent="0.15">
      <c r="A573" s="79"/>
      <c r="B573" s="79"/>
      <c r="K573" s="79"/>
      <c r="L573" s="79"/>
      <c r="O573" s="79"/>
    </row>
    <row r="574" spans="1:15" ht="13" x14ac:dyDescent="0.15">
      <c r="A574" s="79"/>
      <c r="B574" s="79"/>
      <c r="K574" s="79"/>
      <c r="L574" s="79"/>
      <c r="O574" s="79"/>
    </row>
    <row r="575" spans="1:15" ht="13" x14ac:dyDescent="0.15">
      <c r="A575" s="79"/>
      <c r="B575" s="79"/>
      <c r="K575" s="79"/>
      <c r="L575" s="79"/>
      <c r="O575" s="79"/>
    </row>
    <row r="576" spans="1:15" ht="13" x14ac:dyDescent="0.15">
      <c r="A576" s="79"/>
      <c r="B576" s="79"/>
      <c r="K576" s="79"/>
      <c r="L576" s="79"/>
      <c r="O576" s="79"/>
    </row>
    <row r="577" spans="1:15" ht="13" x14ac:dyDescent="0.15">
      <c r="A577" s="79"/>
      <c r="B577" s="79"/>
      <c r="K577" s="79"/>
      <c r="L577" s="79"/>
      <c r="O577" s="79"/>
    </row>
    <row r="578" spans="1:15" ht="13" x14ac:dyDescent="0.15">
      <c r="A578" s="79"/>
      <c r="B578" s="79"/>
      <c r="K578" s="79"/>
      <c r="L578" s="79"/>
      <c r="O578" s="79"/>
    </row>
    <row r="579" spans="1:15" ht="13" x14ac:dyDescent="0.15">
      <c r="A579" s="79"/>
      <c r="B579" s="79"/>
      <c r="K579" s="79"/>
      <c r="L579" s="79"/>
      <c r="O579" s="79"/>
    </row>
    <row r="580" spans="1:15" ht="13" x14ac:dyDescent="0.15">
      <c r="A580" s="79"/>
      <c r="B580" s="79"/>
      <c r="K580" s="79"/>
      <c r="L580" s="79"/>
      <c r="O580" s="79"/>
    </row>
    <row r="581" spans="1:15" ht="13" x14ac:dyDescent="0.15">
      <c r="A581" s="79"/>
      <c r="B581" s="79"/>
      <c r="K581" s="79"/>
      <c r="L581" s="79"/>
      <c r="O581" s="79"/>
    </row>
    <row r="582" spans="1:15" ht="13" x14ac:dyDescent="0.15">
      <c r="A582" s="79"/>
      <c r="B582" s="79"/>
      <c r="K582" s="79"/>
      <c r="L582" s="79"/>
      <c r="O582" s="79"/>
    </row>
    <row r="583" spans="1:15" ht="13" x14ac:dyDescent="0.15">
      <c r="A583" s="79"/>
      <c r="B583" s="79"/>
      <c r="K583" s="79"/>
      <c r="L583" s="79"/>
      <c r="O583" s="79"/>
    </row>
    <row r="584" spans="1:15" ht="13" x14ac:dyDescent="0.15">
      <c r="A584" s="79"/>
      <c r="B584" s="79"/>
      <c r="K584" s="79"/>
      <c r="L584" s="79"/>
      <c r="O584" s="79"/>
    </row>
    <row r="585" spans="1:15" ht="13" x14ac:dyDescent="0.15">
      <c r="A585" s="79"/>
      <c r="B585" s="79"/>
      <c r="K585" s="79"/>
      <c r="L585" s="79"/>
      <c r="O585" s="79"/>
    </row>
    <row r="586" spans="1:15" ht="13" x14ac:dyDescent="0.15">
      <c r="A586" s="79"/>
      <c r="B586" s="79"/>
      <c r="K586" s="79"/>
      <c r="L586" s="79"/>
      <c r="O586" s="79"/>
    </row>
    <row r="587" spans="1:15" ht="13" x14ac:dyDescent="0.15">
      <c r="A587" s="79"/>
      <c r="B587" s="79"/>
      <c r="K587" s="79"/>
      <c r="L587" s="79"/>
      <c r="O587" s="79"/>
    </row>
    <row r="588" spans="1:15" ht="13" x14ac:dyDescent="0.15">
      <c r="A588" s="79"/>
      <c r="B588" s="79"/>
      <c r="K588" s="79"/>
      <c r="L588" s="79"/>
      <c r="O588" s="79"/>
    </row>
    <row r="589" spans="1:15" ht="13" x14ac:dyDescent="0.15">
      <c r="A589" s="79"/>
      <c r="B589" s="79"/>
      <c r="K589" s="79"/>
      <c r="L589" s="79"/>
      <c r="O589" s="79"/>
    </row>
    <row r="590" spans="1:15" ht="13" x14ac:dyDescent="0.15">
      <c r="A590" s="79"/>
      <c r="B590" s="79"/>
      <c r="K590" s="79"/>
      <c r="L590" s="79"/>
      <c r="O590" s="79"/>
    </row>
    <row r="591" spans="1:15" ht="13" x14ac:dyDescent="0.15">
      <c r="A591" s="79"/>
      <c r="B591" s="79"/>
      <c r="K591" s="79"/>
      <c r="L591" s="79"/>
      <c r="O591" s="79"/>
    </row>
    <row r="592" spans="1:15" ht="13" x14ac:dyDescent="0.15">
      <c r="A592" s="79"/>
      <c r="B592" s="79"/>
      <c r="K592" s="79"/>
      <c r="L592" s="79"/>
      <c r="O592" s="79"/>
    </row>
    <row r="593" spans="1:15" ht="13" x14ac:dyDescent="0.15">
      <c r="A593" s="79"/>
      <c r="B593" s="79"/>
      <c r="K593" s="79"/>
      <c r="L593" s="79"/>
      <c r="O593" s="79"/>
    </row>
    <row r="594" spans="1:15" ht="13" x14ac:dyDescent="0.15">
      <c r="A594" s="79"/>
      <c r="B594" s="79"/>
      <c r="K594" s="79"/>
      <c r="L594" s="79"/>
      <c r="O594" s="79"/>
    </row>
    <row r="595" spans="1:15" ht="13" x14ac:dyDescent="0.15">
      <c r="A595" s="79"/>
      <c r="B595" s="79"/>
      <c r="K595" s="79"/>
      <c r="L595" s="79"/>
      <c r="O595" s="79"/>
    </row>
    <row r="596" spans="1:15" ht="13" x14ac:dyDescent="0.15">
      <c r="A596" s="79"/>
      <c r="B596" s="79"/>
      <c r="K596" s="79"/>
      <c r="L596" s="79"/>
      <c r="O596" s="79"/>
    </row>
    <row r="597" spans="1:15" ht="13" x14ac:dyDescent="0.15">
      <c r="A597" s="79"/>
      <c r="B597" s="79"/>
      <c r="K597" s="79"/>
      <c r="L597" s="79"/>
      <c r="O597" s="79"/>
    </row>
    <row r="598" spans="1:15" ht="13" x14ac:dyDescent="0.15">
      <c r="A598" s="79"/>
      <c r="B598" s="79"/>
      <c r="K598" s="79"/>
      <c r="L598" s="79"/>
      <c r="O598" s="79"/>
    </row>
    <row r="599" spans="1:15" ht="13" x14ac:dyDescent="0.15">
      <c r="A599" s="79"/>
      <c r="B599" s="79"/>
      <c r="K599" s="79"/>
      <c r="L599" s="79"/>
      <c r="O599" s="79"/>
    </row>
    <row r="600" spans="1:15" ht="13" x14ac:dyDescent="0.15">
      <c r="A600" s="79"/>
      <c r="B600" s="79"/>
      <c r="K600" s="79"/>
      <c r="L600" s="79"/>
      <c r="O600" s="79"/>
    </row>
    <row r="601" spans="1:15" ht="13" x14ac:dyDescent="0.15">
      <c r="A601" s="79"/>
      <c r="B601" s="79"/>
      <c r="K601" s="79"/>
      <c r="L601" s="79"/>
      <c r="O601" s="79"/>
    </row>
    <row r="602" spans="1:15" ht="13" x14ac:dyDescent="0.15">
      <c r="A602" s="79"/>
      <c r="B602" s="79"/>
      <c r="K602" s="79"/>
      <c r="L602" s="79"/>
      <c r="O602" s="79"/>
    </row>
    <row r="603" spans="1:15" ht="13" x14ac:dyDescent="0.15">
      <c r="A603" s="79"/>
      <c r="B603" s="79"/>
      <c r="K603" s="79"/>
      <c r="L603" s="79"/>
      <c r="O603" s="79"/>
    </row>
    <row r="604" spans="1:15" ht="13" x14ac:dyDescent="0.15">
      <c r="A604" s="79"/>
      <c r="B604" s="79"/>
      <c r="K604" s="79"/>
      <c r="L604" s="79"/>
      <c r="O604" s="79"/>
    </row>
    <row r="605" spans="1:15" ht="13" x14ac:dyDescent="0.15">
      <c r="A605" s="79"/>
      <c r="B605" s="79"/>
      <c r="K605" s="79"/>
      <c r="L605" s="79"/>
      <c r="O605" s="79"/>
    </row>
    <row r="606" spans="1:15" ht="13" x14ac:dyDescent="0.15">
      <c r="A606" s="79"/>
      <c r="B606" s="79"/>
      <c r="K606" s="79"/>
      <c r="L606" s="79"/>
      <c r="O606" s="79"/>
    </row>
    <row r="607" spans="1:15" ht="13" x14ac:dyDescent="0.15">
      <c r="A607" s="79"/>
      <c r="B607" s="79"/>
      <c r="K607" s="79"/>
      <c r="L607" s="79"/>
      <c r="O607" s="79"/>
    </row>
    <row r="608" spans="1:15" ht="13" x14ac:dyDescent="0.15">
      <c r="A608" s="79"/>
      <c r="B608" s="79"/>
      <c r="K608" s="79"/>
      <c r="L608" s="79"/>
      <c r="O608" s="79"/>
    </row>
    <row r="609" spans="1:15" ht="13" x14ac:dyDescent="0.15">
      <c r="A609" s="79"/>
      <c r="B609" s="79"/>
      <c r="K609" s="79"/>
      <c r="L609" s="79"/>
      <c r="O609" s="79"/>
    </row>
    <row r="610" spans="1:15" ht="13" x14ac:dyDescent="0.15">
      <c r="A610" s="79"/>
      <c r="B610" s="79"/>
      <c r="K610" s="79"/>
      <c r="L610" s="79"/>
      <c r="O610" s="79"/>
    </row>
    <row r="611" spans="1:15" ht="13" x14ac:dyDescent="0.15">
      <c r="A611" s="79"/>
      <c r="B611" s="79"/>
      <c r="K611" s="79"/>
      <c r="L611" s="79"/>
      <c r="O611" s="79"/>
    </row>
    <row r="612" spans="1:15" ht="13" x14ac:dyDescent="0.15">
      <c r="A612" s="79"/>
      <c r="B612" s="79"/>
      <c r="K612" s="79"/>
      <c r="L612" s="79"/>
      <c r="O612" s="79"/>
    </row>
    <row r="613" spans="1:15" ht="13" x14ac:dyDescent="0.15">
      <c r="A613" s="79"/>
      <c r="B613" s="79"/>
      <c r="K613" s="79"/>
      <c r="L613" s="79"/>
      <c r="O613" s="79"/>
    </row>
    <row r="614" spans="1:15" ht="13" x14ac:dyDescent="0.15">
      <c r="A614" s="79"/>
      <c r="B614" s="79"/>
      <c r="K614" s="79"/>
      <c r="L614" s="79"/>
      <c r="O614" s="79"/>
    </row>
    <row r="615" spans="1:15" ht="13" x14ac:dyDescent="0.15">
      <c r="A615" s="79"/>
      <c r="B615" s="79"/>
      <c r="K615" s="79"/>
      <c r="L615" s="79"/>
      <c r="O615" s="79"/>
    </row>
    <row r="616" spans="1:15" ht="13" x14ac:dyDescent="0.15">
      <c r="A616" s="79"/>
      <c r="B616" s="79"/>
      <c r="K616" s="79"/>
      <c r="L616" s="79"/>
      <c r="O616" s="79"/>
    </row>
    <row r="617" spans="1:15" ht="13" x14ac:dyDescent="0.15">
      <c r="A617" s="79"/>
      <c r="B617" s="79"/>
      <c r="K617" s="79"/>
      <c r="L617" s="79"/>
      <c r="O617" s="79"/>
    </row>
    <row r="618" spans="1:15" ht="13" x14ac:dyDescent="0.15">
      <c r="A618" s="79"/>
      <c r="B618" s="79"/>
      <c r="K618" s="79"/>
      <c r="L618" s="79"/>
      <c r="O618" s="79"/>
    </row>
    <row r="619" spans="1:15" ht="13" x14ac:dyDescent="0.15">
      <c r="A619" s="79"/>
      <c r="B619" s="79"/>
      <c r="K619" s="79"/>
      <c r="L619" s="79"/>
      <c r="O619" s="79"/>
    </row>
    <row r="620" spans="1:15" ht="13" x14ac:dyDescent="0.15">
      <c r="A620" s="79"/>
      <c r="B620" s="79"/>
      <c r="K620" s="79"/>
      <c r="L620" s="79"/>
      <c r="O620" s="79"/>
    </row>
    <row r="621" spans="1:15" ht="13" x14ac:dyDescent="0.15">
      <c r="A621" s="79"/>
      <c r="B621" s="79"/>
      <c r="K621" s="79"/>
      <c r="L621" s="79"/>
      <c r="O621" s="79"/>
    </row>
    <row r="622" spans="1:15" ht="13" x14ac:dyDescent="0.15">
      <c r="A622" s="79"/>
      <c r="B622" s="79"/>
      <c r="K622" s="79"/>
      <c r="L622" s="79"/>
      <c r="O622" s="79"/>
    </row>
    <row r="623" spans="1:15" ht="13" x14ac:dyDescent="0.15">
      <c r="A623" s="79"/>
      <c r="B623" s="79"/>
      <c r="K623" s="79"/>
      <c r="L623" s="79"/>
      <c r="O623" s="79"/>
    </row>
    <row r="624" spans="1:15" ht="13" x14ac:dyDescent="0.15">
      <c r="A624" s="79"/>
      <c r="B624" s="79"/>
      <c r="K624" s="79"/>
      <c r="L624" s="79"/>
      <c r="O624" s="79"/>
    </row>
    <row r="625" spans="1:15" ht="13" x14ac:dyDescent="0.15">
      <c r="A625" s="79"/>
      <c r="B625" s="79"/>
      <c r="K625" s="79"/>
      <c r="L625" s="79"/>
      <c r="O625" s="79"/>
    </row>
    <row r="626" spans="1:15" ht="13" x14ac:dyDescent="0.15">
      <c r="A626" s="79"/>
      <c r="B626" s="79"/>
      <c r="K626" s="79"/>
      <c r="L626" s="79"/>
      <c r="O626" s="79"/>
    </row>
    <row r="627" spans="1:15" ht="13" x14ac:dyDescent="0.15">
      <c r="A627" s="79"/>
      <c r="B627" s="79"/>
      <c r="K627" s="79"/>
      <c r="L627" s="79"/>
      <c r="O627" s="79"/>
    </row>
    <row r="628" spans="1:15" ht="13" x14ac:dyDescent="0.15">
      <c r="A628" s="79"/>
      <c r="B628" s="79"/>
      <c r="K628" s="79"/>
      <c r="L628" s="79"/>
      <c r="O628" s="79"/>
    </row>
    <row r="629" spans="1:15" ht="13" x14ac:dyDescent="0.15">
      <c r="A629" s="79"/>
      <c r="B629" s="79"/>
      <c r="K629" s="79"/>
      <c r="L629" s="79"/>
      <c r="O629" s="79"/>
    </row>
    <row r="630" spans="1:15" ht="13" x14ac:dyDescent="0.15">
      <c r="A630" s="79"/>
      <c r="B630" s="79"/>
      <c r="K630" s="79"/>
      <c r="L630" s="79"/>
      <c r="O630" s="79"/>
    </row>
    <row r="631" spans="1:15" ht="13" x14ac:dyDescent="0.15">
      <c r="A631" s="79"/>
      <c r="B631" s="79"/>
      <c r="K631" s="79"/>
      <c r="L631" s="79"/>
      <c r="O631" s="79"/>
    </row>
    <row r="632" spans="1:15" ht="13" x14ac:dyDescent="0.15">
      <c r="A632" s="79"/>
      <c r="B632" s="79"/>
      <c r="K632" s="79"/>
      <c r="L632" s="79"/>
      <c r="O632" s="79"/>
    </row>
    <row r="633" spans="1:15" ht="13" x14ac:dyDescent="0.15">
      <c r="A633" s="79"/>
      <c r="B633" s="79"/>
      <c r="K633" s="79"/>
      <c r="L633" s="79"/>
      <c r="O633" s="79"/>
    </row>
    <row r="634" spans="1:15" ht="13" x14ac:dyDescent="0.15">
      <c r="A634" s="79"/>
      <c r="B634" s="79"/>
      <c r="K634" s="79"/>
      <c r="L634" s="79"/>
      <c r="O634" s="79"/>
    </row>
    <row r="635" spans="1:15" ht="13" x14ac:dyDescent="0.15">
      <c r="A635" s="79"/>
      <c r="B635" s="79"/>
      <c r="K635" s="79"/>
      <c r="L635" s="79"/>
      <c r="O635" s="79"/>
    </row>
    <row r="636" spans="1:15" ht="13" x14ac:dyDescent="0.15">
      <c r="A636" s="79"/>
      <c r="B636" s="79"/>
      <c r="K636" s="79"/>
      <c r="L636" s="79"/>
      <c r="O636" s="79"/>
    </row>
    <row r="637" spans="1:15" ht="13" x14ac:dyDescent="0.15">
      <c r="A637" s="79"/>
      <c r="B637" s="79"/>
      <c r="K637" s="79"/>
      <c r="L637" s="79"/>
      <c r="O637" s="79"/>
    </row>
    <row r="638" spans="1:15" ht="13" x14ac:dyDescent="0.15">
      <c r="A638" s="79"/>
      <c r="B638" s="79"/>
      <c r="K638" s="79"/>
      <c r="L638" s="79"/>
      <c r="O638" s="79"/>
    </row>
    <row r="639" spans="1:15" ht="13" x14ac:dyDescent="0.15">
      <c r="A639" s="79"/>
      <c r="B639" s="79"/>
      <c r="K639" s="79"/>
      <c r="L639" s="79"/>
      <c r="O639" s="79"/>
    </row>
    <row r="640" spans="1:15" ht="13" x14ac:dyDescent="0.15">
      <c r="A640" s="79"/>
      <c r="B640" s="79"/>
      <c r="K640" s="79"/>
      <c r="L640" s="79"/>
      <c r="O640" s="79"/>
    </row>
    <row r="641" spans="1:15" ht="13" x14ac:dyDescent="0.15">
      <c r="A641" s="79"/>
      <c r="B641" s="79"/>
      <c r="K641" s="79"/>
      <c r="L641" s="79"/>
      <c r="O641" s="79"/>
    </row>
    <row r="642" spans="1:15" ht="13" x14ac:dyDescent="0.15">
      <c r="A642" s="79"/>
      <c r="B642" s="79"/>
      <c r="K642" s="79"/>
      <c r="L642" s="79"/>
      <c r="O642" s="79"/>
    </row>
    <row r="643" spans="1:15" ht="13" x14ac:dyDescent="0.15">
      <c r="A643" s="79"/>
      <c r="B643" s="79"/>
      <c r="K643" s="79"/>
      <c r="L643" s="79"/>
      <c r="O643" s="79"/>
    </row>
    <row r="644" spans="1:15" ht="13" x14ac:dyDescent="0.15">
      <c r="A644" s="79"/>
      <c r="B644" s="79"/>
      <c r="K644" s="79"/>
      <c r="L644" s="79"/>
      <c r="O644" s="79"/>
    </row>
    <row r="645" spans="1:15" ht="13" x14ac:dyDescent="0.15">
      <c r="A645" s="79"/>
      <c r="B645" s="79"/>
      <c r="K645" s="79"/>
      <c r="L645" s="79"/>
      <c r="O645" s="79"/>
    </row>
    <row r="646" spans="1:15" ht="13" x14ac:dyDescent="0.15">
      <c r="A646" s="79"/>
      <c r="B646" s="79"/>
      <c r="K646" s="79"/>
      <c r="L646" s="79"/>
      <c r="O646" s="79"/>
    </row>
    <row r="647" spans="1:15" ht="13" x14ac:dyDescent="0.15">
      <c r="A647" s="79"/>
      <c r="B647" s="79"/>
      <c r="K647" s="79"/>
      <c r="L647" s="79"/>
      <c r="O647" s="79"/>
    </row>
    <row r="648" spans="1:15" ht="13" x14ac:dyDescent="0.15">
      <c r="A648" s="79"/>
      <c r="B648" s="79"/>
      <c r="K648" s="79"/>
      <c r="L648" s="79"/>
      <c r="O648" s="79"/>
    </row>
    <row r="649" spans="1:15" ht="13" x14ac:dyDescent="0.15">
      <c r="A649" s="79"/>
      <c r="B649" s="79"/>
      <c r="K649" s="79"/>
      <c r="L649" s="79"/>
      <c r="O649" s="79"/>
    </row>
    <row r="650" spans="1:15" ht="13" x14ac:dyDescent="0.15">
      <c r="A650" s="79"/>
      <c r="B650" s="79"/>
      <c r="K650" s="79"/>
      <c r="L650" s="79"/>
      <c r="O650" s="79"/>
    </row>
    <row r="651" spans="1:15" ht="13" x14ac:dyDescent="0.15">
      <c r="A651" s="79"/>
      <c r="B651" s="79"/>
      <c r="K651" s="79"/>
      <c r="L651" s="79"/>
      <c r="O651" s="79"/>
    </row>
    <row r="652" spans="1:15" ht="13" x14ac:dyDescent="0.15">
      <c r="A652" s="79"/>
      <c r="B652" s="79"/>
      <c r="K652" s="79"/>
      <c r="L652" s="79"/>
      <c r="O652" s="79"/>
    </row>
    <row r="653" spans="1:15" ht="13" x14ac:dyDescent="0.15">
      <c r="A653" s="79"/>
      <c r="B653" s="79"/>
      <c r="K653" s="79"/>
      <c r="L653" s="79"/>
      <c r="O653" s="79"/>
    </row>
    <row r="654" spans="1:15" ht="13" x14ac:dyDescent="0.15">
      <c r="A654" s="79"/>
      <c r="B654" s="79"/>
      <c r="K654" s="79"/>
      <c r="L654" s="79"/>
      <c r="O654" s="79"/>
    </row>
    <row r="655" spans="1:15" ht="13" x14ac:dyDescent="0.15">
      <c r="A655" s="79"/>
      <c r="B655" s="79"/>
      <c r="K655" s="79"/>
      <c r="L655" s="79"/>
      <c r="O655" s="79"/>
    </row>
    <row r="656" spans="1:15" ht="13" x14ac:dyDescent="0.15">
      <c r="A656" s="79"/>
      <c r="B656" s="79"/>
      <c r="K656" s="79"/>
      <c r="L656" s="79"/>
      <c r="O656" s="79"/>
    </row>
    <row r="657" spans="1:15" ht="13" x14ac:dyDescent="0.15">
      <c r="A657" s="79"/>
      <c r="B657" s="79"/>
      <c r="K657" s="79"/>
      <c r="L657" s="79"/>
      <c r="O657" s="79"/>
    </row>
    <row r="658" spans="1:15" ht="13" x14ac:dyDescent="0.15">
      <c r="A658" s="79"/>
      <c r="B658" s="79"/>
      <c r="K658" s="79"/>
      <c r="L658" s="79"/>
      <c r="O658" s="79"/>
    </row>
    <row r="659" spans="1:15" ht="13" x14ac:dyDescent="0.15">
      <c r="A659" s="79"/>
      <c r="B659" s="79"/>
      <c r="K659" s="79"/>
      <c r="L659" s="79"/>
      <c r="O659" s="79"/>
    </row>
    <row r="660" spans="1:15" ht="13" x14ac:dyDescent="0.15">
      <c r="A660" s="79"/>
      <c r="B660" s="79"/>
      <c r="K660" s="79"/>
      <c r="L660" s="79"/>
      <c r="O660" s="79"/>
    </row>
    <row r="661" spans="1:15" ht="13" x14ac:dyDescent="0.15">
      <c r="A661" s="79"/>
      <c r="B661" s="79"/>
      <c r="K661" s="79"/>
      <c r="L661" s="79"/>
      <c r="O661" s="79"/>
    </row>
    <row r="662" spans="1:15" ht="13" x14ac:dyDescent="0.15">
      <c r="A662" s="79"/>
      <c r="B662" s="79"/>
      <c r="K662" s="79"/>
      <c r="L662" s="79"/>
      <c r="O662" s="79"/>
    </row>
    <row r="663" spans="1:15" ht="13" x14ac:dyDescent="0.15">
      <c r="A663" s="79"/>
      <c r="B663" s="79"/>
      <c r="K663" s="79"/>
      <c r="L663" s="79"/>
      <c r="O663" s="79"/>
    </row>
    <row r="664" spans="1:15" ht="13" x14ac:dyDescent="0.15">
      <c r="A664" s="79"/>
      <c r="B664" s="79"/>
      <c r="K664" s="79"/>
      <c r="L664" s="79"/>
      <c r="O664" s="79"/>
    </row>
    <row r="665" spans="1:15" ht="13" x14ac:dyDescent="0.15">
      <c r="A665" s="79"/>
      <c r="B665" s="79"/>
      <c r="K665" s="79"/>
      <c r="L665" s="79"/>
      <c r="O665" s="79"/>
    </row>
    <row r="666" spans="1:15" ht="13" x14ac:dyDescent="0.15">
      <c r="A666" s="79"/>
      <c r="B666" s="79"/>
      <c r="K666" s="79"/>
      <c r="L666" s="79"/>
      <c r="O666" s="79"/>
    </row>
    <row r="667" spans="1:15" ht="13" x14ac:dyDescent="0.15">
      <c r="A667" s="79"/>
      <c r="B667" s="79"/>
      <c r="K667" s="79"/>
      <c r="L667" s="79"/>
      <c r="O667" s="79"/>
    </row>
    <row r="668" spans="1:15" ht="13" x14ac:dyDescent="0.15">
      <c r="A668" s="79"/>
      <c r="B668" s="79"/>
      <c r="K668" s="79"/>
      <c r="L668" s="79"/>
      <c r="O668" s="79"/>
    </row>
    <row r="669" spans="1:15" ht="13" x14ac:dyDescent="0.15">
      <c r="A669" s="79"/>
      <c r="B669" s="79"/>
      <c r="K669" s="79"/>
      <c r="L669" s="79"/>
      <c r="O669" s="79"/>
    </row>
    <row r="670" spans="1:15" ht="13" x14ac:dyDescent="0.15">
      <c r="A670" s="79"/>
      <c r="B670" s="79"/>
      <c r="K670" s="79"/>
      <c r="L670" s="79"/>
      <c r="O670" s="79"/>
    </row>
    <row r="671" spans="1:15" ht="13" x14ac:dyDescent="0.15">
      <c r="A671" s="79"/>
      <c r="B671" s="79"/>
      <c r="K671" s="79"/>
      <c r="L671" s="79"/>
      <c r="O671" s="79"/>
    </row>
    <row r="672" spans="1:15" ht="13" x14ac:dyDescent="0.15">
      <c r="A672" s="79"/>
      <c r="B672" s="79"/>
      <c r="K672" s="79"/>
      <c r="L672" s="79"/>
      <c r="O672" s="79"/>
    </row>
    <row r="673" spans="1:15" ht="13" x14ac:dyDescent="0.15">
      <c r="A673" s="79"/>
      <c r="B673" s="79"/>
      <c r="K673" s="79"/>
      <c r="L673" s="79"/>
      <c r="O673" s="79"/>
    </row>
    <row r="674" spans="1:15" ht="13" x14ac:dyDescent="0.15">
      <c r="A674" s="79"/>
      <c r="B674" s="79"/>
      <c r="K674" s="79"/>
      <c r="L674" s="79"/>
      <c r="O674" s="79"/>
    </row>
    <row r="675" spans="1:15" ht="13" x14ac:dyDescent="0.15">
      <c r="A675" s="79"/>
      <c r="B675" s="79"/>
      <c r="K675" s="79"/>
      <c r="L675" s="79"/>
      <c r="O675" s="79"/>
    </row>
    <row r="676" spans="1:15" ht="13" x14ac:dyDescent="0.15">
      <c r="A676" s="79"/>
      <c r="B676" s="79"/>
      <c r="K676" s="79"/>
      <c r="L676" s="79"/>
      <c r="O676" s="79"/>
    </row>
    <row r="677" spans="1:15" ht="13" x14ac:dyDescent="0.15">
      <c r="A677" s="79"/>
      <c r="B677" s="79"/>
      <c r="K677" s="79"/>
      <c r="L677" s="79"/>
      <c r="O677" s="79"/>
    </row>
    <row r="678" spans="1:15" ht="13" x14ac:dyDescent="0.15">
      <c r="A678" s="79"/>
      <c r="B678" s="79"/>
      <c r="K678" s="79"/>
      <c r="L678" s="79"/>
      <c r="O678" s="79"/>
    </row>
    <row r="679" spans="1:15" ht="13" x14ac:dyDescent="0.15">
      <c r="A679" s="79"/>
      <c r="B679" s="79"/>
      <c r="K679" s="79"/>
      <c r="L679" s="79"/>
      <c r="O679" s="79"/>
    </row>
    <row r="680" spans="1:15" ht="13" x14ac:dyDescent="0.15">
      <c r="A680" s="79"/>
      <c r="B680" s="79"/>
      <c r="K680" s="79"/>
      <c r="L680" s="79"/>
      <c r="O680" s="79"/>
    </row>
    <row r="681" spans="1:15" ht="13" x14ac:dyDescent="0.15">
      <c r="A681" s="79"/>
      <c r="B681" s="79"/>
      <c r="K681" s="79"/>
      <c r="L681" s="79"/>
      <c r="O681" s="79"/>
    </row>
    <row r="682" spans="1:15" ht="13" x14ac:dyDescent="0.15">
      <c r="A682" s="79"/>
      <c r="B682" s="79"/>
      <c r="K682" s="79"/>
      <c r="L682" s="79"/>
      <c r="O682" s="79"/>
    </row>
    <row r="683" spans="1:15" ht="13" x14ac:dyDescent="0.15">
      <c r="A683" s="79"/>
      <c r="B683" s="79"/>
      <c r="K683" s="79"/>
      <c r="L683" s="79"/>
      <c r="O683" s="79"/>
    </row>
    <row r="684" spans="1:15" ht="13" x14ac:dyDescent="0.15">
      <c r="A684" s="79"/>
      <c r="B684" s="79"/>
      <c r="K684" s="79"/>
      <c r="L684" s="79"/>
      <c r="O684" s="79"/>
    </row>
    <row r="685" spans="1:15" ht="13" x14ac:dyDescent="0.15">
      <c r="A685" s="79"/>
      <c r="B685" s="79"/>
      <c r="K685" s="79"/>
      <c r="L685" s="79"/>
      <c r="O685" s="79"/>
    </row>
    <row r="686" spans="1:15" ht="13" x14ac:dyDescent="0.15">
      <c r="A686" s="79"/>
      <c r="B686" s="79"/>
      <c r="K686" s="79"/>
      <c r="L686" s="79"/>
      <c r="O686" s="79"/>
    </row>
    <row r="687" spans="1:15" ht="13" x14ac:dyDescent="0.15">
      <c r="A687" s="79"/>
      <c r="B687" s="79"/>
      <c r="K687" s="79"/>
      <c r="L687" s="79"/>
      <c r="O687" s="79"/>
    </row>
    <row r="688" spans="1:15" ht="13" x14ac:dyDescent="0.15">
      <c r="A688" s="79"/>
      <c r="B688" s="79"/>
      <c r="K688" s="79"/>
      <c r="L688" s="79"/>
      <c r="O688" s="79"/>
    </row>
    <row r="689" spans="1:15" ht="13" x14ac:dyDescent="0.15">
      <c r="A689" s="79"/>
      <c r="B689" s="79"/>
      <c r="K689" s="79"/>
      <c r="L689" s="79"/>
      <c r="O689" s="79"/>
    </row>
    <row r="690" spans="1:15" ht="13" x14ac:dyDescent="0.15">
      <c r="A690" s="79"/>
      <c r="B690" s="79"/>
      <c r="K690" s="79"/>
      <c r="L690" s="79"/>
      <c r="O690" s="79"/>
    </row>
    <row r="691" spans="1:15" ht="13" x14ac:dyDescent="0.15">
      <c r="A691" s="79"/>
      <c r="B691" s="79"/>
      <c r="K691" s="79"/>
      <c r="L691" s="79"/>
      <c r="O691" s="79"/>
    </row>
    <row r="692" spans="1:15" ht="13" x14ac:dyDescent="0.15">
      <c r="A692" s="79"/>
      <c r="B692" s="79"/>
      <c r="K692" s="79"/>
      <c r="L692" s="79"/>
      <c r="O692" s="79"/>
    </row>
    <row r="693" spans="1:15" ht="13" x14ac:dyDescent="0.15">
      <c r="A693" s="79"/>
      <c r="B693" s="79"/>
      <c r="K693" s="79"/>
      <c r="L693" s="79"/>
      <c r="O693" s="79"/>
    </row>
    <row r="694" spans="1:15" ht="13" x14ac:dyDescent="0.15">
      <c r="A694" s="79"/>
      <c r="B694" s="79"/>
      <c r="K694" s="79"/>
      <c r="L694" s="79"/>
      <c r="O694" s="79"/>
    </row>
    <row r="695" spans="1:15" ht="13" x14ac:dyDescent="0.15">
      <c r="A695" s="79"/>
      <c r="B695" s="79"/>
      <c r="K695" s="79"/>
      <c r="L695" s="79"/>
      <c r="O695" s="79"/>
    </row>
    <row r="696" spans="1:15" ht="13" x14ac:dyDescent="0.15">
      <c r="A696" s="79"/>
      <c r="B696" s="79"/>
      <c r="K696" s="79"/>
      <c r="L696" s="79"/>
      <c r="O696" s="79"/>
    </row>
    <row r="697" spans="1:15" ht="13" x14ac:dyDescent="0.15">
      <c r="A697" s="79"/>
      <c r="B697" s="79"/>
      <c r="K697" s="79"/>
      <c r="L697" s="79"/>
      <c r="O697" s="79"/>
    </row>
    <row r="698" spans="1:15" ht="13" x14ac:dyDescent="0.15">
      <c r="A698" s="79"/>
      <c r="B698" s="79"/>
      <c r="K698" s="79"/>
      <c r="L698" s="79"/>
      <c r="O698" s="79"/>
    </row>
    <row r="699" spans="1:15" ht="13" x14ac:dyDescent="0.15">
      <c r="A699" s="79"/>
      <c r="B699" s="79"/>
      <c r="K699" s="79"/>
      <c r="L699" s="79"/>
      <c r="O699" s="79"/>
    </row>
    <row r="700" spans="1:15" ht="13" x14ac:dyDescent="0.15">
      <c r="A700" s="79"/>
      <c r="B700" s="79"/>
      <c r="K700" s="79"/>
      <c r="L700" s="79"/>
      <c r="O700" s="79"/>
    </row>
    <row r="701" spans="1:15" ht="13" x14ac:dyDescent="0.15">
      <c r="A701" s="79"/>
      <c r="B701" s="79"/>
      <c r="K701" s="79"/>
      <c r="L701" s="79"/>
      <c r="O701" s="79"/>
    </row>
    <row r="702" spans="1:15" ht="13" x14ac:dyDescent="0.15">
      <c r="A702" s="79"/>
      <c r="B702" s="79"/>
      <c r="K702" s="79"/>
      <c r="L702" s="79"/>
      <c r="O702" s="79"/>
    </row>
    <row r="703" spans="1:15" ht="13" x14ac:dyDescent="0.15">
      <c r="A703" s="79"/>
      <c r="B703" s="79"/>
      <c r="K703" s="79"/>
      <c r="L703" s="79"/>
      <c r="O703" s="79"/>
    </row>
    <row r="704" spans="1:15" ht="13" x14ac:dyDescent="0.15">
      <c r="A704" s="79"/>
      <c r="B704" s="79"/>
      <c r="K704" s="79"/>
      <c r="L704" s="79"/>
      <c r="O704" s="79"/>
    </row>
    <row r="705" spans="1:15" ht="13" x14ac:dyDescent="0.15">
      <c r="A705" s="79"/>
      <c r="B705" s="79"/>
      <c r="K705" s="79"/>
      <c r="L705" s="79"/>
      <c r="O705" s="79"/>
    </row>
    <row r="706" spans="1:15" ht="13" x14ac:dyDescent="0.15">
      <c r="A706" s="79"/>
      <c r="B706" s="79"/>
      <c r="K706" s="79"/>
      <c r="L706" s="79"/>
      <c r="O706" s="79"/>
    </row>
    <row r="707" spans="1:15" ht="13" x14ac:dyDescent="0.15">
      <c r="A707" s="79"/>
      <c r="B707" s="79"/>
      <c r="K707" s="79"/>
      <c r="L707" s="79"/>
      <c r="O707" s="79"/>
    </row>
    <row r="708" spans="1:15" ht="13" x14ac:dyDescent="0.15">
      <c r="A708" s="79"/>
      <c r="B708" s="79"/>
      <c r="K708" s="79"/>
      <c r="L708" s="79"/>
      <c r="O708" s="79"/>
    </row>
    <row r="709" spans="1:15" ht="13" x14ac:dyDescent="0.15">
      <c r="A709" s="79"/>
      <c r="B709" s="79"/>
      <c r="K709" s="79"/>
      <c r="L709" s="79"/>
      <c r="O709" s="79"/>
    </row>
    <row r="710" spans="1:15" ht="13" x14ac:dyDescent="0.15">
      <c r="A710" s="79"/>
      <c r="B710" s="79"/>
      <c r="K710" s="79"/>
      <c r="L710" s="79"/>
      <c r="O710" s="79"/>
    </row>
    <row r="711" spans="1:15" ht="13" x14ac:dyDescent="0.15">
      <c r="A711" s="79"/>
      <c r="B711" s="79"/>
      <c r="K711" s="79"/>
      <c r="L711" s="79"/>
      <c r="O711" s="79"/>
    </row>
    <row r="712" spans="1:15" ht="13" x14ac:dyDescent="0.15">
      <c r="A712" s="79"/>
      <c r="B712" s="79"/>
      <c r="K712" s="79"/>
      <c r="L712" s="79"/>
      <c r="O712" s="79"/>
    </row>
    <row r="713" spans="1:15" ht="13" x14ac:dyDescent="0.15">
      <c r="A713" s="79"/>
      <c r="B713" s="79"/>
      <c r="K713" s="79"/>
      <c r="L713" s="79"/>
      <c r="O713" s="79"/>
    </row>
    <row r="714" spans="1:15" ht="13" x14ac:dyDescent="0.15">
      <c r="A714" s="79"/>
      <c r="B714" s="79"/>
      <c r="K714" s="79"/>
      <c r="L714" s="79"/>
      <c r="O714" s="79"/>
    </row>
    <row r="715" spans="1:15" ht="13" x14ac:dyDescent="0.15">
      <c r="A715" s="79"/>
      <c r="B715" s="79"/>
      <c r="K715" s="79"/>
      <c r="L715" s="79"/>
      <c r="O715" s="79"/>
    </row>
    <row r="716" spans="1:15" ht="13" x14ac:dyDescent="0.15">
      <c r="A716" s="79"/>
      <c r="B716" s="79"/>
      <c r="K716" s="79"/>
      <c r="L716" s="79"/>
      <c r="O716" s="79"/>
    </row>
    <row r="717" spans="1:15" ht="13" x14ac:dyDescent="0.15">
      <c r="A717" s="79"/>
      <c r="B717" s="79"/>
      <c r="K717" s="79"/>
      <c r="L717" s="79"/>
      <c r="O717" s="79"/>
    </row>
    <row r="718" spans="1:15" ht="13" x14ac:dyDescent="0.15">
      <c r="A718" s="79"/>
      <c r="B718" s="79"/>
      <c r="K718" s="79"/>
      <c r="L718" s="79"/>
      <c r="O718" s="79"/>
    </row>
    <row r="719" spans="1:15" ht="13" x14ac:dyDescent="0.15">
      <c r="A719" s="79"/>
      <c r="B719" s="79"/>
      <c r="K719" s="79"/>
      <c r="L719" s="79"/>
      <c r="O719" s="79"/>
    </row>
    <row r="720" spans="1:15" ht="13" x14ac:dyDescent="0.15">
      <c r="A720" s="79"/>
      <c r="B720" s="79"/>
      <c r="K720" s="79"/>
      <c r="L720" s="79"/>
      <c r="O720" s="79"/>
    </row>
    <row r="721" spans="1:15" ht="13" x14ac:dyDescent="0.15">
      <c r="A721" s="79"/>
      <c r="B721" s="79"/>
      <c r="K721" s="79"/>
      <c r="L721" s="79"/>
      <c r="O721" s="79"/>
    </row>
    <row r="722" spans="1:15" ht="13" x14ac:dyDescent="0.15">
      <c r="A722" s="79"/>
      <c r="B722" s="79"/>
      <c r="K722" s="79"/>
      <c r="L722" s="79"/>
      <c r="O722" s="79"/>
    </row>
    <row r="723" spans="1:15" ht="13" x14ac:dyDescent="0.15">
      <c r="A723" s="79"/>
      <c r="B723" s="79"/>
      <c r="K723" s="79"/>
      <c r="L723" s="79"/>
      <c r="O723" s="79"/>
    </row>
    <row r="724" spans="1:15" ht="13" x14ac:dyDescent="0.15">
      <c r="A724" s="79"/>
      <c r="B724" s="79"/>
      <c r="K724" s="79"/>
      <c r="L724" s="79"/>
      <c r="O724" s="79"/>
    </row>
    <row r="725" spans="1:15" ht="13" x14ac:dyDescent="0.15">
      <c r="A725" s="79"/>
      <c r="B725" s="79"/>
      <c r="K725" s="79"/>
      <c r="L725" s="79"/>
      <c r="O725" s="79"/>
    </row>
    <row r="726" spans="1:15" ht="13" x14ac:dyDescent="0.15">
      <c r="A726" s="79"/>
      <c r="B726" s="79"/>
      <c r="K726" s="79"/>
      <c r="L726" s="79"/>
      <c r="O726" s="79"/>
    </row>
    <row r="727" spans="1:15" ht="13" x14ac:dyDescent="0.15">
      <c r="A727" s="79"/>
      <c r="B727" s="79"/>
      <c r="K727" s="79"/>
      <c r="L727" s="79"/>
      <c r="O727" s="79"/>
    </row>
    <row r="728" spans="1:15" ht="13" x14ac:dyDescent="0.15">
      <c r="A728" s="79"/>
      <c r="B728" s="79"/>
      <c r="K728" s="79"/>
      <c r="L728" s="79"/>
      <c r="O728" s="79"/>
    </row>
    <row r="729" spans="1:15" ht="13" x14ac:dyDescent="0.15">
      <c r="A729" s="79"/>
      <c r="B729" s="79"/>
      <c r="K729" s="79"/>
      <c r="L729" s="79"/>
      <c r="O729" s="79"/>
    </row>
    <row r="730" spans="1:15" ht="13" x14ac:dyDescent="0.15">
      <c r="A730" s="79"/>
      <c r="B730" s="79"/>
      <c r="K730" s="79"/>
      <c r="L730" s="79"/>
      <c r="O730" s="79"/>
    </row>
    <row r="731" spans="1:15" ht="13" x14ac:dyDescent="0.15">
      <c r="A731" s="79"/>
      <c r="B731" s="79"/>
      <c r="K731" s="79"/>
      <c r="L731" s="79"/>
      <c r="O731" s="79"/>
    </row>
    <row r="732" spans="1:15" ht="13" x14ac:dyDescent="0.15">
      <c r="A732" s="79"/>
      <c r="B732" s="79"/>
      <c r="K732" s="79"/>
      <c r="L732" s="79"/>
      <c r="O732" s="79"/>
    </row>
    <row r="733" spans="1:15" ht="13" x14ac:dyDescent="0.15">
      <c r="A733" s="79"/>
      <c r="B733" s="79"/>
      <c r="K733" s="79"/>
      <c r="L733" s="79"/>
      <c r="O733" s="79"/>
    </row>
    <row r="734" spans="1:15" ht="13" x14ac:dyDescent="0.15">
      <c r="A734" s="79"/>
      <c r="B734" s="79"/>
      <c r="K734" s="79"/>
      <c r="L734" s="79"/>
      <c r="O734" s="79"/>
    </row>
    <row r="735" spans="1:15" ht="13" x14ac:dyDescent="0.15">
      <c r="A735" s="79"/>
      <c r="B735" s="79"/>
      <c r="K735" s="79"/>
      <c r="L735" s="79"/>
      <c r="O735" s="79"/>
    </row>
    <row r="736" spans="1:15" ht="13" x14ac:dyDescent="0.15">
      <c r="A736" s="79"/>
      <c r="B736" s="79"/>
      <c r="K736" s="79"/>
      <c r="L736" s="79"/>
      <c r="O736" s="79"/>
    </row>
    <row r="737" spans="1:15" ht="13" x14ac:dyDescent="0.15">
      <c r="A737" s="79"/>
      <c r="B737" s="79"/>
      <c r="K737" s="79"/>
      <c r="L737" s="79"/>
      <c r="O737" s="79"/>
    </row>
    <row r="738" spans="1:15" ht="13" x14ac:dyDescent="0.15">
      <c r="A738" s="79"/>
      <c r="B738" s="79"/>
      <c r="K738" s="79"/>
      <c r="L738" s="79"/>
      <c r="O738" s="79"/>
    </row>
    <row r="739" spans="1:15" ht="13" x14ac:dyDescent="0.15">
      <c r="A739" s="79"/>
      <c r="B739" s="79"/>
      <c r="K739" s="79"/>
      <c r="L739" s="79"/>
      <c r="O739" s="79"/>
    </row>
    <row r="740" spans="1:15" ht="13" x14ac:dyDescent="0.15">
      <c r="A740" s="79"/>
      <c r="B740" s="79"/>
      <c r="K740" s="79"/>
      <c r="L740" s="79"/>
      <c r="O740" s="79"/>
    </row>
    <row r="741" spans="1:15" ht="13" x14ac:dyDescent="0.15">
      <c r="A741" s="79"/>
      <c r="B741" s="79"/>
      <c r="K741" s="79"/>
      <c r="L741" s="79"/>
      <c r="O741" s="79"/>
    </row>
    <row r="742" spans="1:15" ht="13" x14ac:dyDescent="0.15">
      <c r="A742" s="79"/>
      <c r="B742" s="79"/>
      <c r="K742" s="79"/>
      <c r="L742" s="79"/>
      <c r="O742" s="79"/>
    </row>
    <row r="743" spans="1:15" ht="13" x14ac:dyDescent="0.15">
      <c r="A743" s="79"/>
      <c r="B743" s="79"/>
      <c r="K743" s="79"/>
      <c r="L743" s="79"/>
      <c r="O743" s="79"/>
    </row>
    <row r="744" spans="1:15" ht="13" x14ac:dyDescent="0.15">
      <c r="A744" s="79"/>
      <c r="B744" s="79"/>
      <c r="K744" s="79"/>
      <c r="L744" s="79"/>
      <c r="O744" s="79"/>
    </row>
    <row r="745" spans="1:15" ht="13" x14ac:dyDescent="0.15">
      <c r="A745" s="79"/>
      <c r="B745" s="79"/>
      <c r="K745" s="79"/>
      <c r="L745" s="79"/>
      <c r="O745" s="79"/>
    </row>
    <row r="746" spans="1:15" ht="13" x14ac:dyDescent="0.15">
      <c r="A746" s="79"/>
      <c r="B746" s="79"/>
      <c r="K746" s="79"/>
      <c r="L746" s="79"/>
      <c r="O746" s="79"/>
    </row>
    <row r="747" spans="1:15" ht="13" x14ac:dyDescent="0.15">
      <c r="A747" s="79"/>
      <c r="B747" s="79"/>
      <c r="K747" s="79"/>
      <c r="L747" s="79"/>
      <c r="O747" s="79"/>
    </row>
    <row r="748" spans="1:15" ht="13" x14ac:dyDescent="0.15">
      <c r="A748" s="79"/>
      <c r="B748" s="79"/>
      <c r="K748" s="79"/>
      <c r="L748" s="79"/>
      <c r="O748" s="79"/>
    </row>
    <row r="749" spans="1:15" ht="13" x14ac:dyDescent="0.15">
      <c r="A749" s="79"/>
      <c r="B749" s="79"/>
      <c r="K749" s="79"/>
      <c r="L749" s="79"/>
      <c r="O749" s="79"/>
    </row>
    <row r="750" spans="1:15" ht="13" x14ac:dyDescent="0.15">
      <c r="A750" s="79"/>
      <c r="B750" s="79"/>
      <c r="K750" s="79"/>
      <c r="L750" s="79"/>
      <c r="O750" s="79"/>
    </row>
    <row r="751" spans="1:15" ht="13" x14ac:dyDescent="0.15">
      <c r="A751" s="79"/>
      <c r="B751" s="79"/>
      <c r="K751" s="79"/>
      <c r="L751" s="79"/>
      <c r="O751" s="79"/>
    </row>
    <row r="752" spans="1:15" ht="13" x14ac:dyDescent="0.15">
      <c r="A752" s="79"/>
      <c r="B752" s="79"/>
      <c r="K752" s="79"/>
      <c r="L752" s="79"/>
      <c r="O752" s="79"/>
    </row>
    <row r="753" spans="1:15" ht="13" x14ac:dyDescent="0.15">
      <c r="A753" s="79"/>
      <c r="B753" s="79"/>
      <c r="K753" s="79"/>
      <c r="L753" s="79"/>
      <c r="O753" s="79"/>
    </row>
    <row r="754" spans="1:15" ht="13" x14ac:dyDescent="0.15">
      <c r="A754" s="79"/>
      <c r="B754" s="79"/>
      <c r="K754" s="79"/>
      <c r="L754" s="79"/>
      <c r="O754" s="79"/>
    </row>
    <row r="755" spans="1:15" ht="13" x14ac:dyDescent="0.15">
      <c r="A755" s="79"/>
      <c r="B755" s="79"/>
      <c r="K755" s="79"/>
      <c r="L755" s="79"/>
      <c r="O755" s="79"/>
    </row>
    <row r="756" spans="1:15" ht="13" x14ac:dyDescent="0.15">
      <c r="A756" s="79"/>
      <c r="B756" s="79"/>
      <c r="K756" s="79"/>
      <c r="L756" s="79"/>
      <c r="O756" s="79"/>
    </row>
    <row r="757" spans="1:15" ht="13" x14ac:dyDescent="0.15">
      <c r="A757" s="79"/>
      <c r="B757" s="79"/>
      <c r="K757" s="79"/>
      <c r="L757" s="79"/>
      <c r="O757" s="79"/>
    </row>
    <row r="758" spans="1:15" ht="13" x14ac:dyDescent="0.15">
      <c r="A758" s="79"/>
      <c r="B758" s="79"/>
      <c r="K758" s="79"/>
      <c r="L758" s="79"/>
      <c r="O758" s="79"/>
    </row>
    <row r="759" spans="1:15" ht="13" x14ac:dyDescent="0.15">
      <c r="A759" s="79"/>
      <c r="B759" s="79"/>
      <c r="K759" s="79"/>
      <c r="L759" s="79"/>
      <c r="O759" s="79"/>
    </row>
    <row r="760" spans="1:15" ht="13" x14ac:dyDescent="0.15">
      <c r="A760" s="79"/>
      <c r="B760" s="79"/>
      <c r="K760" s="79"/>
      <c r="L760" s="79"/>
      <c r="O760" s="79"/>
    </row>
    <row r="761" spans="1:15" ht="13" x14ac:dyDescent="0.15">
      <c r="A761" s="79"/>
      <c r="B761" s="79"/>
      <c r="K761" s="79"/>
      <c r="L761" s="79"/>
      <c r="O761" s="79"/>
    </row>
    <row r="762" spans="1:15" ht="13" x14ac:dyDescent="0.15">
      <c r="A762" s="79"/>
      <c r="B762" s="79"/>
      <c r="K762" s="79"/>
      <c r="L762" s="79"/>
      <c r="O762" s="79"/>
    </row>
    <row r="763" spans="1:15" ht="13" x14ac:dyDescent="0.15">
      <c r="A763" s="79"/>
      <c r="B763" s="79"/>
      <c r="K763" s="79"/>
      <c r="L763" s="79"/>
      <c r="O763" s="79"/>
    </row>
    <row r="764" spans="1:15" ht="13" x14ac:dyDescent="0.15">
      <c r="A764" s="79"/>
      <c r="B764" s="79"/>
      <c r="K764" s="79"/>
      <c r="L764" s="79"/>
      <c r="O764" s="79"/>
    </row>
    <row r="765" spans="1:15" ht="13" x14ac:dyDescent="0.15">
      <c r="A765" s="79"/>
      <c r="B765" s="79"/>
      <c r="K765" s="79"/>
      <c r="L765" s="79"/>
      <c r="O765" s="79"/>
    </row>
    <row r="766" spans="1:15" ht="13" x14ac:dyDescent="0.15">
      <c r="A766" s="79"/>
      <c r="B766" s="79"/>
      <c r="K766" s="79"/>
      <c r="L766" s="79"/>
      <c r="O766" s="79"/>
    </row>
    <row r="767" spans="1:15" ht="13" x14ac:dyDescent="0.15">
      <c r="A767" s="79"/>
      <c r="B767" s="79"/>
      <c r="K767" s="79"/>
      <c r="L767" s="79"/>
      <c r="O767" s="79"/>
    </row>
    <row r="768" spans="1:15" ht="13" x14ac:dyDescent="0.15">
      <c r="A768" s="79"/>
      <c r="B768" s="79"/>
      <c r="K768" s="79"/>
      <c r="L768" s="79"/>
      <c r="O768" s="79"/>
    </row>
    <row r="769" spans="1:15" ht="13" x14ac:dyDescent="0.15">
      <c r="A769" s="79"/>
      <c r="B769" s="79"/>
      <c r="K769" s="79"/>
      <c r="L769" s="79"/>
      <c r="O769" s="79"/>
    </row>
    <row r="770" spans="1:15" ht="13" x14ac:dyDescent="0.15">
      <c r="A770" s="79"/>
      <c r="B770" s="79"/>
      <c r="K770" s="79"/>
      <c r="L770" s="79"/>
      <c r="O770" s="79"/>
    </row>
    <row r="771" spans="1:15" ht="13" x14ac:dyDescent="0.15">
      <c r="A771" s="79"/>
      <c r="B771" s="79"/>
      <c r="K771" s="79"/>
      <c r="L771" s="79"/>
      <c r="O771" s="79"/>
    </row>
    <row r="772" spans="1:15" ht="13" x14ac:dyDescent="0.15">
      <c r="A772" s="79"/>
      <c r="B772" s="79"/>
      <c r="K772" s="79"/>
      <c r="L772" s="79"/>
      <c r="O772" s="79"/>
    </row>
    <row r="773" spans="1:15" ht="13" x14ac:dyDescent="0.15">
      <c r="A773" s="79"/>
      <c r="B773" s="79"/>
      <c r="K773" s="79"/>
      <c r="L773" s="79"/>
      <c r="O773" s="79"/>
    </row>
    <row r="774" spans="1:15" ht="13" x14ac:dyDescent="0.15">
      <c r="A774" s="79"/>
      <c r="B774" s="79"/>
      <c r="K774" s="79"/>
      <c r="L774" s="79"/>
      <c r="O774" s="79"/>
    </row>
    <row r="775" spans="1:15" ht="13" x14ac:dyDescent="0.15">
      <c r="A775" s="79"/>
      <c r="B775" s="79"/>
      <c r="K775" s="79"/>
      <c r="L775" s="79"/>
      <c r="O775" s="79"/>
    </row>
    <row r="776" spans="1:15" ht="13" x14ac:dyDescent="0.15">
      <c r="A776" s="79"/>
      <c r="B776" s="79"/>
      <c r="K776" s="79"/>
      <c r="L776" s="79"/>
      <c r="O776" s="79"/>
    </row>
    <row r="777" spans="1:15" ht="13" x14ac:dyDescent="0.15">
      <c r="A777" s="79"/>
      <c r="B777" s="79"/>
      <c r="K777" s="79"/>
      <c r="L777" s="79"/>
      <c r="O777" s="79"/>
    </row>
    <row r="778" spans="1:15" ht="13" x14ac:dyDescent="0.15">
      <c r="A778" s="79"/>
      <c r="B778" s="79"/>
      <c r="K778" s="79"/>
      <c r="L778" s="79"/>
      <c r="O778" s="79"/>
    </row>
    <row r="779" spans="1:15" ht="13" x14ac:dyDescent="0.15">
      <c r="A779" s="79"/>
      <c r="B779" s="79"/>
      <c r="K779" s="79"/>
      <c r="L779" s="79"/>
      <c r="O779" s="79"/>
    </row>
    <row r="780" spans="1:15" ht="13" x14ac:dyDescent="0.15">
      <c r="A780" s="79"/>
      <c r="B780" s="79"/>
      <c r="K780" s="79"/>
      <c r="L780" s="79"/>
      <c r="O780" s="79"/>
    </row>
    <row r="781" spans="1:15" ht="13" x14ac:dyDescent="0.15">
      <c r="A781" s="79"/>
      <c r="B781" s="79"/>
      <c r="K781" s="79"/>
      <c r="L781" s="79"/>
      <c r="O781" s="79"/>
    </row>
    <row r="782" spans="1:15" ht="13" x14ac:dyDescent="0.15">
      <c r="A782" s="79"/>
      <c r="B782" s="79"/>
      <c r="K782" s="79"/>
      <c r="L782" s="79"/>
      <c r="O782" s="79"/>
    </row>
    <row r="783" spans="1:15" ht="13" x14ac:dyDescent="0.15">
      <c r="A783" s="79"/>
      <c r="B783" s="79"/>
      <c r="K783" s="79"/>
      <c r="L783" s="79"/>
      <c r="O783" s="79"/>
    </row>
    <row r="784" spans="1:15" ht="13" x14ac:dyDescent="0.15">
      <c r="A784" s="79"/>
      <c r="B784" s="79"/>
      <c r="K784" s="79"/>
      <c r="L784" s="79"/>
      <c r="O784" s="79"/>
    </row>
    <row r="785" spans="1:15" ht="13" x14ac:dyDescent="0.15">
      <c r="A785" s="79"/>
      <c r="B785" s="79"/>
      <c r="K785" s="79"/>
      <c r="L785" s="79"/>
      <c r="O785" s="79"/>
    </row>
    <row r="786" spans="1:15" ht="13" x14ac:dyDescent="0.15">
      <c r="A786" s="79"/>
      <c r="B786" s="79"/>
      <c r="K786" s="79"/>
      <c r="L786" s="79"/>
      <c r="O786" s="79"/>
    </row>
    <row r="787" spans="1:15" ht="13" x14ac:dyDescent="0.15">
      <c r="A787" s="79"/>
      <c r="B787" s="79"/>
      <c r="K787" s="79"/>
      <c r="L787" s="79"/>
      <c r="O787" s="79"/>
    </row>
    <row r="788" spans="1:15" ht="13" x14ac:dyDescent="0.15">
      <c r="A788" s="79"/>
      <c r="B788" s="79"/>
      <c r="K788" s="79"/>
      <c r="L788" s="79"/>
      <c r="O788" s="79"/>
    </row>
    <row r="789" spans="1:15" ht="13" x14ac:dyDescent="0.15">
      <c r="A789" s="79"/>
      <c r="B789" s="79"/>
      <c r="K789" s="79"/>
      <c r="L789" s="79"/>
      <c r="O789" s="79"/>
    </row>
    <row r="790" spans="1:15" ht="13" x14ac:dyDescent="0.15">
      <c r="A790" s="79"/>
      <c r="B790" s="79"/>
      <c r="K790" s="79"/>
      <c r="L790" s="79"/>
      <c r="O790" s="79"/>
    </row>
    <row r="791" spans="1:15" ht="13" x14ac:dyDescent="0.15">
      <c r="A791" s="79"/>
      <c r="B791" s="79"/>
      <c r="K791" s="79"/>
      <c r="L791" s="79"/>
      <c r="O791" s="79"/>
    </row>
    <row r="792" spans="1:15" ht="13" x14ac:dyDescent="0.15">
      <c r="A792" s="79"/>
      <c r="B792" s="79"/>
      <c r="K792" s="79"/>
      <c r="L792" s="79"/>
      <c r="O792" s="79"/>
    </row>
    <row r="793" spans="1:15" ht="13" x14ac:dyDescent="0.15">
      <c r="A793" s="79"/>
      <c r="B793" s="79"/>
      <c r="K793" s="79"/>
      <c r="L793" s="79"/>
      <c r="O793" s="79"/>
    </row>
    <row r="794" spans="1:15" ht="13" x14ac:dyDescent="0.15">
      <c r="A794" s="79"/>
      <c r="B794" s="79"/>
      <c r="K794" s="79"/>
      <c r="L794" s="79"/>
      <c r="O794" s="79"/>
    </row>
    <row r="795" spans="1:15" ht="13" x14ac:dyDescent="0.15">
      <c r="A795" s="79"/>
      <c r="B795" s="79"/>
      <c r="K795" s="79"/>
      <c r="L795" s="79"/>
      <c r="O795" s="79"/>
    </row>
    <row r="796" spans="1:15" ht="13" x14ac:dyDescent="0.15">
      <c r="A796" s="79"/>
      <c r="B796" s="79"/>
      <c r="K796" s="79"/>
      <c r="L796" s="79"/>
      <c r="O796" s="79"/>
    </row>
    <row r="797" spans="1:15" ht="13" x14ac:dyDescent="0.15">
      <c r="A797" s="79"/>
      <c r="B797" s="79"/>
      <c r="K797" s="79"/>
      <c r="L797" s="79"/>
      <c r="O797" s="79"/>
    </row>
    <row r="798" spans="1:15" ht="13" x14ac:dyDescent="0.15">
      <c r="A798" s="79"/>
      <c r="B798" s="79"/>
      <c r="K798" s="79"/>
      <c r="L798" s="79"/>
      <c r="O798" s="79"/>
    </row>
    <row r="799" spans="1:15" ht="13" x14ac:dyDescent="0.15">
      <c r="A799" s="79"/>
      <c r="B799" s="79"/>
      <c r="K799" s="79"/>
      <c r="L799" s="79"/>
      <c r="O799" s="79"/>
    </row>
    <row r="800" spans="1:15" ht="13" x14ac:dyDescent="0.15">
      <c r="A800" s="79"/>
      <c r="B800" s="79"/>
      <c r="K800" s="79"/>
      <c r="L800" s="79"/>
      <c r="O800" s="79"/>
    </row>
    <row r="801" spans="1:15" ht="13" x14ac:dyDescent="0.15">
      <c r="A801" s="79"/>
      <c r="B801" s="79"/>
      <c r="K801" s="79"/>
      <c r="L801" s="79"/>
      <c r="O801" s="79"/>
    </row>
    <row r="802" spans="1:15" ht="13" x14ac:dyDescent="0.15">
      <c r="A802" s="79"/>
      <c r="B802" s="79"/>
      <c r="K802" s="79"/>
      <c r="L802" s="79"/>
      <c r="O802" s="79"/>
    </row>
    <row r="803" spans="1:15" ht="13" x14ac:dyDescent="0.15">
      <c r="A803" s="79"/>
      <c r="B803" s="79"/>
      <c r="K803" s="79"/>
      <c r="L803" s="79"/>
      <c r="O803" s="79"/>
    </row>
    <row r="804" spans="1:15" ht="13" x14ac:dyDescent="0.15">
      <c r="A804" s="79"/>
      <c r="B804" s="79"/>
      <c r="K804" s="79"/>
      <c r="L804" s="79"/>
      <c r="O804" s="79"/>
    </row>
    <row r="805" spans="1:15" ht="13" x14ac:dyDescent="0.15">
      <c r="A805" s="79"/>
      <c r="B805" s="79"/>
      <c r="K805" s="79"/>
      <c r="L805" s="79"/>
      <c r="O805" s="79"/>
    </row>
    <row r="806" spans="1:15" ht="13" x14ac:dyDescent="0.15">
      <c r="A806" s="79"/>
      <c r="B806" s="79"/>
      <c r="K806" s="79"/>
      <c r="L806" s="79"/>
      <c r="O806" s="79"/>
    </row>
    <row r="807" spans="1:15" ht="13" x14ac:dyDescent="0.15">
      <c r="A807" s="79"/>
      <c r="B807" s="79"/>
      <c r="K807" s="79"/>
      <c r="L807" s="79"/>
      <c r="O807" s="79"/>
    </row>
    <row r="808" spans="1:15" ht="13" x14ac:dyDescent="0.15">
      <c r="A808" s="79"/>
      <c r="B808" s="79"/>
      <c r="K808" s="79"/>
      <c r="L808" s="79"/>
      <c r="O808" s="79"/>
    </row>
    <row r="809" spans="1:15" ht="13" x14ac:dyDescent="0.15">
      <c r="A809" s="79"/>
      <c r="B809" s="79"/>
      <c r="K809" s="79"/>
      <c r="L809" s="79"/>
      <c r="O809" s="79"/>
    </row>
    <row r="810" spans="1:15" ht="13" x14ac:dyDescent="0.15">
      <c r="A810" s="79"/>
      <c r="B810" s="79"/>
      <c r="K810" s="79"/>
      <c r="L810" s="79"/>
      <c r="O810" s="79"/>
    </row>
    <row r="811" spans="1:15" ht="13" x14ac:dyDescent="0.15">
      <c r="A811" s="79"/>
      <c r="B811" s="79"/>
      <c r="K811" s="79"/>
      <c r="L811" s="79"/>
      <c r="O811" s="79"/>
    </row>
    <row r="812" spans="1:15" ht="13" x14ac:dyDescent="0.15">
      <c r="A812" s="79"/>
      <c r="B812" s="79"/>
      <c r="K812" s="79"/>
      <c r="L812" s="79"/>
      <c r="O812" s="79"/>
    </row>
    <row r="813" spans="1:15" ht="13" x14ac:dyDescent="0.15">
      <c r="A813" s="79"/>
      <c r="B813" s="79"/>
      <c r="K813" s="79"/>
      <c r="L813" s="79"/>
      <c r="O813" s="79"/>
    </row>
    <row r="814" spans="1:15" ht="13" x14ac:dyDescent="0.15">
      <c r="A814" s="79"/>
      <c r="B814" s="79"/>
      <c r="K814" s="79"/>
      <c r="L814" s="79"/>
      <c r="O814" s="79"/>
    </row>
    <row r="815" spans="1:15" ht="13" x14ac:dyDescent="0.15">
      <c r="A815" s="79"/>
      <c r="B815" s="79"/>
      <c r="K815" s="79"/>
      <c r="L815" s="79"/>
      <c r="O815" s="79"/>
    </row>
    <row r="816" spans="1:15" ht="13" x14ac:dyDescent="0.15">
      <c r="A816" s="79"/>
      <c r="B816" s="79"/>
      <c r="K816" s="79"/>
      <c r="L816" s="79"/>
      <c r="O816" s="79"/>
    </row>
    <row r="817" spans="1:15" ht="13" x14ac:dyDescent="0.15">
      <c r="A817" s="79"/>
      <c r="B817" s="79"/>
      <c r="K817" s="79"/>
      <c r="L817" s="79"/>
      <c r="O817" s="79"/>
    </row>
    <row r="818" spans="1:15" ht="13" x14ac:dyDescent="0.15">
      <c r="A818" s="79"/>
      <c r="B818" s="79"/>
      <c r="K818" s="79"/>
      <c r="L818" s="79"/>
      <c r="O818" s="79"/>
    </row>
    <row r="819" spans="1:15" ht="13" x14ac:dyDescent="0.15">
      <c r="A819" s="79"/>
      <c r="B819" s="79"/>
      <c r="K819" s="79"/>
      <c r="L819" s="79"/>
      <c r="O819" s="79"/>
    </row>
    <row r="820" spans="1:15" ht="13" x14ac:dyDescent="0.15">
      <c r="A820" s="79"/>
      <c r="B820" s="79"/>
      <c r="K820" s="79"/>
      <c r="L820" s="79"/>
      <c r="O820" s="79"/>
    </row>
    <row r="821" spans="1:15" ht="13" x14ac:dyDescent="0.15">
      <c r="A821" s="79"/>
      <c r="B821" s="79"/>
      <c r="K821" s="79"/>
      <c r="L821" s="79"/>
      <c r="O821" s="79"/>
    </row>
    <row r="822" spans="1:15" ht="13" x14ac:dyDescent="0.15">
      <c r="A822" s="79"/>
      <c r="B822" s="79"/>
      <c r="K822" s="79"/>
      <c r="L822" s="79"/>
      <c r="O822" s="79"/>
    </row>
    <row r="823" spans="1:15" ht="13" x14ac:dyDescent="0.15">
      <c r="A823" s="79"/>
      <c r="B823" s="79"/>
      <c r="K823" s="79"/>
      <c r="L823" s="79"/>
      <c r="O823" s="79"/>
    </row>
    <row r="824" spans="1:15" ht="13" x14ac:dyDescent="0.15">
      <c r="A824" s="79"/>
      <c r="B824" s="79"/>
      <c r="K824" s="79"/>
      <c r="L824" s="79"/>
      <c r="O824" s="79"/>
    </row>
    <row r="825" spans="1:15" ht="13" x14ac:dyDescent="0.15">
      <c r="A825" s="79"/>
      <c r="B825" s="79"/>
      <c r="K825" s="79"/>
      <c r="L825" s="79"/>
      <c r="O825" s="79"/>
    </row>
    <row r="826" spans="1:15" ht="13" x14ac:dyDescent="0.15">
      <c r="A826" s="79"/>
      <c r="B826" s="79"/>
      <c r="K826" s="79"/>
      <c r="L826" s="79"/>
      <c r="O826" s="79"/>
    </row>
    <row r="827" spans="1:15" ht="13" x14ac:dyDescent="0.15">
      <c r="A827" s="79"/>
      <c r="B827" s="79"/>
      <c r="K827" s="79"/>
      <c r="L827" s="79"/>
      <c r="O827" s="79"/>
    </row>
    <row r="828" spans="1:15" ht="13" x14ac:dyDescent="0.15">
      <c r="A828" s="79"/>
      <c r="B828" s="79"/>
      <c r="K828" s="79"/>
      <c r="L828" s="79"/>
      <c r="O828" s="79"/>
    </row>
    <row r="829" spans="1:15" ht="13" x14ac:dyDescent="0.15">
      <c r="A829" s="79"/>
      <c r="B829" s="79"/>
      <c r="K829" s="79"/>
      <c r="L829" s="79"/>
      <c r="O829" s="79"/>
    </row>
    <row r="830" spans="1:15" ht="13" x14ac:dyDescent="0.15">
      <c r="A830" s="79"/>
      <c r="B830" s="79"/>
      <c r="K830" s="79"/>
      <c r="L830" s="79"/>
      <c r="O830" s="79"/>
    </row>
    <row r="831" spans="1:15" ht="13" x14ac:dyDescent="0.15">
      <c r="A831" s="79"/>
      <c r="B831" s="79"/>
      <c r="K831" s="79"/>
      <c r="L831" s="79"/>
      <c r="O831" s="79"/>
    </row>
    <row r="832" spans="1:15" ht="13" x14ac:dyDescent="0.15">
      <c r="A832" s="79"/>
      <c r="B832" s="79"/>
      <c r="K832" s="79"/>
      <c r="L832" s="79"/>
      <c r="O832" s="79"/>
    </row>
    <row r="833" spans="1:15" ht="13" x14ac:dyDescent="0.15">
      <c r="A833" s="79"/>
      <c r="B833" s="79"/>
      <c r="K833" s="79"/>
      <c r="L833" s="79"/>
      <c r="O833" s="79"/>
    </row>
    <row r="834" spans="1:15" ht="13" x14ac:dyDescent="0.15">
      <c r="A834" s="79"/>
      <c r="B834" s="79"/>
      <c r="K834" s="79"/>
      <c r="L834" s="79"/>
      <c r="O834" s="79"/>
    </row>
    <row r="835" spans="1:15" ht="13" x14ac:dyDescent="0.15">
      <c r="A835" s="79"/>
      <c r="B835" s="79"/>
      <c r="K835" s="79"/>
      <c r="L835" s="79"/>
      <c r="O835" s="79"/>
    </row>
    <row r="836" spans="1:15" ht="13" x14ac:dyDescent="0.15">
      <c r="A836" s="79"/>
      <c r="B836" s="79"/>
      <c r="K836" s="79"/>
      <c r="L836" s="79"/>
      <c r="O836" s="79"/>
    </row>
    <row r="837" spans="1:15" ht="13" x14ac:dyDescent="0.15">
      <c r="A837" s="79"/>
      <c r="B837" s="79"/>
      <c r="K837" s="79"/>
      <c r="L837" s="79"/>
      <c r="O837" s="79"/>
    </row>
    <row r="838" spans="1:15" ht="13" x14ac:dyDescent="0.15">
      <c r="A838" s="79"/>
      <c r="B838" s="79"/>
      <c r="K838" s="79"/>
      <c r="L838" s="79"/>
      <c r="O838" s="79"/>
    </row>
    <row r="839" spans="1:15" ht="13" x14ac:dyDescent="0.15">
      <c r="A839" s="79"/>
      <c r="B839" s="79"/>
      <c r="K839" s="79"/>
      <c r="L839" s="79"/>
      <c r="O839" s="79"/>
    </row>
    <row r="840" spans="1:15" ht="13" x14ac:dyDescent="0.15">
      <c r="A840" s="79"/>
      <c r="B840" s="79"/>
      <c r="K840" s="79"/>
      <c r="L840" s="79"/>
      <c r="O840" s="79"/>
    </row>
    <row r="841" spans="1:15" ht="13" x14ac:dyDescent="0.15">
      <c r="A841" s="79"/>
      <c r="B841" s="79"/>
      <c r="K841" s="79"/>
      <c r="L841" s="79"/>
      <c r="O841" s="79"/>
    </row>
    <row r="842" spans="1:15" ht="13" x14ac:dyDescent="0.15">
      <c r="A842" s="79"/>
      <c r="B842" s="79"/>
      <c r="K842" s="79"/>
      <c r="L842" s="79"/>
      <c r="O842" s="79"/>
    </row>
    <row r="843" spans="1:15" ht="13" x14ac:dyDescent="0.15">
      <c r="A843" s="79"/>
      <c r="B843" s="79"/>
      <c r="K843" s="79"/>
      <c r="L843" s="79"/>
      <c r="O843" s="79"/>
    </row>
    <row r="844" spans="1:15" ht="13" x14ac:dyDescent="0.15">
      <c r="A844" s="79"/>
      <c r="B844" s="79"/>
      <c r="K844" s="79"/>
      <c r="L844" s="79"/>
      <c r="O844" s="79"/>
    </row>
    <row r="845" spans="1:15" ht="13" x14ac:dyDescent="0.15">
      <c r="A845" s="79"/>
      <c r="B845" s="79"/>
      <c r="K845" s="79"/>
      <c r="L845" s="79"/>
      <c r="O845" s="79"/>
    </row>
    <row r="846" spans="1:15" ht="13" x14ac:dyDescent="0.15">
      <c r="A846" s="79"/>
      <c r="B846" s="79"/>
      <c r="K846" s="79"/>
      <c r="L846" s="79"/>
      <c r="O846" s="79"/>
    </row>
    <row r="847" spans="1:15" ht="13" x14ac:dyDescent="0.15">
      <c r="A847" s="79"/>
      <c r="B847" s="79"/>
      <c r="K847" s="79"/>
      <c r="L847" s="79"/>
      <c r="O847" s="79"/>
    </row>
    <row r="848" spans="1:15" ht="13" x14ac:dyDescent="0.15">
      <c r="A848" s="79"/>
      <c r="B848" s="79"/>
      <c r="K848" s="79"/>
      <c r="L848" s="79"/>
      <c r="O848" s="79"/>
    </row>
    <row r="849" spans="1:15" ht="13" x14ac:dyDescent="0.15">
      <c r="A849" s="79"/>
      <c r="B849" s="79"/>
      <c r="K849" s="79"/>
      <c r="L849" s="79"/>
      <c r="O849" s="79"/>
    </row>
    <row r="850" spans="1:15" ht="13" x14ac:dyDescent="0.15">
      <c r="A850" s="79"/>
      <c r="B850" s="79"/>
      <c r="K850" s="79"/>
      <c r="L850" s="79"/>
      <c r="O850" s="79"/>
    </row>
    <row r="851" spans="1:15" ht="13" x14ac:dyDescent="0.15">
      <c r="A851" s="79"/>
      <c r="B851" s="79"/>
      <c r="K851" s="79"/>
      <c r="L851" s="79"/>
      <c r="O851" s="79"/>
    </row>
    <row r="852" spans="1:15" ht="13" x14ac:dyDescent="0.15">
      <c r="A852" s="79"/>
      <c r="B852" s="79"/>
      <c r="K852" s="79"/>
      <c r="L852" s="79"/>
      <c r="O852" s="79"/>
    </row>
    <row r="853" spans="1:15" ht="13" x14ac:dyDescent="0.15">
      <c r="A853" s="79"/>
      <c r="B853" s="79"/>
      <c r="K853" s="79"/>
      <c r="L853" s="79"/>
      <c r="O853" s="79"/>
    </row>
    <row r="854" spans="1:15" ht="13" x14ac:dyDescent="0.15">
      <c r="A854" s="79"/>
      <c r="B854" s="79"/>
      <c r="K854" s="79"/>
      <c r="L854" s="79"/>
      <c r="O854" s="79"/>
    </row>
    <row r="855" spans="1:15" ht="13" x14ac:dyDescent="0.15">
      <c r="A855" s="79"/>
      <c r="B855" s="79"/>
      <c r="K855" s="79"/>
      <c r="L855" s="79"/>
      <c r="O855" s="79"/>
    </row>
    <row r="856" spans="1:15" ht="13" x14ac:dyDescent="0.15">
      <c r="A856" s="79"/>
      <c r="B856" s="79"/>
      <c r="K856" s="79"/>
      <c r="L856" s="79"/>
      <c r="O856" s="79"/>
    </row>
    <row r="857" spans="1:15" ht="13" x14ac:dyDescent="0.15">
      <c r="A857" s="79"/>
      <c r="B857" s="79"/>
      <c r="K857" s="79"/>
      <c r="L857" s="79"/>
      <c r="O857" s="79"/>
    </row>
    <row r="858" spans="1:15" ht="13" x14ac:dyDescent="0.15">
      <c r="A858" s="79"/>
      <c r="B858" s="79"/>
      <c r="K858" s="79"/>
      <c r="L858" s="79"/>
      <c r="O858" s="79"/>
    </row>
    <row r="859" spans="1:15" ht="13" x14ac:dyDescent="0.15">
      <c r="A859" s="79"/>
      <c r="B859" s="79"/>
      <c r="K859" s="79"/>
      <c r="L859" s="79"/>
      <c r="O859" s="79"/>
    </row>
    <row r="860" spans="1:15" ht="13" x14ac:dyDescent="0.15">
      <c r="A860" s="79"/>
      <c r="B860" s="79"/>
      <c r="K860" s="79"/>
      <c r="L860" s="79"/>
      <c r="O860" s="79"/>
    </row>
    <row r="861" spans="1:15" ht="13" x14ac:dyDescent="0.15">
      <c r="A861" s="79"/>
      <c r="B861" s="79"/>
      <c r="K861" s="79"/>
      <c r="L861" s="79"/>
      <c r="O861" s="79"/>
    </row>
    <row r="862" spans="1:15" ht="13" x14ac:dyDescent="0.15">
      <c r="A862" s="79"/>
      <c r="B862" s="79"/>
      <c r="K862" s="79"/>
      <c r="L862" s="79"/>
      <c r="O862" s="79"/>
    </row>
    <row r="863" spans="1:15" ht="13" x14ac:dyDescent="0.15">
      <c r="A863" s="79"/>
      <c r="B863" s="79"/>
      <c r="K863" s="79"/>
      <c r="L863" s="79"/>
      <c r="O863" s="79"/>
    </row>
    <row r="864" spans="1:15" ht="13" x14ac:dyDescent="0.15">
      <c r="A864" s="79"/>
      <c r="B864" s="79"/>
      <c r="K864" s="79"/>
      <c r="L864" s="79"/>
      <c r="O864" s="79"/>
    </row>
    <row r="865" spans="1:15" ht="13" x14ac:dyDescent="0.15">
      <c r="A865" s="79"/>
      <c r="B865" s="79"/>
      <c r="K865" s="79"/>
      <c r="L865" s="79"/>
      <c r="O865" s="79"/>
    </row>
    <row r="866" spans="1:15" ht="13" x14ac:dyDescent="0.15">
      <c r="A866" s="79"/>
      <c r="B866" s="79"/>
      <c r="K866" s="79"/>
      <c r="L866" s="79"/>
      <c r="O866" s="79"/>
    </row>
    <row r="867" spans="1:15" ht="13" x14ac:dyDescent="0.15">
      <c r="A867" s="79"/>
      <c r="B867" s="79"/>
      <c r="K867" s="79"/>
      <c r="L867" s="79"/>
      <c r="O867" s="79"/>
    </row>
    <row r="868" spans="1:15" ht="13" x14ac:dyDescent="0.15">
      <c r="A868" s="79"/>
      <c r="B868" s="79"/>
      <c r="K868" s="79"/>
      <c r="L868" s="79"/>
      <c r="O868" s="79"/>
    </row>
    <row r="869" spans="1:15" ht="13" x14ac:dyDescent="0.15">
      <c r="A869" s="79"/>
      <c r="B869" s="79"/>
      <c r="K869" s="79"/>
      <c r="L869" s="79"/>
      <c r="O869" s="79"/>
    </row>
    <row r="870" spans="1:15" ht="13" x14ac:dyDescent="0.15">
      <c r="A870" s="79"/>
      <c r="B870" s="79"/>
      <c r="K870" s="79"/>
      <c r="L870" s="79"/>
      <c r="O870" s="79"/>
    </row>
    <row r="871" spans="1:15" ht="13" x14ac:dyDescent="0.15">
      <c r="A871" s="79"/>
      <c r="B871" s="79"/>
      <c r="K871" s="79"/>
      <c r="L871" s="79"/>
      <c r="O871" s="79"/>
    </row>
    <row r="872" spans="1:15" ht="13" x14ac:dyDescent="0.15">
      <c r="A872" s="79"/>
      <c r="B872" s="79"/>
      <c r="K872" s="79"/>
      <c r="L872" s="79"/>
      <c r="O872" s="79"/>
    </row>
    <row r="873" spans="1:15" ht="13" x14ac:dyDescent="0.15">
      <c r="A873" s="79"/>
      <c r="B873" s="79"/>
      <c r="K873" s="79"/>
      <c r="L873" s="79"/>
      <c r="O873" s="79"/>
    </row>
    <row r="874" spans="1:15" ht="13" x14ac:dyDescent="0.15">
      <c r="A874" s="79"/>
      <c r="B874" s="79"/>
      <c r="K874" s="79"/>
      <c r="L874" s="79"/>
      <c r="O874" s="79"/>
    </row>
    <row r="875" spans="1:15" ht="13" x14ac:dyDescent="0.15">
      <c r="A875" s="79"/>
      <c r="B875" s="79"/>
      <c r="K875" s="79"/>
      <c r="L875" s="79"/>
      <c r="O875" s="79"/>
    </row>
    <row r="876" spans="1:15" ht="13" x14ac:dyDescent="0.15">
      <c r="A876" s="79"/>
      <c r="B876" s="79"/>
      <c r="K876" s="79"/>
      <c r="L876" s="79"/>
      <c r="O876" s="79"/>
    </row>
    <row r="877" spans="1:15" ht="13" x14ac:dyDescent="0.15">
      <c r="A877" s="79"/>
      <c r="B877" s="79"/>
      <c r="K877" s="79"/>
      <c r="L877" s="79"/>
      <c r="O877" s="79"/>
    </row>
    <row r="878" spans="1:15" ht="13" x14ac:dyDescent="0.15">
      <c r="A878" s="79"/>
      <c r="B878" s="79"/>
      <c r="K878" s="79"/>
      <c r="L878" s="79"/>
      <c r="O878" s="79"/>
    </row>
    <row r="879" spans="1:15" ht="13" x14ac:dyDescent="0.15">
      <c r="A879" s="79"/>
      <c r="B879" s="79"/>
      <c r="K879" s="79"/>
      <c r="L879" s="79"/>
      <c r="O879" s="79"/>
    </row>
    <row r="880" spans="1:15" ht="13" x14ac:dyDescent="0.15">
      <c r="A880" s="79"/>
      <c r="B880" s="79"/>
      <c r="K880" s="79"/>
      <c r="L880" s="79"/>
      <c r="O880" s="79"/>
    </row>
    <row r="881" spans="1:15" ht="13" x14ac:dyDescent="0.15">
      <c r="A881" s="79"/>
      <c r="B881" s="79"/>
      <c r="K881" s="79"/>
      <c r="L881" s="79"/>
      <c r="O881" s="79"/>
    </row>
    <row r="882" spans="1:15" ht="13" x14ac:dyDescent="0.15">
      <c r="A882" s="79"/>
      <c r="B882" s="79"/>
      <c r="K882" s="79"/>
      <c r="L882" s="79"/>
      <c r="O882" s="79"/>
    </row>
    <row r="883" spans="1:15" ht="13" x14ac:dyDescent="0.15">
      <c r="A883" s="79"/>
      <c r="B883" s="79"/>
      <c r="K883" s="79"/>
      <c r="L883" s="79"/>
      <c r="O883" s="79"/>
    </row>
    <row r="884" spans="1:15" ht="13" x14ac:dyDescent="0.15">
      <c r="A884" s="79"/>
      <c r="B884" s="79"/>
      <c r="K884" s="79"/>
      <c r="L884" s="79"/>
      <c r="O884" s="79"/>
    </row>
    <row r="885" spans="1:15" ht="13" x14ac:dyDescent="0.15">
      <c r="A885" s="79"/>
      <c r="B885" s="79"/>
      <c r="K885" s="79"/>
      <c r="L885" s="79"/>
      <c r="O885" s="79"/>
    </row>
    <row r="886" spans="1:15" ht="13" x14ac:dyDescent="0.15">
      <c r="A886" s="79"/>
      <c r="B886" s="79"/>
      <c r="K886" s="79"/>
      <c r="L886" s="79"/>
      <c r="O886" s="79"/>
    </row>
    <row r="887" spans="1:15" ht="13" x14ac:dyDescent="0.15">
      <c r="A887" s="79"/>
      <c r="B887" s="79"/>
      <c r="K887" s="79"/>
      <c r="L887" s="79"/>
      <c r="O887" s="79"/>
    </row>
    <row r="888" spans="1:15" ht="13" x14ac:dyDescent="0.15">
      <c r="A888" s="79"/>
      <c r="B888" s="79"/>
      <c r="K888" s="79"/>
      <c r="L888" s="79"/>
      <c r="O888" s="79"/>
    </row>
    <row r="889" spans="1:15" ht="13" x14ac:dyDescent="0.15">
      <c r="A889" s="79"/>
      <c r="B889" s="79"/>
      <c r="K889" s="79"/>
      <c r="L889" s="79"/>
      <c r="O889" s="79"/>
    </row>
    <row r="890" spans="1:15" ht="13" x14ac:dyDescent="0.15">
      <c r="A890" s="79"/>
      <c r="B890" s="79"/>
      <c r="K890" s="79"/>
      <c r="L890" s="79"/>
      <c r="O890" s="79"/>
    </row>
    <row r="891" spans="1:15" ht="13" x14ac:dyDescent="0.15">
      <c r="A891" s="79"/>
      <c r="B891" s="79"/>
      <c r="K891" s="79"/>
      <c r="L891" s="79"/>
      <c r="O891" s="79"/>
    </row>
    <row r="892" spans="1:15" ht="13" x14ac:dyDescent="0.15">
      <c r="A892" s="79"/>
      <c r="B892" s="79"/>
      <c r="K892" s="79"/>
      <c r="L892" s="79"/>
      <c r="O892" s="79"/>
    </row>
    <row r="893" spans="1:15" ht="13" x14ac:dyDescent="0.15">
      <c r="A893" s="79"/>
      <c r="B893" s="79"/>
      <c r="K893" s="79"/>
      <c r="L893" s="79"/>
      <c r="O893" s="79"/>
    </row>
    <row r="894" spans="1:15" ht="13" x14ac:dyDescent="0.15">
      <c r="A894" s="79"/>
      <c r="B894" s="79"/>
      <c r="K894" s="79"/>
      <c r="L894" s="79"/>
      <c r="O894" s="79"/>
    </row>
    <row r="895" spans="1:15" ht="13" x14ac:dyDescent="0.15">
      <c r="A895" s="79"/>
      <c r="B895" s="79"/>
      <c r="K895" s="79"/>
      <c r="L895" s="79"/>
      <c r="O895" s="79"/>
    </row>
    <row r="896" spans="1:15" ht="13" x14ac:dyDescent="0.15">
      <c r="A896" s="79"/>
      <c r="B896" s="79"/>
      <c r="K896" s="79"/>
      <c r="L896" s="79"/>
      <c r="O896" s="79"/>
    </row>
    <row r="897" spans="1:15" ht="13" x14ac:dyDescent="0.15">
      <c r="A897" s="79"/>
      <c r="B897" s="79"/>
      <c r="K897" s="79"/>
      <c r="L897" s="79"/>
      <c r="O897" s="79"/>
    </row>
    <row r="898" spans="1:15" ht="13" x14ac:dyDescent="0.15">
      <c r="A898" s="79"/>
      <c r="B898" s="79"/>
      <c r="K898" s="79"/>
      <c r="L898" s="79"/>
      <c r="O898" s="79"/>
    </row>
    <row r="899" spans="1:15" ht="13" x14ac:dyDescent="0.15">
      <c r="A899" s="79"/>
      <c r="B899" s="79"/>
      <c r="K899" s="79"/>
      <c r="L899" s="79"/>
      <c r="O899" s="79"/>
    </row>
    <row r="900" spans="1:15" ht="13" x14ac:dyDescent="0.15">
      <c r="A900" s="79"/>
      <c r="B900" s="79"/>
      <c r="K900" s="79"/>
      <c r="L900" s="79"/>
      <c r="O900" s="79"/>
    </row>
    <row r="901" spans="1:15" ht="13" x14ac:dyDescent="0.15">
      <c r="A901" s="79"/>
      <c r="B901" s="79"/>
      <c r="K901" s="79"/>
      <c r="L901" s="79"/>
      <c r="O901" s="79"/>
    </row>
    <row r="902" spans="1:15" ht="13" x14ac:dyDescent="0.15">
      <c r="A902" s="79"/>
      <c r="B902" s="79"/>
      <c r="K902" s="79"/>
      <c r="L902" s="79"/>
      <c r="O902" s="79"/>
    </row>
    <row r="903" spans="1:15" ht="13" x14ac:dyDescent="0.15">
      <c r="A903" s="79"/>
      <c r="B903" s="79"/>
      <c r="K903" s="79"/>
      <c r="L903" s="79"/>
      <c r="O903" s="79"/>
    </row>
    <row r="904" spans="1:15" ht="13" x14ac:dyDescent="0.15">
      <c r="A904" s="79"/>
      <c r="B904" s="79"/>
      <c r="K904" s="79"/>
      <c r="L904" s="79"/>
      <c r="O904" s="79"/>
    </row>
    <row r="905" spans="1:15" ht="13" x14ac:dyDescent="0.15">
      <c r="A905" s="79"/>
      <c r="B905" s="79"/>
      <c r="K905" s="79"/>
      <c r="L905" s="79"/>
      <c r="O905" s="79"/>
    </row>
    <row r="906" spans="1:15" ht="13" x14ac:dyDescent="0.15">
      <c r="A906" s="79"/>
      <c r="B906" s="79"/>
      <c r="K906" s="79"/>
      <c r="L906" s="79"/>
      <c r="O906" s="79"/>
    </row>
    <row r="907" spans="1:15" ht="13" x14ac:dyDescent="0.15">
      <c r="A907" s="79"/>
      <c r="B907" s="79"/>
      <c r="K907" s="79"/>
      <c r="L907" s="79"/>
      <c r="O907" s="79"/>
    </row>
    <row r="908" spans="1:15" ht="13" x14ac:dyDescent="0.15">
      <c r="A908" s="79"/>
      <c r="B908" s="79"/>
      <c r="K908" s="79"/>
      <c r="L908" s="79"/>
      <c r="O908" s="79"/>
    </row>
    <row r="909" spans="1:15" ht="13" x14ac:dyDescent="0.15">
      <c r="A909" s="79"/>
      <c r="B909" s="79"/>
      <c r="K909" s="79"/>
      <c r="L909" s="79"/>
      <c r="O909" s="79"/>
    </row>
    <row r="910" spans="1:15" ht="13" x14ac:dyDescent="0.15">
      <c r="A910" s="79"/>
      <c r="B910" s="79"/>
      <c r="K910" s="79"/>
      <c r="L910" s="79"/>
      <c r="O910" s="79"/>
    </row>
    <row r="911" spans="1:15" ht="13" x14ac:dyDescent="0.15">
      <c r="A911" s="79"/>
      <c r="B911" s="79"/>
      <c r="K911" s="79"/>
      <c r="L911" s="79"/>
      <c r="O911" s="79"/>
    </row>
    <row r="912" spans="1:15" ht="13" x14ac:dyDescent="0.15">
      <c r="A912" s="79"/>
      <c r="B912" s="79"/>
      <c r="K912" s="79"/>
      <c r="L912" s="79"/>
      <c r="O912" s="79"/>
    </row>
    <row r="913" spans="1:15" ht="13" x14ac:dyDescent="0.15">
      <c r="A913" s="79"/>
      <c r="B913" s="79"/>
      <c r="K913" s="79"/>
      <c r="L913" s="79"/>
      <c r="O913" s="79"/>
    </row>
    <row r="914" spans="1:15" ht="13" x14ac:dyDescent="0.15">
      <c r="A914" s="79"/>
      <c r="B914" s="79"/>
      <c r="K914" s="79"/>
      <c r="L914" s="79"/>
      <c r="O914" s="79"/>
    </row>
    <row r="915" spans="1:15" ht="13" x14ac:dyDescent="0.15">
      <c r="A915" s="79"/>
      <c r="B915" s="79"/>
      <c r="K915" s="79"/>
      <c r="L915" s="79"/>
      <c r="O915" s="79"/>
    </row>
    <row r="916" spans="1:15" ht="13" x14ac:dyDescent="0.15">
      <c r="A916" s="79"/>
      <c r="B916" s="79"/>
      <c r="K916" s="79"/>
      <c r="L916" s="79"/>
      <c r="O916" s="79"/>
    </row>
    <row r="917" spans="1:15" ht="13" x14ac:dyDescent="0.15">
      <c r="A917" s="79"/>
      <c r="B917" s="79"/>
      <c r="K917" s="79"/>
      <c r="L917" s="79"/>
      <c r="O917" s="79"/>
    </row>
    <row r="918" spans="1:15" ht="13" x14ac:dyDescent="0.15">
      <c r="A918" s="79"/>
      <c r="B918" s="79"/>
      <c r="K918" s="79"/>
      <c r="L918" s="79"/>
      <c r="O918" s="79"/>
    </row>
    <row r="919" spans="1:15" ht="13" x14ac:dyDescent="0.15">
      <c r="A919" s="79"/>
      <c r="B919" s="79"/>
      <c r="K919" s="79"/>
      <c r="L919" s="79"/>
      <c r="O919" s="79"/>
    </row>
    <row r="920" spans="1:15" ht="13" x14ac:dyDescent="0.15">
      <c r="A920" s="79"/>
      <c r="B920" s="79"/>
      <c r="K920" s="79"/>
      <c r="L920" s="79"/>
      <c r="O920" s="79"/>
    </row>
    <row r="921" spans="1:15" ht="13" x14ac:dyDescent="0.15">
      <c r="A921" s="79"/>
      <c r="B921" s="79"/>
      <c r="K921" s="79"/>
      <c r="L921" s="79"/>
      <c r="O921" s="79"/>
    </row>
    <row r="922" spans="1:15" ht="13" x14ac:dyDescent="0.15">
      <c r="A922" s="79"/>
      <c r="B922" s="79"/>
      <c r="K922" s="79"/>
      <c r="L922" s="79"/>
      <c r="O922" s="79"/>
    </row>
    <row r="923" spans="1:15" ht="13" x14ac:dyDescent="0.15">
      <c r="A923" s="79"/>
      <c r="B923" s="79"/>
      <c r="K923" s="79"/>
      <c r="L923" s="79"/>
      <c r="O923" s="79"/>
    </row>
    <row r="924" spans="1:15" ht="13" x14ac:dyDescent="0.15">
      <c r="A924" s="79"/>
      <c r="B924" s="79"/>
      <c r="K924" s="79"/>
      <c r="L924" s="79"/>
      <c r="O924" s="79"/>
    </row>
    <row r="925" spans="1:15" ht="13" x14ac:dyDescent="0.15">
      <c r="A925" s="79"/>
      <c r="B925" s="79"/>
      <c r="K925" s="79"/>
      <c r="L925" s="79"/>
      <c r="O925" s="79"/>
    </row>
    <row r="926" spans="1:15" ht="13" x14ac:dyDescent="0.15">
      <c r="A926" s="79"/>
      <c r="B926" s="79"/>
      <c r="K926" s="79"/>
      <c r="L926" s="79"/>
      <c r="O926" s="79"/>
    </row>
    <row r="927" spans="1:15" ht="13" x14ac:dyDescent="0.15">
      <c r="A927" s="79"/>
      <c r="B927" s="79"/>
      <c r="K927" s="79"/>
      <c r="L927" s="79"/>
      <c r="O927" s="79"/>
    </row>
    <row r="928" spans="1:15" ht="13" x14ac:dyDescent="0.15">
      <c r="A928" s="79"/>
      <c r="B928" s="79"/>
      <c r="K928" s="79"/>
      <c r="L928" s="79"/>
      <c r="O928" s="79"/>
    </row>
    <row r="929" spans="1:15" ht="13" x14ac:dyDescent="0.15">
      <c r="A929" s="79"/>
      <c r="B929" s="79"/>
      <c r="K929" s="79"/>
      <c r="L929" s="79"/>
      <c r="O929" s="79"/>
    </row>
    <row r="930" spans="1:15" ht="13" x14ac:dyDescent="0.15">
      <c r="A930" s="79"/>
      <c r="B930" s="79"/>
      <c r="K930" s="79"/>
      <c r="L930" s="79"/>
      <c r="O930" s="79"/>
    </row>
    <row r="931" spans="1:15" ht="13" x14ac:dyDescent="0.15">
      <c r="A931" s="79"/>
      <c r="B931" s="79"/>
      <c r="K931" s="79"/>
      <c r="L931" s="79"/>
      <c r="O931" s="79"/>
    </row>
    <row r="932" spans="1:15" ht="13" x14ac:dyDescent="0.15">
      <c r="A932" s="79"/>
      <c r="B932" s="79"/>
      <c r="K932" s="79"/>
      <c r="L932" s="79"/>
      <c r="O932" s="79"/>
    </row>
    <row r="933" spans="1:15" ht="13" x14ac:dyDescent="0.15">
      <c r="A933" s="79"/>
      <c r="B933" s="79"/>
      <c r="K933" s="79"/>
      <c r="L933" s="79"/>
      <c r="O933" s="79"/>
    </row>
    <row r="934" spans="1:15" ht="13" x14ac:dyDescent="0.15">
      <c r="A934" s="79"/>
      <c r="B934" s="79"/>
      <c r="K934" s="79"/>
      <c r="L934" s="79"/>
      <c r="O934" s="79"/>
    </row>
    <row r="935" spans="1:15" ht="13" x14ac:dyDescent="0.15">
      <c r="A935" s="79"/>
      <c r="B935" s="79"/>
      <c r="K935" s="79"/>
      <c r="L935" s="79"/>
      <c r="O935" s="79"/>
    </row>
    <row r="936" spans="1:15" ht="13" x14ac:dyDescent="0.15">
      <c r="A936" s="79"/>
      <c r="B936" s="79"/>
      <c r="K936" s="79"/>
      <c r="L936" s="79"/>
      <c r="O936" s="79"/>
    </row>
    <row r="937" spans="1:15" ht="13" x14ac:dyDescent="0.15">
      <c r="A937" s="79"/>
      <c r="B937" s="79"/>
      <c r="K937" s="79"/>
      <c r="L937" s="79"/>
      <c r="O937" s="79"/>
    </row>
    <row r="938" spans="1:15" ht="13" x14ac:dyDescent="0.15">
      <c r="A938" s="79"/>
      <c r="B938" s="79"/>
      <c r="K938" s="79"/>
      <c r="L938" s="79"/>
      <c r="O938" s="79"/>
    </row>
    <row r="939" spans="1:15" ht="13" x14ac:dyDescent="0.15">
      <c r="A939" s="79"/>
      <c r="B939" s="79"/>
      <c r="K939" s="79"/>
      <c r="L939" s="79"/>
      <c r="O939" s="79"/>
    </row>
    <row r="940" spans="1:15" ht="13" x14ac:dyDescent="0.15">
      <c r="A940" s="79"/>
      <c r="B940" s="79"/>
      <c r="K940" s="79"/>
      <c r="L940" s="79"/>
      <c r="O940" s="79"/>
    </row>
    <row r="941" spans="1:15" ht="13" x14ac:dyDescent="0.15">
      <c r="A941" s="79"/>
      <c r="B941" s="79"/>
      <c r="K941" s="79"/>
      <c r="L941" s="79"/>
      <c r="O941" s="79"/>
    </row>
    <row r="942" spans="1:15" ht="13" x14ac:dyDescent="0.15">
      <c r="A942" s="79"/>
      <c r="B942" s="79"/>
      <c r="K942" s="79"/>
      <c r="L942" s="79"/>
      <c r="O942" s="79"/>
    </row>
    <row r="943" spans="1:15" ht="13" x14ac:dyDescent="0.15">
      <c r="A943" s="79"/>
      <c r="B943" s="79"/>
      <c r="K943" s="79"/>
      <c r="L943" s="79"/>
      <c r="O943" s="79"/>
    </row>
    <row r="944" spans="1:15" ht="13" x14ac:dyDescent="0.15">
      <c r="A944" s="79"/>
      <c r="B944" s="79"/>
      <c r="K944" s="79"/>
      <c r="L944" s="79"/>
      <c r="O944" s="79"/>
    </row>
    <row r="945" spans="1:15" ht="13" x14ac:dyDescent="0.15">
      <c r="A945" s="79"/>
      <c r="B945" s="79"/>
      <c r="K945" s="79"/>
      <c r="L945" s="79"/>
      <c r="O945" s="79"/>
    </row>
    <row r="946" spans="1:15" ht="13" x14ac:dyDescent="0.15">
      <c r="A946" s="79"/>
      <c r="B946" s="79"/>
      <c r="K946" s="79"/>
      <c r="L946" s="79"/>
      <c r="O946" s="79"/>
    </row>
    <row r="947" spans="1:15" ht="13" x14ac:dyDescent="0.15">
      <c r="A947" s="79"/>
      <c r="B947" s="79"/>
      <c r="K947" s="79"/>
      <c r="L947" s="79"/>
      <c r="O947" s="79"/>
    </row>
    <row r="948" spans="1:15" ht="13" x14ac:dyDescent="0.15">
      <c r="A948" s="79"/>
      <c r="B948" s="79"/>
      <c r="K948" s="79"/>
      <c r="L948" s="79"/>
      <c r="O948" s="79"/>
    </row>
    <row r="949" spans="1:15" ht="13" x14ac:dyDescent="0.15">
      <c r="A949" s="79"/>
      <c r="B949" s="79"/>
      <c r="K949" s="79"/>
      <c r="L949" s="79"/>
      <c r="O949" s="79"/>
    </row>
    <row r="950" spans="1:15" ht="13" x14ac:dyDescent="0.15">
      <c r="A950" s="79"/>
      <c r="B950" s="79"/>
      <c r="K950" s="79"/>
      <c r="L950" s="79"/>
      <c r="O950" s="79"/>
    </row>
    <row r="951" spans="1:15" ht="13" x14ac:dyDescent="0.15">
      <c r="A951" s="79"/>
      <c r="B951" s="79"/>
      <c r="K951" s="79"/>
      <c r="L951" s="79"/>
      <c r="O951" s="79"/>
    </row>
    <row r="952" spans="1:15" ht="13" x14ac:dyDescent="0.15">
      <c r="A952" s="79"/>
      <c r="B952" s="79"/>
      <c r="K952" s="79"/>
      <c r="L952" s="79"/>
      <c r="O952" s="79"/>
    </row>
    <row r="953" spans="1:15" ht="13" x14ac:dyDescent="0.15">
      <c r="A953" s="79"/>
      <c r="B953" s="79"/>
      <c r="K953" s="79"/>
      <c r="L953" s="79"/>
      <c r="O953" s="79"/>
    </row>
    <row r="954" spans="1:15" ht="13" x14ac:dyDescent="0.15">
      <c r="A954" s="79"/>
      <c r="B954" s="79"/>
      <c r="K954" s="79"/>
      <c r="L954" s="79"/>
      <c r="O954" s="79"/>
    </row>
    <row r="955" spans="1:15" ht="13" x14ac:dyDescent="0.15">
      <c r="A955" s="79"/>
      <c r="B955" s="79"/>
      <c r="K955" s="79"/>
      <c r="L955" s="79"/>
      <c r="O955" s="79"/>
    </row>
    <row r="956" spans="1:15" ht="13" x14ac:dyDescent="0.15">
      <c r="A956" s="79"/>
      <c r="B956" s="79"/>
      <c r="K956" s="79"/>
      <c r="L956" s="79"/>
      <c r="O956" s="79"/>
    </row>
    <row r="957" spans="1:15" ht="13" x14ac:dyDescent="0.15">
      <c r="A957" s="79"/>
      <c r="B957" s="79"/>
      <c r="K957" s="79"/>
      <c r="L957" s="79"/>
      <c r="O957" s="79"/>
    </row>
    <row r="958" spans="1:15" ht="13" x14ac:dyDescent="0.15">
      <c r="A958" s="79"/>
      <c r="B958" s="79"/>
      <c r="K958" s="79"/>
      <c r="L958" s="79"/>
      <c r="O958" s="79"/>
    </row>
    <row r="959" spans="1:15" ht="13" x14ac:dyDescent="0.15">
      <c r="A959" s="79"/>
      <c r="B959" s="79"/>
      <c r="K959" s="79"/>
      <c r="L959" s="79"/>
      <c r="O959" s="79"/>
    </row>
    <row r="960" spans="1:15" ht="13" x14ac:dyDescent="0.15">
      <c r="A960" s="79"/>
      <c r="B960" s="79"/>
      <c r="K960" s="79"/>
      <c r="L960" s="79"/>
      <c r="O960" s="79"/>
    </row>
    <row r="961" spans="1:15" ht="13" x14ac:dyDescent="0.15">
      <c r="A961" s="79"/>
      <c r="B961" s="79"/>
      <c r="K961" s="79"/>
      <c r="L961" s="79"/>
      <c r="O961" s="79"/>
    </row>
    <row r="962" spans="1:15" ht="13" x14ac:dyDescent="0.15">
      <c r="A962" s="79"/>
      <c r="B962" s="79"/>
      <c r="K962" s="79"/>
      <c r="L962" s="79"/>
      <c r="O962" s="79"/>
    </row>
    <row r="963" spans="1:15" ht="13" x14ac:dyDescent="0.15">
      <c r="A963" s="79"/>
      <c r="B963" s="79"/>
      <c r="K963" s="79"/>
      <c r="L963" s="79"/>
      <c r="O963" s="79"/>
    </row>
    <row r="964" spans="1:15" ht="13" x14ac:dyDescent="0.15">
      <c r="A964" s="79"/>
      <c r="B964" s="79"/>
      <c r="K964" s="79"/>
      <c r="L964" s="79"/>
      <c r="O964" s="79"/>
    </row>
    <row r="965" spans="1:15" ht="13" x14ac:dyDescent="0.15">
      <c r="A965" s="79"/>
      <c r="B965" s="79"/>
      <c r="K965" s="79"/>
      <c r="L965" s="79"/>
      <c r="O965" s="79"/>
    </row>
    <row r="966" spans="1:15" ht="13" x14ac:dyDescent="0.15">
      <c r="A966" s="79"/>
      <c r="B966" s="79"/>
      <c r="K966" s="79"/>
      <c r="L966" s="79"/>
      <c r="O966" s="79"/>
    </row>
    <row r="967" spans="1:15" ht="13" x14ac:dyDescent="0.15">
      <c r="A967" s="79"/>
      <c r="B967" s="79"/>
      <c r="K967" s="79"/>
      <c r="L967" s="79"/>
      <c r="O967" s="79"/>
    </row>
    <row r="968" spans="1:15" ht="13" x14ac:dyDescent="0.15">
      <c r="A968" s="79"/>
      <c r="B968" s="79"/>
      <c r="K968" s="79"/>
      <c r="L968" s="79"/>
      <c r="O968" s="79"/>
    </row>
    <row r="969" spans="1:15" ht="13" x14ac:dyDescent="0.15">
      <c r="A969" s="79"/>
      <c r="B969" s="79"/>
      <c r="K969" s="79"/>
      <c r="L969" s="79"/>
      <c r="O969" s="79"/>
    </row>
    <row r="970" spans="1:15" ht="13" x14ac:dyDescent="0.15">
      <c r="A970" s="79"/>
      <c r="B970" s="79"/>
      <c r="K970" s="79"/>
      <c r="L970" s="79"/>
      <c r="O970" s="79"/>
    </row>
    <row r="971" spans="1:15" ht="13" x14ac:dyDescent="0.15">
      <c r="A971" s="79"/>
      <c r="B971" s="79"/>
      <c r="K971" s="79"/>
      <c r="L971" s="79"/>
      <c r="O971" s="79"/>
    </row>
    <row r="972" spans="1:15" ht="13" x14ac:dyDescent="0.15">
      <c r="A972" s="79"/>
      <c r="B972" s="79"/>
      <c r="K972" s="79"/>
      <c r="L972" s="79"/>
      <c r="O972" s="79"/>
    </row>
    <row r="973" spans="1:15" ht="13" x14ac:dyDescent="0.15">
      <c r="A973" s="79"/>
      <c r="B973" s="79"/>
      <c r="K973" s="79"/>
      <c r="L973" s="79"/>
      <c r="O973" s="79"/>
    </row>
    <row r="974" spans="1:15" ht="13" x14ac:dyDescent="0.15">
      <c r="A974" s="79"/>
      <c r="B974" s="79"/>
      <c r="K974" s="79"/>
      <c r="L974" s="79"/>
      <c r="O974" s="79"/>
    </row>
    <row r="975" spans="1:15" ht="13" x14ac:dyDescent="0.15">
      <c r="A975" s="79"/>
      <c r="B975" s="79"/>
      <c r="K975" s="79"/>
      <c r="L975" s="79"/>
      <c r="O975" s="79"/>
    </row>
    <row r="976" spans="1:15" ht="13" x14ac:dyDescent="0.15">
      <c r="A976" s="79"/>
      <c r="B976" s="79"/>
      <c r="K976" s="79"/>
      <c r="L976" s="79"/>
      <c r="O976" s="79"/>
    </row>
    <row r="977" spans="1:15" ht="13" x14ac:dyDescent="0.15">
      <c r="A977" s="79"/>
      <c r="B977" s="79"/>
      <c r="K977" s="79"/>
      <c r="L977" s="79"/>
      <c r="O977" s="79"/>
    </row>
    <row r="978" spans="1:15" ht="13" x14ac:dyDescent="0.15">
      <c r="A978" s="79"/>
      <c r="B978" s="79"/>
      <c r="K978" s="79"/>
      <c r="L978" s="79"/>
      <c r="O978" s="79"/>
    </row>
    <row r="979" spans="1:15" ht="13" x14ac:dyDescent="0.15">
      <c r="A979" s="79"/>
      <c r="B979" s="79"/>
      <c r="K979" s="79"/>
      <c r="L979" s="79"/>
      <c r="O979" s="79"/>
    </row>
    <row r="980" spans="1:15" ht="13" x14ac:dyDescent="0.15">
      <c r="A980" s="79"/>
      <c r="B980" s="79"/>
      <c r="K980" s="79"/>
      <c r="L980" s="79"/>
      <c r="O980" s="79"/>
    </row>
    <row r="981" spans="1:15" ht="13" x14ac:dyDescent="0.15">
      <c r="A981" s="79"/>
      <c r="B981" s="79"/>
      <c r="K981" s="79"/>
      <c r="L981" s="79"/>
      <c r="O981" s="79"/>
    </row>
    <row r="982" spans="1:15" ht="13" x14ac:dyDescent="0.15">
      <c r="A982" s="79"/>
      <c r="B982" s="79"/>
      <c r="K982" s="79"/>
      <c r="L982" s="79"/>
      <c r="O982" s="79"/>
    </row>
    <row r="983" spans="1:15" ht="13" x14ac:dyDescent="0.15">
      <c r="A983" s="79"/>
      <c r="B983" s="79"/>
      <c r="K983" s="79"/>
      <c r="L983" s="79"/>
      <c r="O983" s="79"/>
    </row>
    <row r="984" spans="1:15" ht="13" x14ac:dyDescent="0.15">
      <c r="A984" s="79"/>
      <c r="B984" s="79"/>
      <c r="K984" s="79"/>
      <c r="L984" s="79"/>
      <c r="O984" s="79"/>
    </row>
    <row r="985" spans="1:15" ht="13" x14ac:dyDescent="0.15">
      <c r="A985" s="79"/>
      <c r="B985" s="79"/>
      <c r="K985" s="79"/>
      <c r="L985" s="79"/>
      <c r="O985" s="79"/>
    </row>
    <row r="986" spans="1:15" ht="13" x14ac:dyDescent="0.15">
      <c r="A986" s="79"/>
      <c r="B986" s="79"/>
      <c r="K986" s="79"/>
      <c r="L986" s="79"/>
      <c r="O986" s="79"/>
    </row>
    <row r="987" spans="1:15" ht="13" x14ac:dyDescent="0.15">
      <c r="A987" s="79"/>
      <c r="B987" s="79"/>
      <c r="K987" s="79"/>
      <c r="L987" s="79"/>
      <c r="O987" s="79"/>
    </row>
    <row r="988" spans="1:15" ht="13" x14ac:dyDescent="0.15">
      <c r="A988" s="79"/>
      <c r="B988" s="79"/>
      <c r="K988" s="79"/>
      <c r="L988" s="79"/>
      <c r="O988" s="79"/>
    </row>
    <row r="989" spans="1:15" ht="13" x14ac:dyDescent="0.15">
      <c r="A989" s="79"/>
      <c r="B989" s="79"/>
      <c r="K989" s="79"/>
      <c r="L989" s="79"/>
      <c r="O989" s="79"/>
    </row>
    <row r="990" spans="1:15" ht="13" x14ac:dyDescent="0.15">
      <c r="A990" s="79"/>
      <c r="B990" s="79"/>
      <c r="K990" s="79"/>
      <c r="L990" s="79"/>
      <c r="O990" s="79"/>
    </row>
    <row r="991" spans="1:15" ht="13" x14ac:dyDescent="0.15">
      <c r="A991" s="79"/>
      <c r="B991" s="79"/>
      <c r="K991" s="79"/>
      <c r="L991" s="79"/>
      <c r="O991" s="79"/>
    </row>
    <row r="992" spans="1:15" ht="13" x14ac:dyDescent="0.15">
      <c r="A992" s="79"/>
      <c r="B992" s="79"/>
      <c r="K992" s="79"/>
      <c r="L992" s="79"/>
      <c r="O992" s="79"/>
    </row>
    <row r="993" spans="1:15" ht="13" x14ac:dyDescent="0.15">
      <c r="A993" s="79"/>
      <c r="B993" s="79"/>
      <c r="K993" s="79"/>
      <c r="L993" s="79"/>
      <c r="O993" s="79"/>
    </row>
    <row r="994" spans="1:15" ht="13" x14ac:dyDescent="0.15">
      <c r="A994" s="79"/>
      <c r="B994" s="79"/>
      <c r="K994" s="79"/>
      <c r="L994" s="79"/>
      <c r="O994" s="79"/>
    </row>
    <row r="995" spans="1:15" ht="13" x14ac:dyDescent="0.15">
      <c r="A995" s="79"/>
      <c r="B995" s="79"/>
      <c r="K995" s="79"/>
      <c r="L995" s="79"/>
      <c r="O995" s="79"/>
    </row>
  </sheetData>
  <hyperlinks>
    <hyperlink ref="M3" r:id="rId1" xr:uid="{00000000-0004-0000-0800-000000000000}"/>
    <hyperlink ref="M4" r:id="rId2" xr:uid="{00000000-0004-0000-0800-000001000000}"/>
    <hyperlink ref="M5" r:id="rId3" xr:uid="{00000000-0004-0000-0800-000002000000}"/>
    <hyperlink ref="M6" r:id="rId4" xr:uid="{00000000-0004-0000-0800-000003000000}"/>
    <hyperlink ref="M7" r:id="rId5" xr:uid="{00000000-0004-0000-0800-000004000000}"/>
  </hyperlinks>
  <pageMargins left="0.7" right="0.7" top="0.3" bottom="0.3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990"/>
  <sheetViews>
    <sheetView workbookViewId="0"/>
  </sheetViews>
  <sheetFormatPr baseColWidth="10" defaultColWidth="12.6640625" defaultRowHeight="15.75" customHeight="1" x14ac:dyDescent="0.15"/>
  <cols>
    <col min="1" max="1" width="12.1640625" customWidth="1"/>
    <col min="2" max="2" width="14.83203125" customWidth="1"/>
    <col min="3" max="4" width="12.1640625" customWidth="1"/>
    <col min="5" max="5" width="55.33203125" customWidth="1"/>
    <col min="6" max="6" width="122.1640625" customWidth="1"/>
    <col min="7" max="7" width="27.1640625" customWidth="1"/>
    <col min="8" max="8" width="30" customWidth="1"/>
    <col min="9" max="9" width="28.1640625" customWidth="1"/>
    <col min="10" max="10" width="20.1640625" customWidth="1"/>
    <col min="11" max="11" width="20" customWidth="1"/>
    <col min="12" max="13" width="12.1640625" customWidth="1"/>
    <col min="14" max="14" width="44" customWidth="1"/>
    <col min="15" max="15" width="13.1640625" customWidth="1"/>
    <col min="16" max="16" width="8.6640625" customWidth="1"/>
    <col min="17" max="17" width="21.83203125" customWidth="1"/>
    <col min="18" max="18" width="28.1640625" customWidth="1"/>
    <col min="19" max="19" width="22.33203125" customWidth="1"/>
    <col min="20" max="20" width="21.6640625" customWidth="1"/>
    <col min="21" max="21" width="30.1640625" customWidth="1"/>
    <col min="22" max="27" width="8.6640625" customWidth="1"/>
  </cols>
  <sheetData>
    <row r="1" spans="1:27" ht="15.75" customHeight="1" x14ac:dyDescent="0.2">
      <c r="A1" s="166" t="s">
        <v>36</v>
      </c>
      <c r="B1" s="166" t="s">
        <v>37</v>
      </c>
      <c r="C1" s="167" t="s">
        <v>38</v>
      </c>
      <c r="D1" s="167"/>
      <c r="E1" s="167" t="s">
        <v>39</v>
      </c>
      <c r="F1" s="167" t="s">
        <v>40</v>
      </c>
      <c r="G1" s="167" t="s">
        <v>41</v>
      </c>
      <c r="H1" s="167" t="s">
        <v>42</v>
      </c>
      <c r="I1" s="167" t="s">
        <v>43</v>
      </c>
      <c r="J1" s="167" t="s">
        <v>44</v>
      </c>
      <c r="K1" s="167" t="s">
        <v>45</v>
      </c>
      <c r="L1" s="167" t="s">
        <v>46</v>
      </c>
      <c r="M1" s="167" t="s">
        <v>47</v>
      </c>
      <c r="N1" s="167" t="s">
        <v>48</v>
      </c>
      <c r="O1" s="166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168">
        <v>21</v>
      </c>
      <c r="B2" s="168" t="s">
        <v>2682</v>
      </c>
      <c r="C2" s="169" t="s">
        <v>51</v>
      </c>
      <c r="D2" s="169" t="str">
        <f t="shared" ref="D2:D58" si="0">A2&amp;B2&amp;C2</f>
        <v>2109001</v>
      </c>
      <c r="E2" s="170" t="s">
        <v>2683</v>
      </c>
      <c r="F2" s="170" t="s">
        <v>2684</v>
      </c>
      <c r="G2" s="170" t="s">
        <v>2685</v>
      </c>
      <c r="H2" s="170" t="s">
        <v>2686</v>
      </c>
      <c r="I2" s="170" t="s">
        <v>2687</v>
      </c>
      <c r="J2" s="170" t="s">
        <v>2688</v>
      </c>
      <c r="K2" s="169">
        <v>85852197179</v>
      </c>
      <c r="L2" s="170">
        <v>85646136134</v>
      </c>
      <c r="M2" s="171" t="s">
        <v>2689</v>
      </c>
      <c r="N2" s="170" t="s">
        <v>2690</v>
      </c>
      <c r="O2" s="168">
        <v>6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168">
        <v>21</v>
      </c>
      <c r="B3" s="168" t="s">
        <v>2682</v>
      </c>
      <c r="C3" s="169" t="s">
        <v>60</v>
      </c>
      <c r="D3" s="169" t="str">
        <f t="shared" si="0"/>
        <v>2109002</v>
      </c>
      <c r="E3" s="170" t="s">
        <v>2691</v>
      </c>
      <c r="F3" s="170" t="s">
        <v>2692</v>
      </c>
      <c r="G3" s="170" t="s">
        <v>2685</v>
      </c>
      <c r="H3" s="170" t="s">
        <v>2693</v>
      </c>
      <c r="I3" s="170" t="s">
        <v>2694</v>
      </c>
      <c r="J3" s="170"/>
      <c r="K3" s="169">
        <v>81515206554</v>
      </c>
      <c r="L3" s="170"/>
      <c r="M3" s="171" t="s">
        <v>2695</v>
      </c>
      <c r="N3" s="170" t="s">
        <v>2696</v>
      </c>
      <c r="O3" s="16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168">
        <v>21</v>
      </c>
      <c r="B4" s="168" t="s">
        <v>2682</v>
      </c>
      <c r="C4" s="169" t="s">
        <v>68</v>
      </c>
      <c r="D4" s="169" t="str">
        <f t="shared" si="0"/>
        <v>2109003</v>
      </c>
      <c r="E4" s="170" t="s">
        <v>2697</v>
      </c>
      <c r="F4" s="170" t="s">
        <v>2698</v>
      </c>
      <c r="G4" s="170" t="s">
        <v>2685</v>
      </c>
      <c r="H4" s="170" t="s">
        <v>2699</v>
      </c>
      <c r="I4" s="170" t="s">
        <v>2700</v>
      </c>
      <c r="J4" s="170" t="s">
        <v>2701</v>
      </c>
      <c r="K4" s="169">
        <v>85648818771</v>
      </c>
      <c r="L4" s="170">
        <v>85706961963</v>
      </c>
      <c r="M4" s="171" t="s">
        <v>2702</v>
      </c>
      <c r="N4" s="170" t="s">
        <v>2703</v>
      </c>
      <c r="O4" s="16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168">
        <v>21</v>
      </c>
      <c r="B5" s="168" t="s">
        <v>2682</v>
      </c>
      <c r="C5" s="169" t="s">
        <v>76</v>
      </c>
      <c r="D5" s="169" t="str">
        <f t="shared" si="0"/>
        <v>2109004</v>
      </c>
      <c r="E5" s="170" t="s">
        <v>101</v>
      </c>
      <c r="F5" s="170" t="s">
        <v>2704</v>
      </c>
      <c r="G5" s="170" t="s">
        <v>2685</v>
      </c>
      <c r="H5" s="170" t="s">
        <v>2705</v>
      </c>
      <c r="I5" s="170" t="s">
        <v>2706</v>
      </c>
      <c r="J5" s="170" t="s">
        <v>2707</v>
      </c>
      <c r="K5" s="169">
        <v>82231942642</v>
      </c>
      <c r="L5" s="170">
        <v>85655283933</v>
      </c>
      <c r="M5" s="171" t="s">
        <v>2708</v>
      </c>
      <c r="N5" s="170" t="s">
        <v>2709</v>
      </c>
      <c r="O5" s="168">
        <v>9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168">
        <v>21</v>
      </c>
      <c r="B6" s="168" t="s">
        <v>2682</v>
      </c>
      <c r="C6" s="169" t="s">
        <v>84</v>
      </c>
      <c r="D6" s="169" t="str">
        <f t="shared" si="0"/>
        <v>2109005</v>
      </c>
      <c r="E6" s="170" t="s">
        <v>2710</v>
      </c>
      <c r="F6" s="170" t="s">
        <v>2711</v>
      </c>
      <c r="G6" s="170" t="s">
        <v>2685</v>
      </c>
      <c r="H6" s="170" t="s">
        <v>2712</v>
      </c>
      <c r="I6" s="170" t="s">
        <v>2713</v>
      </c>
      <c r="J6" s="170"/>
      <c r="K6" s="169">
        <v>85815864988</v>
      </c>
      <c r="L6" s="170"/>
      <c r="M6" s="171" t="s">
        <v>2714</v>
      </c>
      <c r="N6" s="170" t="s">
        <v>2715</v>
      </c>
      <c r="O6" s="16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168">
        <v>21</v>
      </c>
      <c r="B7" s="168" t="s">
        <v>2682</v>
      </c>
      <c r="C7" s="169" t="s">
        <v>92</v>
      </c>
      <c r="D7" s="169" t="str">
        <f t="shared" si="0"/>
        <v>2109006</v>
      </c>
      <c r="E7" s="170" t="s">
        <v>2716</v>
      </c>
      <c r="F7" s="172" t="s">
        <v>2717</v>
      </c>
      <c r="G7" s="170" t="s">
        <v>2685</v>
      </c>
      <c r="H7" s="170" t="s">
        <v>2718</v>
      </c>
      <c r="I7" s="170" t="s">
        <v>2719</v>
      </c>
      <c r="J7" s="170" t="s">
        <v>2720</v>
      </c>
      <c r="K7" s="169">
        <v>85707004054</v>
      </c>
      <c r="L7" s="170">
        <v>85785153926</v>
      </c>
      <c r="M7" s="171" t="s">
        <v>2721</v>
      </c>
      <c r="N7" s="170" t="s">
        <v>2722</v>
      </c>
      <c r="O7" s="16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168">
        <v>21</v>
      </c>
      <c r="B8" s="168" t="s">
        <v>2682</v>
      </c>
      <c r="C8" s="169" t="s">
        <v>100</v>
      </c>
      <c r="D8" s="169" t="str">
        <f t="shared" si="0"/>
        <v>2109007</v>
      </c>
      <c r="E8" s="170" t="s">
        <v>2723</v>
      </c>
      <c r="F8" s="170" t="s">
        <v>2724</v>
      </c>
      <c r="G8" s="170" t="s">
        <v>2685</v>
      </c>
      <c r="H8" s="170" t="s">
        <v>2725</v>
      </c>
      <c r="I8" s="170" t="s">
        <v>2726</v>
      </c>
      <c r="J8" s="170" t="s">
        <v>2727</v>
      </c>
      <c r="K8" s="169">
        <v>85775281317</v>
      </c>
      <c r="L8" s="170">
        <v>85895244746</v>
      </c>
      <c r="M8" s="171" t="s">
        <v>2728</v>
      </c>
      <c r="N8" s="170" t="s">
        <v>2729</v>
      </c>
      <c r="O8" s="16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168">
        <v>21</v>
      </c>
      <c r="B9" s="168" t="s">
        <v>2682</v>
      </c>
      <c r="C9" s="169" t="s">
        <v>108</v>
      </c>
      <c r="D9" s="169" t="str">
        <f t="shared" si="0"/>
        <v>2109008</v>
      </c>
      <c r="E9" s="170" t="s">
        <v>2730</v>
      </c>
      <c r="F9" s="170" t="s">
        <v>2731</v>
      </c>
      <c r="G9" s="170" t="s">
        <v>2685</v>
      </c>
      <c r="H9" s="170" t="s">
        <v>2732</v>
      </c>
      <c r="I9" s="170" t="s">
        <v>2733</v>
      </c>
      <c r="J9" s="170"/>
      <c r="K9" s="169">
        <v>8567300519</v>
      </c>
      <c r="L9" s="170"/>
      <c r="M9" s="171" t="s">
        <v>2734</v>
      </c>
      <c r="N9" s="170" t="s">
        <v>2735</v>
      </c>
      <c r="O9" s="16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168">
        <v>21</v>
      </c>
      <c r="B10" s="168" t="s">
        <v>2682</v>
      </c>
      <c r="C10" s="169" t="s">
        <v>116</v>
      </c>
      <c r="D10" s="169" t="str">
        <f t="shared" si="0"/>
        <v>2109009</v>
      </c>
      <c r="E10" s="170" t="s">
        <v>2736</v>
      </c>
      <c r="F10" s="170" t="s">
        <v>2737</v>
      </c>
      <c r="G10" s="170" t="s">
        <v>2685</v>
      </c>
      <c r="H10" s="170" t="s">
        <v>2738</v>
      </c>
      <c r="I10" s="170" t="s">
        <v>2739</v>
      </c>
      <c r="J10" s="170" t="s">
        <v>2740</v>
      </c>
      <c r="K10" s="169">
        <v>85648166735</v>
      </c>
      <c r="L10" s="170"/>
      <c r="M10" s="171" t="s">
        <v>2741</v>
      </c>
      <c r="N10" s="170" t="s">
        <v>2742</v>
      </c>
      <c r="O10" s="16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168">
        <v>21</v>
      </c>
      <c r="B11" s="168" t="s">
        <v>2682</v>
      </c>
      <c r="C11" s="169" t="s">
        <v>124</v>
      </c>
      <c r="D11" s="169" t="str">
        <f t="shared" si="0"/>
        <v>2109010</v>
      </c>
      <c r="E11" s="170" t="s">
        <v>2743</v>
      </c>
      <c r="F11" s="170" t="s">
        <v>2744</v>
      </c>
      <c r="G11" s="170" t="s">
        <v>2685</v>
      </c>
      <c r="H11" s="170" t="s">
        <v>2745</v>
      </c>
      <c r="I11" s="170" t="s">
        <v>2746</v>
      </c>
      <c r="J11" s="170" t="s">
        <v>2747</v>
      </c>
      <c r="K11" s="169">
        <v>81231010305</v>
      </c>
      <c r="L11" s="170"/>
      <c r="M11" s="171" t="s">
        <v>2748</v>
      </c>
      <c r="N11" s="170" t="s">
        <v>2749</v>
      </c>
      <c r="O11" s="16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168">
        <v>21</v>
      </c>
      <c r="B12" s="168" t="s">
        <v>2682</v>
      </c>
      <c r="C12" s="169" t="s">
        <v>132</v>
      </c>
      <c r="D12" s="169" t="str">
        <f t="shared" si="0"/>
        <v>2109011</v>
      </c>
      <c r="E12" s="170" t="s">
        <v>2750</v>
      </c>
      <c r="F12" s="172" t="s">
        <v>2751</v>
      </c>
      <c r="G12" s="170" t="s">
        <v>2685</v>
      </c>
      <c r="H12" s="173" t="s">
        <v>2752</v>
      </c>
      <c r="I12" s="173" t="s">
        <v>2753</v>
      </c>
      <c r="J12" s="174"/>
      <c r="K12" s="175" t="s">
        <v>2754</v>
      </c>
      <c r="L12" s="170">
        <v>81234706879</v>
      </c>
      <c r="M12" s="171" t="s">
        <v>2755</v>
      </c>
      <c r="N12" s="170" t="s">
        <v>2756</v>
      </c>
      <c r="O12" s="16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168">
        <v>21</v>
      </c>
      <c r="B13" s="168" t="s">
        <v>2682</v>
      </c>
      <c r="C13" s="169" t="s">
        <v>140</v>
      </c>
      <c r="D13" s="169" t="str">
        <f t="shared" si="0"/>
        <v>2109012</v>
      </c>
      <c r="E13" s="170" t="s">
        <v>2757</v>
      </c>
      <c r="F13" s="170" t="s">
        <v>2758</v>
      </c>
      <c r="G13" s="170" t="s">
        <v>2685</v>
      </c>
      <c r="H13" s="170" t="s">
        <v>2759</v>
      </c>
      <c r="I13" s="170" t="s">
        <v>2760</v>
      </c>
      <c r="J13" s="170" t="s">
        <v>2761</v>
      </c>
      <c r="K13" s="169">
        <v>85732774063</v>
      </c>
      <c r="L13" s="170">
        <v>85706933157</v>
      </c>
      <c r="M13" s="171" t="s">
        <v>2762</v>
      </c>
      <c r="N13" s="170" t="s">
        <v>2735</v>
      </c>
      <c r="O13" s="16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168">
        <v>21</v>
      </c>
      <c r="B14" s="168" t="s">
        <v>2682</v>
      </c>
      <c r="C14" s="169" t="s">
        <v>148</v>
      </c>
      <c r="D14" s="169" t="str">
        <f t="shared" si="0"/>
        <v>2109013</v>
      </c>
      <c r="E14" s="170" t="s">
        <v>2763</v>
      </c>
      <c r="F14" s="170" t="s">
        <v>2764</v>
      </c>
      <c r="G14" s="170" t="s">
        <v>2685</v>
      </c>
      <c r="H14" s="170" t="s">
        <v>2765</v>
      </c>
      <c r="I14" s="170" t="s">
        <v>2766</v>
      </c>
      <c r="J14" s="170" t="s">
        <v>2767</v>
      </c>
      <c r="K14" s="169">
        <v>85745142514</v>
      </c>
      <c r="L14" s="170">
        <v>81357914281</v>
      </c>
      <c r="M14" s="171" t="s">
        <v>2768</v>
      </c>
      <c r="N14" s="170" t="s">
        <v>2769</v>
      </c>
      <c r="O14" s="16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168">
        <v>21</v>
      </c>
      <c r="B15" s="168" t="s">
        <v>2682</v>
      </c>
      <c r="C15" s="169" t="s">
        <v>156</v>
      </c>
      <c r="D15" s="169" t="str">
        <f t="shared" si="0"/>
        <v>2109014</v>
      </c>
      <c r="E15" s="170" t="s">
        <v>2770</v>
      </c>
      <c r="F15" s="170" t="s">
        <v>2771</v>
      </c>
      <c r="G15" s="170" t="s">
        <v>2685</v>
      </c>
      <c r="H15" s="170" t="s">
        <v>2772</v>
      </c>
      <c r="I15" s="170" t="s">
        <v>2773</v>
      </c>
      <c r="J15" s="170"/>
      <c r="K15" s="169">
        <v>87822238968</v>
      </c>
      <c r="L15" s="170"/>
      <c r="M15" s="171" t="s">
        <v>2774</v>
      </c>
      <c r="N15" s="170" t="s">
        <v>2775</v>
      </c>
      <c r="O15" s="16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168">
        <v>21</v>
      </c>
      <c r="B16" s="168" t="s">
        <v>2682</v>
      </c>
      <c r="C16" s="169" t="s">
        <v>164</v>
      </c>
      <c r="D16" s="169" t="str">
        <f t="shared" si="0"/>
        <v>2109015</v>
      </c>
      <c r="E16" s="170" t="s">
        <v>2776</v>
      </c>
      <c r="F16" s="170" t="s">
        <v>2777</v>
      </c>
      <c r="G16" s="170" t="s">
        <v>2778</v>
      </c>
      <c r="H16" s="176" t="s">
        <v>2779</v>
      </c>
      <c r="I16" s="176" t="s">
        <v>2780</v>
      </c>
      <c r="J16" s="170"/>
      <c r="K16" s="177">
        <v>81249648724</v>
      </c>
      <c r="L16" s="170"/>
      <c r="M16" s="171" t="s">
        <v>2781</v>
      </c>
      <c r="N16" s="178" t="s">
        <v>2782</v>
      </c>
      <c r="O16" s="168">
        <v>2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168">
        <v>22</v>
      </c>
      <c r="B17" s="168" t="s">
        <v>2682</v>
      </c>
      <c r="C17" s="169" t="s">
        <v>173</v>
      </c>
      <c r="D17" s="169" t="str">
        <f t="shared" si="0"/>
        <v>2209016</v>
      </c>
      <c r="E17" s="174" t="s">
        <v>2783</v>
      </c>
      <c r="F17" s="174" t="s">
        <v>2784</v>
      </c>
      <c r="G17" s="170" t="s">
        <v>2685</v>
      </c>
      <c r="H17" s="174" t="s">
        <v>2785</v>
      </c>
      <c r="I17" s="174" t="s">
        <v>2786</v>
      </c>
      <c r="J17" s="170"/>
      <c r="K17" s="179" t="s">
        <v>2787</v>
      </c>
      <c r="L17" s="170"/>
      <c r="M17" s="170"/>
      <c r="N17" s="170" t="s">
        <v>2788</v>
      </c>
      <c r="O17" s="180">
        <v>6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168">
        <v>22</v>
      </c>
      <c r="B18" s="168" t="s">
        <v>2682</v>
      </c>
      <c r="C18" s="169" t="s">
        <v>180</v>
      </c>
      <c r="D18" s="169" t="str">
        <f t="shared" si="0"/>
        <v>2209017</v>
      </c>
      <c r="E18" s="174" t="s">
        <v>2789</v>
      </c>
      <c r="F18" s="174" t="s">
        <v>2790</v>
      </c>
      <c r="G18" s="170" t="s">
        <v>2685</v>
      </c>
      <c r="H18" s="174" t="s">
        <v>2791</v>
      </c>
      <c r="I18" s="174" t="s">
        <v>2792</v>
      </c>
      <c r="J18" s="170"/>
      <c r="K18" s="168">
        <v>85733741448</v>
      </c>
      <c r="L18" s="170"/>
      <c r="M18" s="170"/>
      <c r="N18" s="170"/>
      <c r="O18" s="180">
        <v>2</v>
      </c>
      <c r="P18" s="121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23"/>
    </row>
    <row r="19" spans="1:27" ht="15.75" customHeight="1" x14ac:dyDescent="0.2">
      <c r="A19" s="168">
        <v>22</v>
      </c>
      <c r="B19" s="168" t="s">
        <v>2682</v>
      </c>
      <c r="C19" s="169" t="s">
        <v>188</v>
      </c>
      <c r="D19" s="169" t="str">
        <f t="shared" si="0"/>
        <v>2209018</v>
      </c>
      <c r="E19" s="174" t="s">
        <v>2793</v>
      </c>
      <c r="F19" s="174" t="s">
        <v>2794</v>
      </c>
      <c r="G19" s="170" t="s">
        <v>2685</v>
      </c>
      <c r="H19" s="174" t="s">
        <v>2795</v>
      </c>
      <c r="I19" s="174" t="s">
        <v>2796</v>
      </c>
      <c r="J19" s="170"/>
      <c r="K19" s="168">
        <v>82137046606</v>
      </c>
      <c r="L19" s="170"/>
      <c r="M19" s="170"/>
      <c r="N19" s="170"/>
      <c r="O19" s="180">
        <v>3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168">
        <v>22</v>
      </c>
      <c r="B20" s="168" t="s">
        <v>2682</v>
      </c>
      <c r="C20" s="169" t="s">
        <v>196</v>
      </c>
      <c r="D20" s="169" t="str">
        <f t="shared" si="0"/>
        <v>2209019</v>
      </c>
      <c r="E20" s="173" t="s">
        <v>2797</v>
      </c>
      <c r="F20" s="173" t="s">
        <v>2798</v>
      </c>
      <c r="G20" s="173" t="s">
        <v>2799</v>
      </c>
      <c r="H20" s="173" t="s">
        <v>2800</v>
      </c>
      <c r="I20" s="173" t="s">
        <v>2801</v>
      </c>
      <c r="J20" s="174"/>
      <c r="K20" s="180" t="s">
        <v>2802</v>
      </c>
      <c r="L20" s="174"/>
      <c r="M20" s="174"/>
      <c r="N20" s="174"/>
      <c r="O20" s="180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168">
        <v>22</v>
      </c>
      <c r="B21" s="168" t="s">
        <v>2682</v>
      </c>
      <c r="C21" s="169" t="s">
        <v>204</v>
      </c>
      <c r="D21" s="169" t="str">
        <f t="shared" si="0"/>
        <v>2209020</v>
      </c>
      <c r="E21" s="173" t="s">
        <v>2803</v>
      </c>
      <c r="F21" s="173" t="s">
        <v>2804</v>
      </c>
      <c r="G21" s="173" t="s">
        <v>2799</v>
      </c>
      <c r="H21" s="173" t="s">
        <v>2805</v>
      </c>
      <c r="I21" s="173" t="s">
        <v>2806</v>
      </c>
      <c r="J21" s="174"/>
      <c r="K21" s="175" t="s">
        <v>2807</v>
      </c>
      <c r="L21" s="174"/>
      <c r="M21" s="174"/>
      <c r="N21" s="174"/>
      <c r="O21" s="180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168">
        <v>22</v>
      </c>
      <c r="B22" s="168" t="s">
        <v>2682</v>
      </c>
      <c r="C22" s="169" t="s">
        <v>212</v>
      </c>
      <c r="D22" s="169" t="str">
        <f t="shared" si="0"/>
        <v>2209021</v>
      </c>
      <c r="E22" s="173" t="s">
        <v>2808</v>
      </c>
      <c r="F22" s="173" t="s">
        <v>2809</v>
      </c>
      <c r="G22" s="173" t="s">
        <v>2799</v>
      </c>
      <c r="H22" s="173" t="s">
        <v>2810</v>
      </c>
      <c r="I22" s="173" t="s">
        <v>2811</v>
      </c>
      <c r="J22" s="174"/>
      <c r="K22" s="175" t="s">
        <v>2812</v>
      </c>
      <c r="L22" s="174"/>
      <c r="M22" s="174"/>
      <c r="N22" s="174"/>
      <c r="O22" s="180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168">
        <v>22</v>
      </c>
      <c r="B23" s="168" t="s">
        <v>2682</v>
      </c>
      <c r="C23" s="169" t="s">
        <v>219</v>
      </c>
      <c r="D23" s="169" t="str">
        <f t="shared" si="0"/>
        <v>2209022</v>
      </c>
      <c r="E23" s="173" t="s">
        <v>2813</v>
      </c>
      <c r="F23" s="173" t="s">
        <v>2814</v>
      </c>
      <c r="G23" s="173" t="s">
        <v>2799</v>
      </c>
      <c r="H23" s="173" t="s">
        <v>2815</v>
      </c>
      <c r="I23" s="173" t="s">
        <v>2816</v>
      </c>
      <c r="J23" s="174"/>
      <c r="K23" s="180" t="s">
        <v>2817</v>
      </c>
      <c r="L23" s="174"/>
      <c r="M23" s="174"/>
      <c r="N23" s="174"/>
      <c r="O23" s="180">
        <v>4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168">
        <v>22</v>
      </c>
      <c r="B24" s="168" t="s">
        <v>2682</v>
      </c>
      <c r="C24" s="169" t="s">
        <v>226</v>
      </c>
      <c r="D24" s="169" t="str">
        <f t="shared" si="0"/>
        <v>2209023</v>
      </c>
      <c r="E24" s="173" t="s">
        <v>2818</v>
      </c>
      <c r="F24" s="173" t="s">
        <v>2819</v>
      </c>
      <c r="G24" s="173" t="s">
        <v>2799</v>
      </c>
      <c r="H24" s="173" t="s">
        <v>2820</v>
      </c>
      <c r="I24" s="173" t="s">
        <v>663</v>
      </c>
      <c r="J24" s="174"/>
      <c r="K24" s="175" t="s">
        <v>2821</v>
      </c>
      <c r="L24" s="174"/>
      <c r="M24" s="174"/>
      <c r="N24" s="174"/>
      <c r="O24" s="180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168">
        <v>22</v>
      </c>
      <c r="B25" s="168" t="s">
        <v>2682</v>
      </c>
      <c r="C25" s="169" t="s">
        <v>234</v>
      </c>
      <c r="D25" s="169" t="str">
        <f t="shared" si="0"/>
        <v>2209024</v>
      </c>
      <c r="E25" s="173" t="s">
        <v>2822</v>
      </c>
      <c r="F25" s="173" t="s">
        <v>2823</v>
      </c>
      <c r="G25" s="173" t="s">
        <v>2799</v>
      </c>
      <c r="H25" s="173" t="s">
        <v>2824</v>
      </c>
      <c r="I25" s="173" t="s">
        <v>2825</v>
      </c>
      <c r="J25" s="174"/>
      <c r="K25" s="175" t="s">
        <v>2826</v>
      </c>
      <c r="L25" s="174"/>
      <c r="M25" s="174"/>
      <c r="N25" s="174"/>
      <c r="O25" s="180">
        <v>4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168">
        <v>22</v>
      </c>
      <c r="B26" s="168" t="s">
        <v>2682</v>
      </c>
      <c r="C26" s="169" t="s">
        <v>240</v>
      </c>
      <c r="D26" s="169" t="str">
        <f t="shared" si="0"/>
        <v>2209025</v>
      </c>
      <c r="E26" s="173" t="s">
        <v>2827</v>
      </c>
      <c r="F26" s="173" t="s">
        <v>2828</v>
      </c>
      <c r="G26" s="173" t="s">
        <v>2799</v>
      </c>
      <c r="H26" s="173" t="s">
        <v>2829</v>
      </c>
      <c r="I26" s="173" t="s">
        <v>2830</v>
      </c>
      <c r="J26" s="174"/>
      <c r="K26" s="175" t="s">
        <v>2831</v>
      </c>
      <c r="L26" s="174"/>
      <c r="M26" s="174"/>
      <c r="N26" s="174"/>
      <c r="O26" s="180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168">
        <v>22</v>
      </c>
      <c r="B27" s="168" t="s">
        <v>2682</v>
      </c>
      <c r="C27" s="169" t="s">
        <v>246</v>
      </c>
      <c r="D27" s="169" t="str">
        <f t="shared" si="0"/>
        <v>2209026</v>
      </c>
      <c r="E27" s="173" t="s">
        <v>2832</v>
      </c>
      <c r="F27" s="173" t="s">
        <v>2833</v>
      </c>
      <c r="G27" s="173" t="s">
        <v>2799</v>
      </c>
      <c r="H27" s="173" t="s">
        <v>2834</v>
      </c>
      <c r="I27" s="173" t="s">
        <v>2835</v>
      </c>
      <c r="J27" s="174"/>
      <c r="K27" s="175" t="s">
        <v>2836</v>
      </c>
      <c r="L27" s="174"/>
      <c r="M27" s="174"/>
      <c r="N27" s="174"/>
      <c r="O27" s="180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168">
        <v>23</v>
      </c>
      <c r="B28" s="168" t="s">
        <v>2682</v>
      </c>
      <c r="C28" s="169" t="s">
        <v>251</v>
      </c>
      <c r="D28" s="169" t="str">
        <f t="shared" si="0"/>
        <v>2309027</v>
      </c>
      <c r="E28" s="173" t="s">
        <v>2837</v>
      </c>
      <c r="F28" s="173" t="s">
        <v>2838</v>
      </c>
      <c r="G28" s="173" t="s">
        <v>2799</v>
      </c>
      <c r="H28" s="173" t="s">
        <v>2839</v>
      </c>
      <c r="I28" s="173" t="s">
        <v>2840</v>
      </c>
      <c r="J28" s="174"/>
      <c r="K28" s="175" t="s">
        <v>2841</v>
      </c>
      <c r="L28" s="174"/>
      <c r="M28" s="174"/>
      <c r="N28" s="174"/>
      <c r="O28" s="180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168">
        <v>23</v>
      </c>
      <c r="B29" s="168" t="s">
        <v>2682</v>
      </c>
      <c r="C29" s="169" t="s">
        <v>256</v>
      </c>
      <c r="D29" s="169" t="str">
        <f t="shared" si="0"/>
        <v>2309028</v>
      </c>
      <c r="E29" s="173" t="s">
        <v>2842</v>
      </c>
      <c r="F29" s="173" t="s">
        <v>2843</v>
      </c>
      <c r="G29" s="173" t="s">
        <v>2799</v>
      </c>
      <c r="H29" s="173" t="s">
        <v>2844</v>
      </c>
      <c r="I29" s="173" t="s">
        <v>2845</v>
      </c>
      <c r="J29" s="174"/>
      <c r="K29" s="175" t="s">
        <v>2846</v>
      </c>
      <c r="L29" s="174"/>
      <c r="M29" s="174"/>
      <c r="N29" s="174"/>
      <c r="O29" s="180">
        <v>4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168">
        <v>23</v>
      </c>
      <c r="B30" s="168" t="s">
        <v>2682</v>
      </c>
      <c r="C30" s="169" t="s">
        <v>261</v>
      </c>
      <c r="D30" s="169" t="str">
        <f t="shared" si="0"/>
        <v>2309029</v>
      </c>
      <c r="E30" s="173" t="s">
        <v>2847</v>
      </c>
      <c r="F30" s="173" t="s">
        <v>2848</v>
      </c>
      <c r="G30" s="173" t="s">
        <v>2799</v>
      </c>
      <c r="H30" s="173" t="s">
        <v>2849</v>
      </c>
      <c r="I30" s="173" t="s">
        <v>2850</v>
      </c>
      <c r="J30" s="174"/>
      <c r="K30" s="175" t="s">
        <v>2851</v>
      </c>
      <c r="L30" s="174"/>
      <c r="M30" s="174"/>
      <c r="N30" s="174"/>
      <c r="O30" s="180">
        <v>4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168">
        <v>23</v>
      </c>
      <c r="B31" s="168" t="s">
        <v>2682</v>
      </c>
      <c r="C31" s="169" t="s">
        <v>266</v>
      </c>
      <c r="D31" s="169" t="str">
        <f t="shared" si="0"/>
        <v>2309030</v>
      </c>
      <c r="E31" s="173" t="s">
        <v>2852</v>
      </c>
      <c r="F31" s="173" t="s">
        <v>2853</v>
      </c>
      <c r="G31" s="173" t="s">
        <v>2799</v>
      </c>
      <c r="H31" s="173" t="s">
        <v>2854</v>
      </c>
      <c r="I31" s="173" t="s">
        <v>2855</v>
      </c>
      <c r="J31" s="174"/>
      <c r="K31" s="175" t="s">
        <v>2856</v>
      </c>
      <c r="L31" s="174"/>
      <c r="M31" s="174"/>
      <c r="N31" s="173" t="s">
        <v>2857</v>
      </c>
      <c r="O31" s="180">
        <v>9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168">
        <v>23</v>
      </c>
      <c r="B32" s="168" t="s">
        <v>2682</v>
      </c>
      <c r="C32" s="169" t="s">
        <v>272</v>
      </c>
      <c r="D32" s="169" t="str">
        <f t="shared" si="0"/>
        <v>2309031</v>
      </c>
      <c r="E32" s="173" t="s">
        <v>2858</v>
      </c>
      <c r="F32" s="173" t="s">
        <v>2859</v>
      </c>
      <c r="G32" s="173" t="s">
        <v>2799</v>
      </c>
      <c r="H32" s="173" t="s">
        <v>2860</v>
      </c>
      <c r="I32" s="173" t="s">
        <v>2861</v>
      </c>
      <c r="J32" s="174"/>
      <c r="K32" s="175" t="s">
        <v>2862</v>
      </c>
      <c r="L32" s="174"/>
      <c r="M32" s="174"/>
      <c r="N32" s="173" t="s">
        <v>2863</v>
      </c>
      <c r="O32" s="180">
        <v>4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168">
        <v>23</v>
      </c>
      <c r="B33" s="168" t="s">
        <v>2682</v>
      </c>
      <c r="C33" s="169" t="s">
        <v>278</v>
      </c>
      <c r="D33" s="169" t="str">
        <f t="shared" si="0"/>
        <v>2309032</v>
      </c>
      <c r="E33" s="173" t="s">
        <v>2864</v>
      </c>
      <c r="F33" s="173" t="s">
        <v>2865</v>
      </c>
      <c r="G33" s="173" t="s">
        <v>2799</v>
      </c>
      <c r="H33" s="173" t="s">
        <v>2866</v>
      </c>
      <c r="I33" s="173" t="s">
        <v>2867</v>
      </c>
      <c r="J33" s="174"/>
      <c r="K33" s="175" t="s">
        <v>2868</v>
      </c>
      <c r="L33" s="174"/>
      <c r="M33" s="174"/>
      <c r="N33" s="173" t="s">
        <v>2869</v>
      </c>
      <c r="O33" s="180">
        <v>4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168">
        <v>23</v>
      </c>
      <c r="B34" s="168" t="s">
        <v>2682</v>
      </c>
      <c r="C34" s="169" t="s">
        <v>284</v>
      </c>
      <c r="D34" s="169" t="str">
        <f t="shared" si="0"/>
        <v>2309033</v>
      </c>
      <c r="E34" s="173" t="s">
        <v>2870</v>
      </c>
      <c r="F34" s="173" t="s">
        <v>2871</v>
      </c>
      <c r="G34" s="173" t="s">
        <v>2799</v>
      </c>
      <c r="H34" s="173" t="s">
        <v>2872</v>
      </c>
      <c r="I34" s="173" t="s">
        <v>2873</v>
      </c>
      <c r="J34" s="174"/>
      <c r="K34" s="175" t="s">
        <v>2874</v>
      </c>
      <c r="L34" s="174"/>
      <c r="M34" s="174"/>
      <c r="N34" s="173"/>
      <c r="O34" s="180">
        <v>6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168">
        <v>24</v>
      </c>
      <c r="B35" s="168" t="s">
        <v>2682</v>
      </c>
      <c r="C35" s="169" t="s">
        <v>290</v>
      </c>
      <c r="D35" s="169" t="str">
        <f t="shared" si="0"/>
        <v>2409034</v>
      </c>
      <c r="E35" s="174" t="s">
        <v>2736</v>
      </c>
      <c r="F35" s="174" t="s">
        <v>2875</v>
      </c>
      <c r="G35" s="174" t="s">
        <v>2799</v>
      </c>
      <c r="H35" s="174" t="s">
        <v>2876</v>
      </c>
      <c r="I35" s="174" t="s">
        <v>2877</v>
      </c>
      <c r="J35" s="174"/>
      <c r="K35" s="168">
        <v>85707111456</v>
      </c>
      <c r="L35" s="174"/>
      <c r="M35" s="174"/>
      <c r="N35" s="181" t="s">
        <v>2878</v>
      </c>
      <c r="O35" s="168">
        <v>2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168">
        <v>24</v>
      </c>
      <c r="B36" s="168" t="s">
        <v>2682</v>
      </c>
      <c r="C36" s="169" t="s">
        <v>296</v>
      </c>
      <c r="D36" s="169" t="str">
        <f t="shared" si="0"/>
        <v>2409035</v>
      </c>
      <c r="E36" s="174" t="s">
        <v>2879</v>
      </c>
      <c r="F36" s="174" t="s">
        <v>2880</v>
      </c>
      <c r="G36" s="174" t="s">
        <v>2799</v>
      </c>
      <c r="H36" s="174" t="s">
        <v>2881</v>
      </c>
      <c r="I36" s="174" t="s">
        <v>288</v>
      </c>
      <c r="J36" s="174"/>
      <c r="K36" s="168">
        <v>85732218162</v>
      </c>
      <c r="L36" s="174"/>
      <c r="M36" s="174"/>
      <c r="N36" s="174" t="s">
        <v>2882</v>
      </c>
      <c r="O36" s="168">
        <v>7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168">
        <v>24</v>
      </c>
      <c r="B37" s="168" t="s">
        <v>2682</v>
      </c>
      <c r="C37" s="169" t="s">
        <v>301</v>
      </c>
      <c r="D37" s="169" t="str">
        <f t="shared" si="0"/>
        <v>2409036</v>
      </c>
      <c r="E37" s="174" t="s">
        <v>2883</v>
      </c>
      <c r="F37" s="174" t="s">
        <v>2884</v>
      </c>
      <c r="G37" s="174" t="s">
        <v>2799</v>
      </c>
      <c r="H37" s="174" t="s">
        <v>2885</v>
      </c>
      <c r="I37" s="174" t="s">
        <v>2886</v>
      </c>
      <c r="J37" s="174"/>
      <c r="K37" s="168">
        <v>85748851268</v>
      </c>
      <c r="L37" s="174"/>
      <c r="M37" s="174"/>
      <c r="N37" s="174" t="s">
        <v>2887</v>
      </c>
      <c r="O37" s="168">
        <v>3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168">
        <v>24</v>
      </c>
      <c r="B38" s="168" t="s">
        <v>2682</v>
      </c>
      <c r="C38" s="169" t="s">
        <v>308</v>
      </c>
      <c r="D38" s="169" t="str">
        <f t="shared" si="0"/>
        <v>2409037</v>
      </c>
      <c r="E38" s="176" t="s">
        <v>2888</v>
      </c>
      <c r="F38" s="176" t="s">
        <v>2889</v>
      </c>
      <c r="G38" s="174" t="s">
        <v>2799</v>
      </c>
      <c r="H38" s="176" t="s">
        <v>2890</v>
      </c>
      <c r="I38" s="176" t="s">
        <v>2891</v>
      </c>
      <c r="J38" s="174"/>
      <c r="K38" s="177" t="s">
        <v>2892</v>
      </c>
      <c r="L38" s="174"/>
      <c r="M38" s="174"/>
      <c r="N38" s="178" t="s">
        <v>2893</v>
      </c>
      <c r="O38" s="177">
        <v>4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168">
        <v>24</v>
      </c>
      <c r="B39" s="168" t="s">
        <v>2682</v>
      </c>
      <c r="C39" s="169" t="s">
        <v>314</v>
      </c>
      <c r="D39" s="169" t="str">
        <f t="shared" si="0"/>
        <v>2409038</v>
      </c>
      <c r="E39" s="176" t="s">
        <v>2894</v>
      </c>
      <c r="F39" s="176" t="s">
        <v>2895</v>
      </c>
      <c r="G39" s="174" t="s">
        <v>2799</v>
      </c>
      <c r="H39" s="176" t="s">
        <v>2896</v>
      </c>
      <c r="I39" s="176" t="s">
        <v>2897</v>
      </c>
      <c r="J39" s="174"/>
      <c r="K39" s="177">
        <v>82236321236</v>
      </c>
      <c r="L39" s="174"/>
      <c r="M39" s="174"/>
      <c r="N39" s="176"/>
      <c r="O39" s="177">
        <v>1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168">
        <v>24</v>
      </c>
      <c r="B40" s="168" t="s">
        <v>2682</v>
      </c>
      <c r="C40" s="169" t="s">
        <v>320</v>
      </c>
      <c r="D40" s="169" t="str">
        <f t="shared" si="0"/>
        <v>2409039</v>
      </c>
      <c r="E40" s="176" t="s">
        <v>2898</v>
      </c>
      <c r="F40" s="176" t="s">
        <v>2899</v>
      </c>
      <c r="G40" s="174" t="s">
        <v>2799</v>
      </c>
      <c r="H40" s="176" t="s">
        <v>2900</v>
      </c>
      <c r="I40" s="176" t="s">
        <v>2901</v>
      </c>
      <c r="J40" s="174"/>
      <c r="K40" s="177">
        <v>85783631171</v>
      </c>
      <c r="L40" s="174"/>
      <c r="M40" s="174"/>
      <c r="N40" s="176" t="s">
        <v>663</v>
      </c>
      <c r="O40" s="177">
        <v>4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168">
        <v>24</v>
      </c>
      <c r="B41" s="168" t="s">
        <v>2682</v>
      </c>
      <c r="C41" s="169" t="s">
        <v>326</v>
      </c>
      <c r="D41" s="169" t="str">
        <f t="shared" si="0"/>
        <v>2409040</v>
      </c>
      <c r="E41" s="176" t="s">
        <v>2902</v>
      </c>
      <c r="F41" s="176" t="s">
        <v>2903</v>
      </c>
      <c r="G41" s="174" t="s">
        <v>2799</v>
      </c>
      <c r="H41" s="176" t="s">
        <v>2904</v>
      </c>
      <c r="I41" s="176" t="s">
        <v>520</v>
      </c>
      <c r="J41" s="174"/>
      <c r="K41" s="177">
        <v>85881809290</v>
      </c>
      <c r="L41" s="174"/>
      <c r="M41" s="174"/>
      <c r="N41" s="178" t="s">
        <v>2905</v>
      </c>
      <c r="O41" s="177">
        <v>3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168">
        <v>24</v>
      </c>
      <c r="B42" s="168" t="s">
        <v>2682</v>
      </c>
      <c r="C42" s="169" t="s">
        <v>332</v>
      </c>
      <c r="D42" s="169" t="str">
        <f t="shared" si="0"/>
        <v>2409041</v>
      </c>
      <c r="E42" s="176" t="s">
        <v>2906</v>
      </c>
      <c r="F42" s="176" t="s">
        <v>2907</v>
      </c>
      <c r="G42" s="174" t="s">
        <v>2799</v>
      </c>
      <c r="H42" s="176" t="s">
        <v>2908</v>
      </c>
      <c r="I42" s="176" t="s">
        <v>2909</v>
      </c>
      <c r="J42" s="174"/>
      <c r="K42" s="177">
        <v>87846565364</v>
      </c>
      <c r="L42" s="174"/>
      <c r="M42" s="174"/>
      <c r="N42" s="176" t="s">
        <v>2910</v>
      </c>
      <c r="O42" s="177">
        <v>2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2">
      <c r="A43" s="168">
        <v>24</v>
      </c>
      <c r="B43" s="168" t="s">
        <v>2682</v>
      </c>
      <c r="C43" s="169" t="s">
        <v>338</v>
      </c>
      <c r="D43" s="169" t="str">
        <f t="shared" si="0"/>
        <v>2409042</v>
      </c>
      <c r="E43" s="176" t="s">
        <v>2911</v>
      </c>
      <c r="F43" s="176" t="s">
        <v>2912</v>
      </c>
      <c r="G43" s="174" t="s">
        <v>2799</v>
      </c>
      <c r="H43" s="176" t="s">
        <v>2913</v>
      </c>
      <c r="I43" s="176" t="s">
        <v>2914</v>
      </c>
      <c r="J43" s="174"/>
      <c r="K43" s="177" t="s">
        <v>2915</v>
      </c>
      <c r="L43" s="174"/>
      <c r="M43" s="174"/>
      <c r="N43" s="178" t="s">
        <v>2916</v>
      </c>
      <c r="O43" s="177" t="s">
        <v>2917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2">
      <c r="A44" s="168">
        <v>24</v>
      </c>
      <c r="B44" s="168" t="s">
        <v>2682</v>
      </c>
      <c r="C44" s="169" t="s">
        <v>344</v>
      </c>
      <c r="D44" s="169" t="str">
        <f t="shared" si="0"/>
        <v>2409043</v>
      </c>
      <c r="E44" s="176" t="s">
        <v>2918</v>
      </c>
      <c r="F44" s="176" t="s">
        <v>2919</v>
      </c>
      <c r="G44" s="174" t="s">
        <v>2799</v>
      </c>
      <c r="H44" s="176" t="s">
        <v>2920</v>
      </c>
      <c r="I44" s="176" t="s">
        <v>2921</v>
      </c>
      <c r="J44" s="174"/>
      <c r="K44" s="182" t="s">
        <v>2922</v>
      </c>
      <c r="L44" s="174"/>
      <c r="M44" s="174"/>
      <c r="N44" s="178" t="s">
        <v>2923</v>
      </c>
      <c r="O44" s="177">
        <v>3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2">
      <c r="A45" s="168">
        <v>24</v>
      </c>
      <c r="B45" s="168" t="s">
        <v>2682</v>
      </c>
      <c r="C45" s="169" t="s">
        <v>350</v>
      </c>
      <c r="D45" s="169" t="str">
        <f t="shared" si="0"/>
        <v>2409044</v>
      </c>
      <c r="E45" s="176" t="s">
        <v>2924</v>
      </c>
      <c r="F45" s="176" t="s">
        <v>2925</v>
      </c>
      <c r="G45" s="174" t="s">
        <v>2799</v>
      </c>
      <c r="H45" s="176" t="s">
        <v>2926</v>
      </c>
      <c r="I45" s="176" t="s">
        <v>2927</v>
      </c>
      <c r="J45" s="174"/>
      <c r="K45" s="177">
        <v>85608526937</v>
      </c>
      <c r="L45" s="174"/>
      <c r="M45" s="174"/>
      <c r="N45" s="178" t="s">
        <v>2928</v>
      </c>
      <c r="O45" s="177" t="s">
        <v>2929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2">
      <c r="A46" s="168">
        <v>24</v>
      </c>
      <c r="B46" s="168" t="s">
        <v>2682</v>
      </c>
      <c r="C46" s="169" t="s">
        <v>356</v>
      </c>
      <c r="D46" s="169" t="str">
        <f t="shared" si="0"/>
        <v>2409045</v>
      </c>
      <c r="E46" s="176" t="s">
        <v>2930</v>
      </c>
      <c r="F46" s="176" t="s">
        <v>2931</v>
      </c>
      <c r="G46" s="174" t="s">
        <v>2799</v>
      </c>
      <c r="H46" s="176" t="s">
        <v>2932</v>
      </c>
      <c r="I46" s="176" t="s">
        <v>2933</v>
      </c>
      <c r="J46" s="174"/>
      <c r="K46" s="177" t="s">
        <v>2934</v>
      </c>
      <c r="L46" s="174"/>
      <c r="M46" s="174"/>
      <c r="N46" s="178" t="s">
        <v>2928</v>
      </c>
      <c r="O46" s="177" t="s">
        <v>2935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2">
      <c r="A47" s="168">
        <v>24</v>
      </c>
      <c r="B47" s="168" t="s">
        <v>2682</v>
      </c>
      <c r="C47" s="169" t="s">
        <v>362</v>
      </c>
      <c r="D47" s="169" t="str">
        <f t="shared" si="0"/>
        <v>2409046</v>
      </c>
      <c r="E47" s="183" t="s">
        <v>2936</v>
      </c>
      <c r="F47" s="183" t="s">
        <v>2937</v>
      </c>
      <c r="G47" s="183" t="s">
        <v>2799</v>
      </c>
      <c r="H47" s="183" t="s">
        <v>2938</v>
      </c>
      <c r="I47" s="183" t="s">
        <v>2939</v>
      </c>
      <c r="J47" s="183"/>
      <c r="K47" s="184" t="s">
        <v>2940</v>
      </c>
      <c r="L47" s="183"/>
      <c r="M47" s="183"/>
      <c r="N47" s="183"/>
      <c r="O47" s="184"/>
      <c r="P47" s="43"/>
      <c r="R47" s="43"/>
      <c r="T47" s="43"/>
      <c r="U47" s="43"/>
      <c r="V47" s="43"/>
      <c r="W47" s="43"/>
      <c r="X47" s="43"/>
      <c r="Y47" s="43"/>
      <c r="Z47" s="23"/>
      <c r="AA47" s="23"/>
    </row>
    <row r="48" spans="1:27" ht="15.75" customHeight="1" x14ac:dyDescent="0.2">
      <c r="A48" s="168">
        <v>24</v>
      </c>
      <c r="B48" s="168" t="s">
        <v>2682</v>
      </c>
      <c r="C48" s="169" t="s">
        <v>368</v>
      </c>
      <c r="D48" s="169" t="str">
        <f t="shared" si="0"/>
        <v>2409047</v>
      </c>
      <c r="E48" s="183" t="s">
        <v>2941</v>
      </c>
      <c r="F48" s="183" t="s">
        <v>2942</v>
      </c>
      <c r="G48" s="183" t="s">
        <v>2799</v>
      </c>
      <c r="H48" s="183" t="s">
        <v>2943</v>
      </c>
      <c r="I48" s="183" t="s">
        <v>2944</v>
      </c>
      <c r="J48" s="183"/>
      <c r="K48" s="185" t="s">
        <v>2945</v>
      </c>
      <c r="L48" s="183"/>
      <c r="M48" s="183"/>
      <c r="N48" s="183" t="s">
        <v>2946</v>
      </c>
      <c r="O48" s="184">
        <v>6</v>
      </c>
      <c r="R48" s="43"/>
      <c r="T48" s="44"/>
      <c r="V48" s="43"/>
      <c r="W48" s="43"/>
      <c r="X48" s="43"/>
      <c r="Y48" s="43"/>
      <c r="Z48" s="23"/>
      <c r="AA48" s="23"/>
    </row>
    <row r="49" spans="1:27" ht="15.75" customHeight="1" x14ac:dyDescent="0.2">
      <c r="A49" s="184">
        <v>25</v>
      </c>
      <c r="B49" s="168" t="s">
        <v>2682</v>
      </c>
      <c r="C49" s="169" t="s">
        <v>374</v>
      </c>
      <c r="D49" s="169" t="str">
        <f t="shared" si="0"/>
        <v>2509048</v>
      </c>
      <c r="E49" s="183" t="s">
        <v>2947</v>
      </c>
      <c r="F49" s="183" t="s">
        <v>2948</v>
      </c>
      <c r="G49" s="183" t="s">
        <v>2799</v>
      </c>
      <c r="H49" s="183" t="s">
        <v>2949</v>
      </c>
      <c r="I49" s="183" t="s">
        <v>2950</v>
      </c>
      <c r="J49" s="183"/>
      <c r="K49" s="184" t="s">
        <v>2951</v>
      </c>
      <c r="L49" s="183"/>
      <c r="M49" s="186"/>
      <c r="N49" s="183" t="s">
        <v>2948</v>
      </c>
      <c r="O49" s="184">
        <v>12</v>
      </c>
      <c r="R49" s="43"/>
      <c r="T49" s="43"/>
      <c r="V49" s="43"/>
      <c r="W49" s="43"/>
      <c r="X49" s="43"/>
      <c r="Y49" s="43"/>
      <c r="Z49" s="23"/>
      <c r="AA49" s="23"/>
    </row>
    <row r="50" spans="1:27" ht="15.75" customHeight="1" x14ac:dyDescent="0.2">
      <c r="A50" s="168">
        <v>25</v>
      </c>
      <c r="B50" s="168" t="s">
        <v>2682</v>
      </c>
      <c r="C50" s="169" t="s">
        <v>380</v>
      </c>
      <c r="D50" s="169" t="str">
        <f t="shared" si="0"/>
        <v>2509049</v>
      </c>
      <c r="E50" s="183" t="s">
        <v>2952</v>
      </c>
      <c r="F50" s="183" t="s">
        <v>2953</v>
      </c>
      <c r="G50" s="183" t="s">
        <v>2799</v>
      </c>
      <c r="H50" s="183" t="s">
        <v>2954</v>
      </c>
      <c r="I50" s="183" t="s">
        <v>2955</v>
      </c>
      <c r="J50" s="183"/>
      <c r="K50" s="185" t="s">
        <v>2956</v>
      </c>
      <c r="L50" s="183"/>
      <c r="M50" s="183"/>
      <c r="N50" s="183" t="s">
        <v>2957</v>
      </c>
      <c r="O50" s="184">
        <v>0</v>
      </c>
      <c r="P50" s="43"/>
      <c r="R50" s="43"/>
      <c r="T50" s="44"/>
      <c r="V50" s="43"/>
      <c r="W50" s="43"/>
      <c r="X50" s="43"/>
      <c r="Y50" s="43"/>
      <c r="Z50" s="43"/>
      <c r="AA50" s="43"/>
    </row>
    <row r="51" spans="1:27" ht="15.75" customHeight="1" x14ac:dyDescent="0.2">
      <c r="A51" s="168">
        <v>25</v>
      </c>
      <c r="B51" s="168" t="s">
        <v>2682</v>
      </c>
      <c r="C51" s="169" t="s">
        <v>386</v>
      </c>
      <c r="D51" s="169" t="str">
        <f t="shared" si="0"/>
        <v>2509050</v>
      </c>
      <c r="E51" s="43" t="s">
        <v>2958</v>
      </c>
      <c r="F51" s="43" t="s">
        <v>2959</v>
      </c>
      <c r="G51" s="43" t="s">
        <v>2799</v>
      </c>
      <c r="H51" s="43" t="s">
        <v>2960</v>
      </c>
      <c r="I51" s="43" t="s">
        <v>2961</v>
      </c>
      <c r="J51" s="43" t="s">
        <v>2961</v>
      </c>
      <c r="K51" s="43" t="s">
        <v>2962</v>
      </c>
      <c r="L51" s="43"/>
      <c r="M51" s="43"/>
      <c r="N51" s="43"/>
      <c r="O51" s="43"/>
      <c r="P51" s="44">
        <v>3</v>
      </c>
      <c r="Q51" s="43" t="s">
        <v>2921</v>
      </c>
      <c r="R51" s="43" t="s">
        <v>2963</v>
      </c>
      <c r="S51" s="55" t="s">
        <v>2922</v>
      </c>
      <c r="T51" s="55" t="s">
        <v>2964</v>
      </c>
      <c r="U51" s="43" t="s">
        <v>2923</v>
      </c>
      <c r="V51" s="43"/>
      <c r="W51" s="43"/>
      <c r="X51" s="43"/>
      <c r="Y51" s="43"/>
      <c r="Z51" s="43"/>
      <c r="AA51" s="43"/>
    </row>
    <row r="52" spans="1:27" ht="15.75" customHeight="1" x14ac:dyDescent="0.2">
      <c r="A52" s="187">
        <v>25</v>
      </c>
      <c r="B52" s="187" t="s">
        <v>2682</v>
      </c>
      <c r="C52" s="188" t="s">
        <v>392</v>
      </c>
      <c r="D52" s="188" t="str">
        <f t="shared" si="0"/>
        <v>2509051</v>
      </c>
      <c r="E52" s="189" t="s">
        <v>2965</v>
      </c>
      <c r="F52" s="189" t="s">
        <v>2966</v>
      </c>
      <c r="G52" s="189" t="s">
        <v>2799</v>
      </c>
      <c r="H52" s="189" t="s">
        <v>2967</v>
      </c>
      <c r="I52" s="189" t="s">
        <v>663</v>
      </c>
      <c r="J52" s="189" t="s">
        <v>2968</v>
      </c>
      <c r="K52" s="189" t="s">
        <v>2969</v>
      </c>
      <c r="L52" s="189" t="s">
        <v>2970</v>
      </c>
      <c r="M52" s="189" t="s">
        <v>663</v>
      </c>
      <c r="N52" s="189" t="s">
        <v>2971</v>
      </c>
      <c r="O52" s="189" t="s">
        <v>663</v>
      </c>
      <c r="P52" s="190">
        <v>3</v>
      </c>
      <c r="Q52" s="189" t="s">
        <v>2972</v>
      </c>
      <c r="R52" s="189" t="s">
        <v>2973</v>
      </c>
      <c r="S52" s="189" t="s">
        <v>2974</v>
      </c>
      <c r="T52" s="189" t="s">
        <v>663</v>
      </c>
      <c r="U52" s="189" t="s">
        <v>2975</v>
      </c>
      <c r="V52" s="189"/>
      <c r="W52" s="189"/>
      <c r="X52" s="189"/>
      <c r="Y52" s="189"/>
      <c r="Z52" s="189"/>
      <c r="AA52" s="189"/>
    </row>
    <row r="53" spans="1:27" ht="15.75" customHeight="1" x14ac:dyDescent="0.2">
      <c r="A53" s="168">
        <v>25</v>
      </c>
      <c r="B53" s="168" t="s">
        <v>2682</v>
      </c>
      <c r="C53" s="169" t="s">
        <v>400</v>
      </c>
      <c r="D53" s="169" t="str">
        <f t="shared" si="0"/>
        <v>2509052</v>
      </c>
      <c r="E53" s="43" t="s">
        <v>2976</v>
      </c>
      <c r="F53" s="43" t="s">
        <v>2977</v>
      </c>
      <c r="G53" s="43" t="s">
        <v>2799</v>
      </c>
      <c r="H53" s="43" t="s">
        <v>2978</v>
      </c>
      <c r="I53" s="43" t="s">
        <v>2979</v>
      </c>
      <c r="J53" s="43" t="s">
        <v>2979</v>
      </c>
      <c r="K53" s="43" t="s">
        <v>2980</v>
      </c>
      <c r="L53" s="43"/>
      <c r="M53" s="43"/>
      <c r="N53" s="43"/>
      <c r="O53" s="43"/>
      <c r="P53" s="43"/>
      <c r="Q53" s="43" t="s">
        <v>2981</v>
      </c>
      <c r="R53" s="43" t="s">
        <v>2982</v>
      </c>
      <c r="S53" s="55" t="s">
        <v>2983</v>
      </c>
      <c r="T53" s="55" t="s">
        <v>2983</v>
      </c>
      <c r="U53" s="43"/>
      <c r="V53" s="43"/>
      <c r="W53" s="43"/>
      <c r="X53" s="43"/>
      <c r="Y53" s="43"/>
      <c r="Z53" s="43"/>
      <c r="AA53" s="43"/>
    </row>
    <row r="54" spans="1:27" ht="15.75" customHeight="1" x14ac:dyDescent="0.2">
      <c r="A54" s="168">
        <v>25</v>
      </c>
      <c r="B54" s="168" t="s">
        <v>2682</v>
      </c>
      <c r="C54" s="169" t="s">
        <v>406</v>
      </c>
      <c r="D54" s="169" t="str">
        <f t="shared" si="0"/>
        <v>2509053</v>
      </c>
      <c r="E54" s="43" t="s">
        <v>2984</v>
      </c>
      <c r="F54" s="43" t="s">
        <v>2985</v>
      </c>
      <c r="G54" s="43" t="s">
        <v>2799</v>
      </c>
      <c r="H54" s="43" t="s">
        <v>2986</v>
      </c>
      <c r="I54" s="43" t="s">
        <v>2987</v>
      </c>
      <c r="J54" s="43" t="s">
        <v>2988</v>
      </c>
      <c r="K54" s="43" t="s">
        <v>2988</v>
      </c>
      <c r="L54" s="43"/>
      <c r="M54" s="78" t="s">
        <v>2989</v>
      </c>
      <c r="N54" s="43" t="s">
        <v>2990</v>
      </c>
      <c r="O54" s="43"/>
      <c r="P54" s="43" t="s">
        <v>2991</v>
      </c>
      <c r="Q54" s="43" t="s">
        <v>2992</v>
      </c>
      <c r="R54" s="43" t="s">
        <v>2993</v>
      </c>
      <c r="S54" s="44">
        <v>82139877878</v>
      </c>
      <c r="T54" s="44">
        <v>0</v>
      </c>
      <c r="U54" s="43" t="s">
        <v>2756</v>
      </c>
      <c r="V54" s="43"/>
      <c r="W54" s="43"/>
      <c r="X54" s="43"/>
      <c r="Y54" s="43"/>
      <c r="Z54" s="43"/>
      <c r="AA54" s="43"/>
    </row>
    <row r="55" spans="1:27" ht="15.75" customHeight="1" x14ac:dyDescent="0.2">
      <c r="A55" s="168">
        <v>25</v>
      </c>
      <c r="B55" s="168" t="s">
        <v>2682</v>
      </c>
      <c r="C55" s="169" t="s">
        <v>412</v>
      </c>
      <c r="D55" s="169" t="str">
        <f t="shared" si="0"/>
        <v>2509054</v>
      </c>
      <c r="E55" s="43" t="s">
        <v>2994</v>
      </c>
      <c r="F55" s="43" t="s">
        <v>2995</v>
      </c>
      <c r="G55" s="43" t="s">
        <v>2799</v>
      </c>
      <c r="H55" s="43" t="s">
        <v>2996</v>
      </c>
      <c r="I55" s="43" t="s">
        <v>2997</v>
      </c>
      <c r="J55" s="43"/>
      <c r="K55" s="78" t="s">
        <v>2998</v>
      </c>
      <c r="L55" s="43"/>
      <c r="M55" s="78" t="s">
        <v>2999</v>
      </c>
      <c r="N55" s="43"/>
      <c r="O55" s="43"/>
      <c r="P55" s="44">
        <v>8</v>
      </c>
      <c r="Q55" s="43" t="s">
        <v>3000</v>
      </c>
      <c r="R55" s="43" t="s">
        <v>785</v>
      </c>
      <c r="S55" s="55" t="s">
        <v>3001</v>
      </c>
      <c r="T55" s="55" t="s">
        <v>3001</v>
      </c>
      <c r="U55" s="43"/>
      <c r="V55" s="43"/>
      <c r="W55" s="43"/>
      <c r="X55" s="43"/>
      <c r="Y55" s="43"/>
      <c r="Z55" s="43"/>
      <c r="AA55" s="43"/>
    </row>
    <row r="56" spans="1:27" ht="15.75" customHeight="1" x14ac:dyDescent="0.2">
      <c r="A56" s="191">
        <v>25</v>
      </c>
      <c r="B56" s="191" t="s">
        <v>2682</v>
      </c>
      <c r="C56" s="192" t="s">
        <v>418</v>
      </c>
      <c r="D56" s="192" t="str">
        <f t="shared" si="0"/>
        <v>2509055</v>
      </c>
      <c r="E56" s="193" t="s">
        <v>3002</v>
      </c>
      <c r="F56" s="193" t="s">
        <v>3003</v>
      </c>
      <c r="G56" s="193" t="s">
        <v>2799</v>
      </c>
      <c r="H56" s="193" t="s">
        <v>3004</v>
      </c>
      <c r="I56" s="193"/>
      <c r="J56" s="193"/>
      <c r="K56" s="193"/>
      <c r="L56" s="193"/>
      <c r="M56" s="193"/>
      <c r="N56" s="193"/>
      <c r="O56" s="193"/>
      <c r="P56" s="193"/>
      <c r="Q56" s="193" t="s">
        <v>3005</v>
      </c>
      <c r="R56" s="193" t="s">
        <v>3006</v>
      </c>
      <c r="S56" s="193" t="s">
        <v>3007</v>
      </c>
      <c r="T56" s="194" t="s">
        <v>2416</v>
      </c>
      <c r="U56" s="193"/>
      <c r="V56" s="193"/>
      <c r="W56" s="193"/>
      <c r="X56" s="193"/>
      <c r="Y56" s="193"/>
      <c r="Z56" s="193"/>
      <c r="AA56" s="193"/>
    </row>
    <row r="57" spans="1:27" ht="15.75" customHeight="1" x14ac:dyDescent="0.2">
      <c r="A57" s="187">
        <v>25</v>
      </c>
      <c r="B57" s="187" t="s">
        <v>2682</v>
      </c>
      <c r="C57" s="188" t="s">
        <v>424</v>
      </c>
      <c r="D57" s="188" t="str">
        <f t="shared" si="0"/>
        <v>2509056</v>
      </c>
      <c r="E57" s="189" t="s">
        <v>3008</v>
      </c>
      <c r="F57" s="189" t="s">
        <v>3009</v>
      </c>
      <c r="G57" s="189" t="s">
        <v>2799</v>
      </c>
      <c r="H57" s="189" t="s">
        <v>3010</v>
      </c>
      <c r="I57" s="189" t="s">
        <v>3011</v>
      </c>
      <c r="J57" s="189" t="s">
        <v>2968</v>
      </c>
      <c r="K57" s="189" t="s">
        <v>2969</v>
      </c>
      <c r="L57" s="189" t="s">
        <v>2970</v>
      </c>
      <c r="M57" s="189" t="s">
        <v>663</v>
      </c>
      <c r="N57" s="189" t="s">
        <v>3012</v>
      </c>
      <c r="O57" s="189" t="s">
        <v>663</v>
      </c>
      <c r="P57" s="189" t="s">
        <v>3013</v>
      </c>
      <c r="Q57" s="189" t="s">
        <v>3014</v>
      </c>
      <c r="R57" s="189" t="s">
        <v>2141</v>
      </c>
      <c r="S57" s="195" t="s">
        <v>3015</v>
      </c>
      <c r="T57" s="189" t="s">
        <v>3016</v>
      </c>
      <c r="U57" s="189" t="s">
        <v>2975</v>
      </c>
      <c r="V57" s="189"/>
      <c r="W57" s="189"/>
      <c r="X57" s="189"/>
      <c r="Y57" s="189"/>
      <c r="Z57" s="189"/>
      <c r="AA57" s="189"/>
    </row>
    <row r="58" spans="1:27" ht="15.75" customHeight="1" x14ac:dyDescent="0.2">
      <c r="A58" s="191">
        <v>25</v>
      </c>
      <c r="B58" s="191" t="s">
        <v>2682</v>
      </c>
      <c r="C58" s="192" t="s">
        <v>430</v>
      </c>
      <c r="D58" s="192" t="str">
        <f t="shared" si="0"/>
        <v>2509057</v>
      </c>
      <c r="E58" s="193" t="s">
        <v>3017</v>
      </c>
      <c r="F58" s="193" t="s">
        <v>3018</v>
      </c>
      <c r="G58" s="193" t="s">
        <v>2799</v>
      </c>
      <c r="H58" s="193" t="s">
        <v>3019</v>
      </c>
      <c r="I58" s="193" t="s">
        <v>3020</v>
      </c>
      <c r="J58" s="193" t="s">
        <v>3021</v>
      </c>
      <c r="K58" s="193" t="s">
        <v>3021</v>
      </c>
      <c r="L58" s="193"/>
      <c r="M58" s="196" t="s">
        <v>3022</v>
      </c>
      <c r="N58" s="193" t="s">
        <v>3021</v>
      </c>
      <c r="O58" s="193"/>
      <c r="P58" s="197">
        <v>6</v>
      </c>
      <c r="Q58" s="193" t="s">
        <v>3023</v>
      </c>
      <c r="R58" s="193" t="s">
        <v>3024</v>
      </c>
      <c r="S58" s="194" t="s">
        <v>3025</v>
      </c>
      <c r="T58" s="194" t="s">
        <v>3025</v>
      </c>
      <c r="U58" s="193" t="s">
        <v>3026</v>
      </c>
      <c r="V58" s="193"/>
      <c r="W58" s="193"/>
      <c r="X58" s="193"/>
      <c r="Y58" s="193"/>
      <c r="Z58" s="193"/>
      <c r="AA58" s="19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23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23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23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23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23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23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23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23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23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23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23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23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23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23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23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23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23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23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23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23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23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23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23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23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23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23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23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23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23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23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23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23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23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23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23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23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23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23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23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23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23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23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23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23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23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23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23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23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23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23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23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23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23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23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23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23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23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23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23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23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23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23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23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23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23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23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23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23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23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23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23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23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23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23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23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23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23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23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23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23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23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23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23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23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23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23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23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23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23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23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23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23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23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23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23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23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23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23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23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23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23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23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23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23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23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23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23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23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23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23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23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23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23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23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23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23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23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23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23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23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23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23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23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23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23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23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23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23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23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23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23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23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23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23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23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23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23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23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23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23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23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23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23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23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23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23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23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23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23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23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23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23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23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23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23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23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23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23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23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23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23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23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23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23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23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23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23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23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23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23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23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23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23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23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23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23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23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23"/>
      <c r="K236" s="56"/>
      <c r="L236" s="23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23"/>
      <c r="K237" s="56"/>
      <c r="L237" s="23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23"/>
      <c r="K238" s="56"/>
      <c r="L238" s="23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23"/>
      <c r="K239" s="56"/>
      <c r="L239" s="23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23"/>
      <c r="K240" s="56"/>
      <c r="L240" s="23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23"/>
      <c r="K241" s="56"/>
      <c r="L241" s="23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.75" customHeight="1" x14ac:dyDescent="0.15">
      <c r="A242" s="56"/>
      <c r="B242" s="56"/>
      <c r="C242" s="23"/>
      <c r="D242" s="23"/>
      <c r="E242" s="23"/>
      <c r="F242" s="23"/>
      <c r="G242" s="23"/>
      <c r="H242" s="23"/>
      <c r="I242" s="23"/>
      <c r="J242" s="23"/>
      <c r="K242" s="56"/>
      <c r="L242" s="23"/>
      <c r="M242" s="23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.75" customHeight="1" x14ac:dyDescent="0.15">
      <c r="A243" s="56"/>
      <c r="B243" s="56"/>
      <c r="C243" s="23"/>
      <c r="D243" s="23"/>
      <c r="E243" s="23"/>
      <c r="F243" s="23"/>
      <c r="G243" s="23"/>
      <c r="H243" s="23"/>
      <c r="I243" s="23"/>
      <c r="J243" s="23"/>
      <c r="K243" s="56"/>
      <c r="L243" s="23"/>
      <c r="M243" s="23"/>
      <c r="N243" s="23"/>
      <c r="O243" s="56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.75" customHeight="1" x14ac:dyDescent="0.15">
      <c r="A244" s="56"/>
      <c r="B244" s="56"/>
      <c r="C244" s="23"/>
      <c r="D244" s="23"/>
      <c r="E244" s="23"/>
      <c r="F244" s="23"/>
      <c r="G244" s="23"/>
      <c r="H244" s="23"/>
      <c r="I244" s="23"/>
      <c r="J244" s="23"/>
      <c r="K244" s="56"/>
      <c r="L244" s="23"/>
      <c r="M244" s="23"/>
      <c r="N244" s="23"/>
      <c r="O244" s="5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.75" customHeight="1" x14ac:dyDescent="0.15">
      <c r="A245" s="56"/>
      <c r="B245" s="56"/>
      <c r="C245" s="23"/>
      <c r="D245" s="23"/>
      <c r="E245" s="23"/>
      <c r="F245" s="23"/>
      <c r="G245" s="23"/>
      <c r="H245" s="23"/>
      <c r="I245" s="23"/>
      <c r="J245" s="23"/>
      <c r="K245" s="56"/>
      <c r="L245" s="23"/>
      <c r="M245" s="23"/>
      <c r="N245" s="23"/>
      <c r="O245" s="56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3" x14ac:dyDescent="0.15">
      <c r="A246" s="79"/>
      <c r="B246" s="79"/>
      <c r="K246" s="56"/>
      <c r="O246" s="56"/>
    </row>
    <row r="247" spans="1:27" ht="13" x14ac:dyDescent="0.15">
      <c r="A247" s="79"/>
      <c r="B247" s="79"/>
      <c r="K247" s="56"/>
      <c r="O247" s="56"/>
    </row>
    <row r="248" spans="1:27" ht="13" x14ac:dyDescent="0.15">
      <c r="A248" s="79"/>
      <c r="B248" s="79"/>
      <c r="K248" s="56"/>
      <c r="O248" s="56"/>
    </row>
    <row r="249" spans="1:27" ht="13" x14ac:dyDescent="0.15">
      <c r="A249" s="79"/>
      <c r="B249" s="79"/>
      <c r="K249" s="56"/>
      <c r="O249" s="56"/>
    </row>
    <row r="250" spans="1:27" ht="13" x14ac:dyDescent="0.15">
      <c r="A250" s="79"/>
      <c r="B250" s="79"/>
      <c r="K250" s="56"/>
      <c r="O250" s="56"/>
    </row>
    <row r="251" spans="1:27" ht="13" x14ac:dyDescent="0.15">
      <c r="A251" s="79"/>
      <c r="B251" s="79"/>
      <c r="K251" s="56"/>
      <c r="O251" s="56"/>
    </row>
    <row r="252" spans="1:27" ht="13" x14ac:dyDescent="0.15">
      <c r="A252" s="79"/>
      <c r="B252" s="79"/>
      <c r="K252" s="56"/>
      <c r="O252" s="56"/>
    </row>
    <row r="253" spans="1:27" ht="13" x14ac:dyDescent="0.15">
      <c r="A253" s="79"/>
      <c r="B253" s="79"/>
      <c r="K253" s="56"/>
      <c r="O253" s="56"/>
    </row>
    <row r="254" spans="1:27" ht="13" x14ac:dyDescent="0.15">
      <c r="A254" s="79"/>
      <c r="B254" s="79"/>
      <c r="K254" s="56"/>
      <c r="O254" s="56"/>
    </row>
    <row r="255" spans="1:27" ht="13" x14ac:dyDescent="0.15">
      <c r="A255" s="79"/>
      <c r="B255" s="79"/>
      <c r="K255" s="56"/>
      <c r="O255" s="56"/>
    </row>
    <row r="256" spans="1:27" ht="13" x14ac:dyDescent="0.15">
      <c r="A256" s="79"/>
      <c r="B256" s="79"/>
      <c r="K256" s="56"/>
      <c r="O256" s="56"/>
    </row>
    <row r="257" spans="1:15" ht="13" x14ac:dyDescent="0.15">
      <c r="A257" s="79"/>
      <c r="B257" s="79"/>
      <c r="K257" s="56"/>
      <c r="O257" s="56"/>
    </row>
    <row r="258" spans="1:15" ht="13" x14ac:dyDescent="0.15">
      <c r="A258" s="79"/>
      <c r="B258" s="79"/>
      <c r="K258" s="56"/>
      <c r="O258" s="56"/>
    </row>
    <row r="259" spans="1:15" ht="13" x14ac:dyDescent="0.15">
      <c r="A259" s="79"/>
      <c r="B259" s="79"/>
      <c r="K259" s="56"/>
      <c r="O259" s="56"/>
    </row>
    <row r="260" spans="1:15" ht="13" x14ac:dyDescent="0.15">
      <c r="A260" s="79"/>
      <c r="B260" s="79"/>
      <c r="K260" s="56"/>
      <c r="O260" s="56"/>
    </row>
    <row r="261" spans="1:15" ht="13" x14ac:dyDescent="0.15">
      <c r="A261" s="79"/>
      <c r="B261" s="79"/>
      <c r="K261" s="56"/>
      <c r="O261" s="56"/>
    </row>
    <row r="262" spans="1:15" ht="13" x14ac:dyDescent="0.15">
      <c r="A262" s="79"/>
      <c r="B262" s="79"/>
      <c r="K262" s="56"/>
      <c r="O262" s="56"/>
    </row>
    <row r="263" spans="1:15" ht="13" x14ac:dyDescent="0.15">
      <c r="A263" s="79"/>
      <c r="B263" s="79"/>
      <c r="K263" s="56"/>
      <c r="O263" s="56"/>
    </row>
    <row r="264" spans="1:15" ht="13" x14ac:dyDescent="0.15">
      <c r="A264" s="79"/>
      <c r="B264" s="79"/>
      <c r="K264" s="56"/>
      <c r="O264" s="56"/>
    </row>
    <row r="265" spans="1:15" ht="13" x14ac:dyDescent="0.15">
      <c r="A265" s="79"/>
      <c r="B265" s="79"/>
      <c r="K265" s="56"/>
      <c r="O265" s="56"/>
    </row>
    <row r="266" spans="1:15" ht="13" x14ac:dyDescent="0.15">
      <c r="A266" s="79"/>
      <c r="B266" s="79"/>
      <c r="K266" s="56"/>
      <c r="O266" s="56"/>
    </row>
    <row r="267" spans="1:15" ht="13" x14ac:dyDescent="0.15">
      <c r="A267" s="79"/>
      <c r="B267" s="79"/>
      <c r="K267" s="56"/>
      <c r="O267" s="56"/>
    </row>
    <row r="268" spans="1:15" ht="13" x14ac:dyDescent="0.15">
      <c r="A268" s="79"/>
      <c r="B268" s="79"/>
      <c r="K268" s="56"/>
      <c r="O268" s="56"/>
    </row>
    <row r="269" spans="1:15" ht="13" x14ac:dyDescent="0.15">
      <c r="A269" s="79"/>
      <c r="B269" s="79"/>
      <c r="K269" s="56"/>
      <c r="O269" s="56"/>
    </row>
    <row r="270" spans="1:15" ht="13" x14ac:dyDescent="0.15">
      <c r="A270" s="79"/>
      <c r="B270" s="79"/>
      <c r="K270" s="56"/>
      <c r="O270" s="56"/>
    </row>
    <row r="271" spans="1:15" ht="13" x14ac:dyDescent="0.15">
      <c r="A271" s="79"/>
      <c r="B271" s="79"/>
      <c r="K271" s="56"/>
      <c r="O271" s="56"/>
    </row>
    <row r="272" spans="1:15" ht="13" x14ac:dyDescent="0.15">
      <c r="A272" s="79"/>
      <c r="B272" s="79"/>
      <c r="K272" s="56"/>
      <c r="O272" s="56"/>
    </row>
    <row r="273" spans="1:15" ht="13" x14ac:dyDescent="0.15">
      <c r="A273" s="79"/>
      <c r="B273" s="79"/>
      <c r="K273" s="56"/>
      <c r="O273" s="56"/>
    </row>
    <row r="274" spans="1:15" ht="13" x14ac:dyDescent="0.15">
      <c r="A274" s="79"/>
      <c r="B274" s="79"/>
      <c r="K274" s="56"/>
      <c r="O274" s="56"/>
    </row>
    <row r="275" spans="1:15" ht="13" x14ac:dyDescent="0.15">
      <c r="A275" s="79"/>
      <c r="B275" s="79"/>
      <c r="K275" s="56"/>
      <c r="O275" s="56"/>
    </row>
    <row r="276" spans="1:15" ht="13" x14ac:dyDescent="0.15">
      <c r="A276" s="79"/>
      <c r="B276" s="79"/>
      <c r="K276" s="56"/>
      <c r="O276" s="56"/>
    </row>
    <row r="277" spans="1:15" ht="13" x14ac:dyDescent="0.15">
      <c r="A277" s="79"/>
      <c r="B277" s="79"/>
      <c r="K277" s="56"/>
      <c r="O277" s="56"/>
    </row>
    <row r="278" spans="1:15" ht="13" x14ac:dyDescent="0.15">
      <c r="A278" s="79"/>
      <c r="B278" s="79"/>
      <c r="K278" s="56"/>
      <c r="O278" s="56"/>
    </row>
    <row r="279" spans="1:15" ht="13" x14ac:dyDescent="0.15">
      <c r="A279" s="79"/>
      <c r="B279" s="79"/>
      <c r="K279" s="56"/>
      <c r="O279" s="56"/>
    </row>
    <row r="280" spans="1:15" ht="13" x14ac:dyDescent="0.15">
      <c r="A280" s="79"/>
      <c r="B280" s="79"/>
      <c r="K280" s="56"/>
      <c r="O280" s="56"/>
    </row>
    <row r="281" spans="1:15" ht="13" x14ac:dyDescent="0.15">
      <c r="A281" s="79"/>
      <c r="B281" s="79"/>
      <c r="K281" s="56"/>
      <c r="O281" s="56"/>
    </row>
    <row r="282" spans="1:15" ht="13" x14ac:dyDescent="0.15">
      <c r="A282" s="79"/>
      <c r="B282" s="79"/>
      <c r="K282" s="56"/>
      <c r="O282" s="56"/>
    </row>
    <row r="283" spans="1:15" ht="13" x14ac:dyDescent="0.15">
      <c r="A283" s="79"/>
      <c r="B283" s="79"/>
      <c r="K283" s="56"/>
      <c r="O283" s="56"/>
    </row>
    <row r="284" spans="1:15" ht="13" x14ac:dyDescent="0.15">
      <c r="A284" s="79"/>
      <c r="B284" s="79"/>
      <c r="K284" s="56"/>
      <c r="O284" s="56"/>
    </row>
    <row r="285" spans="1:15" ht="13" x14ac:dyDescent="0.15">
      <c r="A285" s="79"/>
      <c r="B285" s="79"/>
      <c r="K285" s="56"/>
      <c r="O285" s="56"/>
    </row>
    <row r="286" spans="1:15" ht="13" x14ac:dyDescent="0.15">
      <c r="A286" s="79"/>
      <c r="B286" s="79"/>
      <c r="K286" s="56"/>
      <c r="O286" s="56"/>
    </row>
    <row r="287" spans="1:15" ht="13" x14ac:dyDescent="0.15">
      <c r="A287" s="79"/>
      <c r="B287" s="79"/>
      <c r="K287" s="56"/>
      <c r="O287" s="56"/>
    </row>
    <row r="288" spans="1:15" ht="13" x14ac:dyDescent="0.15">
      <c r="A288" s="79"/>
      <c r="B288" s="79"/>
      <c r="K288" s="56"/>
      <c r="O288" s="56"/>
    </row>
    <row r="289" spans="1:15" ht="13" x14ac:dyDescent="0.15">
      <c r="A289" s="79"/>
      <c r="B289" s="79"/>
      <c r="K289" s="56"/>
      <c r="O289" s="56"/>
    </row>
    <row r="290" spans="1:15" ht="13" x14ac:dyDescent="0.15">
      <c r="A290" s="79"/>
      <c r="B290" s="79"/>
      <c r="K290" s="56"/>
      <c r="O290" s="56"/>
    </row>
    <row r="291" spans="1:15" ht="13" x14ac:dyDescent="0.15">
      <c r="A291" s="79"/>
      <c r="B291" s="79"/>
      <c r="K291" s="56"/>
      <c r="O291" s="56"/>
    </row>
    <row r="292" spans="1:15" ht="13" x14ac:dyDescent="0.15">
      <c r="A292" s="79"/>
      <c r="B292" s="79"/>
      <c r="K292" s="56"/>
      <c r="O292" s="56"/>
    </row>
    <row r="293" spans="1:15" ht="13" x14ac:dyDescent="0.15">
      <c r="A293" s="79"/>
      <c r="B293" s="79"/>
      <c r="K293" s="56"/>
      <c r="O293" s="56"/>
    </row>
    <row r="294" spans="1:15" ht="13" x14ac:dyDescent="0.15">
      <c r="A294" s="79"/>
      <c r="B294" s="79"/>
      <c r="K294" s="56"/>
      <c r="O294" s="56"/>
    </row>
    <row r="295" spans="1:15" ht="13" x14ac:dyDescent="0.15">
      <c r="A295" s="79"/>
      <c r="B295" s="79"/>
      <c r="K295" s="56"/>
      <c r="O295" s="56"/>
    </row>
    <row r="296" spans="1:15" ht="13" x14ac:dyDescent="0.15">
      <c r="A296" s="79"/>
      <c r="B296" s="79"/>
      <c r="K296" s="56"/>
      <c r="O296" s="56"/>
    </row>
    <row r="297" spans="1:15" ht="13" x14ac:dyDescent="0.15">
      <c r="A297" s="79"/>
      <c r="B297" s="79"/>
      <c r="K297" s="56"/>
      <c r="O297" s="56"/>
    </row>
    <row r="298" spans="1:15" ht="13" x14ac:dyDescent="0.15">
      <c r="A298" s="79"/>
      <c r="B298" s="79"/>
      <c r="K298" s="56"/>
      <c r="O298" s="56"/>
    </row>
    <row r="299" spans="1:15" ht="13" x14ac:dyDescent="0.15">
      <c r="A299" s="79"/>
      <c r="B299" s="79"/>
      <c r="K299" s="56"/>
      <c r="O299" s="56"/>
    </row>
    <row r="300" spans="1:15" ht="13" x14ac:dyDescent="0.15">
      <c r="A300" s="79"/>
      <c r="B300" s="79"/>
      <c r="K300" s="56"/>
      <c r="O300" s="56"/>
    </row>
    <row r="301" spans="1:15" ht="13" x14ac:dyDescent="0.15">
      <c r="A301" s="79"/>
      <c r="B301" s="79"/>
      <c r="K301" s="56"/>
      <c r="O301" s="56"/>
    </row>
    <row r="302" spans="1:15" ht="13" x14ac:dyDescent="0.15">
      <c r="A302" s="79"/>
      <c r="B302" s="79"/>
      <c r="K302" s="56"/>
      <c r="O302" s="56"/>
    </row>
    <row r="303" spans="1:15" ht="13" x14ac:dyDescent="0.15">
      <c r="A303" s="79"/>
      <c r="B303" s="79"/>
      <c r="K303" s="56"/>
      <c r="O303" s="56"/>
    </row>
    <row r="304" spans="1:15" ht="13" x14ac:dyDescent="0.15">
      <c r="A304" s="79"/>
      <c r="B304" s="79"/>
      <c r="K304" s="56"/>
      <c r="O304" s="56"/>
    </row>
    <row r="305" spans="1:15" ht="13" x14ac:dyDescent="0.15">
      <c r="A305" s="79"/>
      <c r="B305" s="79"/>
      <c r="K305" s="56"/>
      <c r="O305" s="56"/>
    </row>
    <row r="306" spans="1:15" ht="13" x14ac:dyDescent="0.15">
      <c r="A306" s="79"/>
      <c r="B306" s="79"/>
      <c r="K306" s="56"/>
      <c r="O306" s="56"/>
    </row>
    <row r="307" spans="1:15" ht="13" x14ac:dyDescent="0.15">
      <c r="A307" s="79"/>
      <c r="B307" s="79"/>
      <c r="K307" s="56"/>
      <c r="O307" s="56"/>
    </row>
    <row r="308" spans="1:15" ht="13" x14ac:dyDescent="0.15">
      <c r="A308" s="79"/>
      <c r="B308" s="79"/>
      <c r="K308" s="56"/>
      <c r="O308" s="56"/>
    </row>
    <row r="309" spans="1:15" ht="13" x14ac:dyDescent="0.15">
      <c r="A309" s="79"/>
      <c r="B309" s="79"/>
      <c r="K309" s="56"/>
      <c r="O309" s="56"/>
    </row>
    <row r="310" spans="1:15" ht="13" x14ac:dyDescent="0.15">
      <c r="A310" s="79"/>
      <c r="B310" s="79"/>
      <c r="K310" s="56"/>
      <c r="O310" s="56"/>
    </row>
    <row r="311" spans="1:15" ht="13" x14ac:dyDescent="0.15">
      <c r="A311" s="79"/>
      <c r="B311" s="79"/>
      <c r="K311" s="56"/>
      <c r="O311" s="56"/>
    </row>
    <row r="312" spans="1:15" ht="13" x14ac:dyDescent="0.15">
      <c r="A312" s="79"/>
      <c r="B312" s="79"/>
      <c r="K312" s="56"/>
      <c r="O312" s="56"/>
    </row>
    <row r="313" spans="1:15" ht="13" x14ac:dyDescent="0.15">
      <c r="A313" s="79"/>
      <c r="B313" s="79"/>
      <c r="K313" s="56"/>
      <c r="O313" s="56"/>
    </row>
    <row r="314" spans="1:15" ht="13" x14ac:dyDescent="0.15">
      <c r="A314" s="79"/>
      <c r="B314" s="79"/>
      <c r="K314" s="56"/>
      <c r="O314" s="56"/>
    </row>
    <row r="315" spans="1:15" ht="13" x14ac:dyDescent="0.15">
      <c r="A315" s="79"/>
      <c r="B315" s="79"/>
      <c r="K315" s="56"/>
      <c r="O315" s="56"/>
    </row>
    <row r="316" spans="1:15" ht="13" x14ac:dyDescent="0.15">
      <c r="A316" s="79"/>
      <c r="B316" s="79"/>
      <c r="K316" s="56"/>
      <c r="O316" s="56"/>
    </row>
    <row r="317" spans="1:15" ht="13" x14ac:dyDescent="0.15">
      <c r="A317" s="79"/>
      <c r="B317" s="79"/>
      <c r="K317" s="56"/>
      <c r="O317" s="56"/>
    </row>
    <row r="318" spans="1:15" ht="13" x14ac:dyDescent="0.15">
      <c r="A318" s="79"/>
      <c r="B318" s="79"/>
      <c r="K318" s="56"/>
      <c r="O318" s="56"/>
    </row>
    <row r="319" spans="1:15" ht="13" x14ac:dyDescent="0.15">
      <c r="A319" s="79"/>
      <c r="B319" s="79"/>
      <c r="K319" s="56"/>
      <c r="O319" s="56"/>
    </row>
    <row r="320" spans="1:15" ht="13" x14ac:dyDescent="0.15">
      <c r="A320" s="79"/>
      <c r="B320" s="79"/>
      <c r="K320" s="56"/>
      <c r="O320" s="56"/>
    </row>
    <row r="321" spans="1:15" ht="13" x14ac:dyDescent="0.15">
      <c r="A321" s="79"/>
      <c r="B321" s="79"/>
      <c r="K321" s="56"/>
      <c r="O321" s="56"/>
    </row>
    <row r="322" spans="1:15" ht="13" x14ac:dyDescent="0.15">
      <c r="A322" s="79"/>
      <c r="B322" s="79"/>
      <c r="K322" s="56"/>
      <c r="O322" s="56"/>
    </row>
    <row r="323" spans="1:15" ht="13" x14ac:dyDescent="0.15">
      <c r="A323" s="79"/>
      <c r="B323" s="79"/>
      <c r="K323" s="56"/>
      <c r="O323" s="56"/>
    </row>
    <row r="324" spans="1:15" ht="13" x14ac:dyDescent="0.15">
      <c r="A324" s="79"/>
      <c r="B324" s="79"/>
      <c r="K324" s="56"/>
      <c r="O324" s="56"/>
    </row>
    <row r="325" spans="1:15" ht="13" x14ac:dyDescent="0.15">
      <c r="A325" s="79"/>
      <c r="B325" s="79"/>
      <c r="K325" s="56"/>
      <c r="O325" s="56"/>
    </row>
    <row r="326" spans="1:15" ht="13" x14ac:dyDescent="0.15">
      <c r="A326" s="79"/>
      <c r="B326" s="79"/>
      <c r="K326" s="56"/>
      <c r="O326" s="56"/>
    </row>
    <row r="327" spans="1:15" ht="13" x14ac:dyDescent="0.15">
      <c r="A327" s="79"/>
      <c r="B327" s="79"/>
      <c r="K327" s="56"/>
      <c r="O327" s="56"/>
    </row>
    <row r="328" spans="1:15" ht="13" x14ac:dyDescent="0.15">
      <c r="A328" s="79"/>
      <c r="B328" s="79"/>
      <c r="K328" s="56"/>
      <c r="O328" s="56"/>
    </row>
    <row r="329" spans="1:15" ht="13" x14ac:dyDescent="0.15">
      <c r="A329" s="79"/>
      <c r="B329" s="79"/>
      <c r="K329" s="56"/>
      <c r="O329" s="56"/>
    </row>
    <row r="330" spans="1:15" ht="13" x14ac:dyDescent="0.15">
      <c r="A330" s="79"/>
      <c r="B330" s="79"/>
      <c r="K330" s="56"/>
      <c r="O330" s="56"/>
    </row>
    <row r="331" spans="1:15" ht="13" x14ac:dyDescent="0.15">
      <c r="A331" s="79"/>
      <c r="B331" s="79"/>
      <c r="K331" s="56"/>
      <c r="O331" s="56"/>
    </row>
    <row r="332" spans="1:15" ht="13" x14ac:dyDescent="0.15">
      <c r="A332" s="79"/>
      <c r="B332" s="79"/>
      <c r="K332" s="56"/>
      <c r="O332" s="56"/>
    </row>
    <row r="333" spans="1:15" ht="13" x14ac:dyDescent="0.15">
      <c r="A333" s="79"/>
      <c r="B333" s="79"/>
      <c r="K333" s="56"/>
      <c r="O333" s="56"/>
    </row>
    <row r="334" spans="1:15" ht="13" x14ac:dyDescent="0.15">
      <c r="A334" s="79"/>
      <c r="B334" s="79"/>
      <c r="K334" s="56"/>
      <c r="O334" s="56"/>
    </row>
    <row r="335" spans="1:15" ht="13" x14ac:dyDescent="0.15">
      <c r="A335" s="79"/>
      <c r="B335" s="79"/>
      <c r="K335" s="56"/>
      <c r="O335" s="56"/>
    </row>
    <row r="336" spans="1:15" ht="13" x14ac:dyDescent="0.15">
      <c r="A336" s="79"/>
      <c r="B336" s="79"/>
      <c r="K336" s="56"/>
      <c r="O336" s="56"/>
    </row>
    <row r="337" spans="1:15" ht="13" x14ac:dyDescent="0.15">
      <c r="A337" s="79"/>
      <c r="B337" s="79"/>
      <c r="K337" s="56"/>
      <c r="O337" s="56"/>
    </row>
    <row r="338" spans="1:15" ht="13" x14ac:dyDescent="0.15">
      <c r="A338" s="79"/>
      <c r="B338" s="79"/>
      <c r="K338" s="56"/>
      <c r="O338" s="56"/>
    </row>
    <row r="339" spans="1:15" ht="13" x14ac:dyDescent="0.15">
      <c r="A339" s="79"/>
      <c r="B339" s="79"/>
      <c r="K339" s="56"/>
      <c r="O339" s="56"/>
    </row>
    <row r="340" spans="1:15" ht="13" x14ac:dyDescent="0.15">
      <c r="A340" s="79"/>
      <c r="B340" s="79"/>
      <c r="K340" s="56"/>
      <c r="O340" s="56"/>
    </row>
    <row r="341" spans="1:15" ht="13" x14ac:dyDescent="0.15">
      <c r="A341" s="79"/>
      <c r="B341" s="79"/>
      <c r="K341" s="56"/>
      <c r="O341" s="56"/>
    </row>
    <row r="342" spans="1:15" ht="13" x14ac:dyDescent="0.15">
      <c r="A342" s="79"/>
      <c r="B342" s="79"/>
      <c r="K342" s="56"/>
      <c r="O342" s="56"/>
    </row>
    <row r="343" spans="1:15" ht="13" x14ac:dyDescent="0.15">
      <c r="A343" s="79"/>
      <c r="B343" s="79"/>
      <c r="K343" s="56"/>
      <c r="O343" s="56"/>
    </row>
    <row r="344" spans="1:15" ht="13" x14ac:dyDescent="0.15">
      <c r="A344" s="79"/>
      <c r="B344" s="79"/>
      <c r="K344" s="56"/>
      <c r="O344" s="56"/>
    </row>
    <row r="345" spans="1:15" ht="13" x14ac:dyDescent="0.15">
      <c r="A345" s="79"/>
      <c r="B345" s="79"/>
      <c r="K345" s="56"/>
      <c r="O345" s="56"/>
    </row>
    <row r="346" spans="1:15" ht="13" x14ac:dyDescent="0.15">
      <c r="A346" s="79"/>
      <c r="B346" s="79"/>
      <c r="K346" s="56"/>
      <c r="O346" s="56"/>
    </row>
    <row r="347" spans="1:15" ht="13" x14ac:dyDescent="0.15">
      <c r="A347" s="79"/>
      <c r="B347" s="79"/>
      <c r="K347" s="56"/>
      <c r="O347" s="56"/>
    </row>
    <row r="348" spans="1:15" ht="13" x14ac:dyDescent="0.15">
      <c r="A348" s="79"/>
      <c r="B348" s="79"/>
      <c r="K348" s="56"/>
      <c r="O348" s="56"/>
    </row>
    <row r="349" spans="1:15" ht="13" x14ac:dyDescent="0.15">
      <c r="A349" s="79"/>
      <c r="B349" s="79"/>
      <c r="K349" s="56"/>
      <c r="O349" s="56"/>
    </row>
    <row r="350" spans="1:15" ht="13" x14ac:dyDescent="0.15">
      <c r="A350" s="79"/>
      <c r="B350" s="79"/>
      <c r="K350" s="56"/>
      <c r="O350" s="56"/>
    </row>
    <row r="351" spans="1:15" ht="13" x14ac:dyDescent="0.15">
      <c r="A351" s="79"/>
      <c r="B351" s="79"/>
      <c r="K351" s="56"/>
      <c r="O351" s="56"/>
    </row>
    <row r="352" spans="1:15" ht="13" x14ac:dyDescent="0.15">
      <c r="A352" s="79"/>
      <c r="B352" s="79"/>
      <c r="K352" s="56"/>
      <c r="O352" s="56"/>
    </row>
    <row r="353" spans="1:15" ht="13" x14ac:dyDescent="0.15">
      <c r="A353" s="79"/>
      <c r="B353" s="79"/>
      <c r="K353" s="56"/>
      <c r="O353" s="56"/>
    </row>
    <row r="354" spans="1:15" ht="13" x14ac:dyDescent="0.15">
      <c r="A354" s="79"/>
      <c r="B354" s="79"/>
      <c r="K354" s="56"/>
      <c r="O354" s="56"/>
    </row>
    <row r="355" spans="1:15" ht="13" x14ac:dyDescent="0.15">
      <c r="A355" s="79"/>
      <c r="B355" s="79"/>
      <c r="K355" s="56"/>
      <c r="O355" s="56"/>
    </row>
    <row r="356" spans="1:15" ht="13" x14ac:dyDescent="0.15">
      <c r="A356" s="79"/>
      <c r="B356" s="79"/>
      <c r="K356" s="56"/>
      <c r="O356" s="56"/>
    </row>
    <row r="357" spans="1:15" ht="13" x14ac:dyDescent="0.15">
      <c r="A357" s="79"/>
      <c r="B357" s="79"/>
      <c r="K357" s="56"/>
      <c r="O357" s="56"/>
    </row>
    <row r="358" spans="1:15" ht="13" x14ac:dyDescent="0.15">
      <c r="A358" s="79"/>
      <c r="B358" s="79"/>
      <c r="K358" s="56"/>
      <c r="O358" s="56"/>
    </row>
    <row r="359" spans="1:15" ht="13" x14ac:dyDescent="0.15">
      <c r="A359" s="79"/>
      <c r="B359" s="79"/>
      <c r="K359" s="56"/>
      <c r="O359" s="56"/>
    </row>
    <row r="360" spans="1:15" ht="13" x14ac:dyDescent="0.15">
      <c r="A360" s="79"/>
      <c r="B360" s="79"/>
      <c r="K360" s="56"/>
      <c r="O360" s="56"/>
    </row>
    <row r="361" spans="1:15" ht="13" x14ac:dyDescent="0.15">
      <c r="A361" s="79"/>
      <c r="B361" s="79"/>
      <c r="K361" s="56"/>
      <c r="O361" s="56"/>
    </row>
    <row r="362" spans="1:15" ht="13" x14ac:dyDescent="0.15">
      <c r="A362" s="79"/>
      <c r="B362" s="79"/>
      <c r="K362" s="56"/>
      <c r="O362" s="56"/>
    </row>
    <row r="363" spans="1:15" ht="13" x14ac:dyDescent="0.15">
      <c r="A363" s="79"/>
      <c r="B363" s="79"/>
      <c r="K363" s="56"/>
      <c r="O363" s="56"/>
    </row>
    <row r="364" spans="1:15" ht="13" x14ac:dyDescent="0.15">
      <c r="A364" s="79"/>
      <c r="B364" s="79"/>
      <c r="K364" s="56"/>
      <c r="O364" s="56"/>
    </row>
    <row r="365" spans="1:15" ht="13" x14ac:dyDescent="0.15">
      <c r="A365" s="79"/>
      <c r="B365" s="79"/>
      <c r="K365" s="56"/>
      <c r="O365" s="56"/>
    </row>
    <row r="366" spans="1:15" ht="13" x14ac:dyDescent="0.15">
      <c r="A366" s="79"/>
      <c r="B366" s="79"/>
      <c r="K366" s="56"/>
      <c r="O366" s="56"/>
    </row>
    <row r="367" spans="1:15" ht="13" x14ac:dyDescent="0.15">
      <c r="A367" s="79"/>
      <c r="B367" s="79"/>
      <c r="K367" s="56"/>
      <c r="O367" s="56"/>
    </row>
    <row r="368" spans="1:15" ht="13" x14ac:dyDescent="0.15">
      <c r="A368" s="79"/>
      <c r="B368" s="79"/>
      <c r="K368" s="56"/>
      <c r="O368" s="56"/>
    </row>
    <row r="369" spans="1:15" ht="13" x14ac:dyDescent="0.15">
      <c r="A369" s="79"/>
      <c r="B369" s="79"/>
      <c r="K369" s="56"/>
      <c r="O369" s="56"/>
    </row>
    <row r="370" spans="1:15" ht="13" x14ac:dyDescent="0.15">
      <c r="A370" s="79"/>
      <c r="B370" s="79"/>
      <c r="K370" s="56"/>
      <c r="O370" s="56"/>
    </row>
    <row r="371" spans="1:15" ht="13" x14ac:dyDescent="0.15">
      <c r="A371" s="79"/>
      <c r="B371" s="79"/>
      <c r="K371" s="56"/>
      <c r="O371" s="56"/>
    </row>
    <row r="372" spans="1:15" ht="13" x14ac:dyDescent="0.15">
      <c r="A372" s="79"/>
      <c r="B372" s="79"/>
      <c r="K372" s="56"/>
      <c r="O372" s="56"/>
    </row>
    <row r="373" spans="1:15" ht="13" x14ac:dyDescent="0.15">
      <c r="A373" s="79"/>
      <c r="B373" s="79"/>
      <c r="K373" s="56"/>
      <c r="O373" s="56"/>
    </row>
    <row r="374" spans="1:15" ht="13" x14ac:dyDescent="0.15">
      <c r="A374" s="79"/>
      <c r="B374" s="79"/>
      <c r="K374" s="56"/>
      <c r="O374" s="56"/>
    </row>
    <row r="375" spans="1:15" ht="13" x14ac:dyDescent="0.15">
      <c r="A375" s="79"/>
      <c r="B375" s="79"/>
      <c r="K375" s="56"/>
      <c r="O375" s="56"/>
    </row>
    <row r="376" spans="1:15" ht="13" x14ac:dyDescent="0.15">
      <c r="A376" s="79"/>
      <c r="B376" s="79"/>
      <c r="K376" s="56"/>
      <c r="O376" s="56"/>
    </row>
    <row r="377" spans="1:15" ht="13" x14ac:dyDescent="0.15">
      <c r="A377" s="79"/>
      <c r="B377" s="79"/>
      <c r="K377" s="56"/>
      <c r="O377" s="56"/>
    </row>
    <row r="378" spans="1:15" ht="13" x14ac:dyDescent="0.15">
      <c r="A378" s="79"/>
      <c r="B378" s="79"/>
      <c r="K378" s="56"/>
      <c r="O378" s="56"/>
    </row>
    <row r="379" spans="1:15" ht="13" x14ac:dyDescent="0.15">
      <c r="A379" s="79"/>
      <c r="B379" s="79"/>
      <c r="K379" s="56"/>
      <c r="O379" s="56"/>
    </row>
    <row r="380" spans="1:15" ht="13" x14ac:dyDescent="0.15">
      <c r="A380" s="79"/>
      <c r="B380" s="79"/>
      <c r="K380" s="56"/>
      <c r="O380" s="56"/>
    </row>
    <row r="381" spans="1:15" ht="13" x14ac:dyDescent="0.15">
      <c r="A381" s="79"/>
      <c r="B381" s="79"/>
      <c r="K381" s="56"/>
      <c r="O381" s="56"/>
    </row>
    <row r="382" spans="1:15" ht="13" x14ac:dyDescent="0.15">
      <c r="A382" s="79"/>
      <c r="B382" s="79"/>
      <c r="K382" s="56"/>
      <c r="O382" s="56"/>
    </row>
    <row r="383" spans="1:15" ht="13" x14ac:dyDescent="0.15">
      <c r="A383" s="79"/>
      <c r="B383" s="79"/>
      <c r="K383" s="56"/>
      <c r="O383" s="56"/>
    </row>
    <row r="384" spans="1:15" ht="13" x14ac:dyDescent="0.15">
      <c r="A384" s="79"/>
      <c r="B384" s="79"/>
      <c r="K384" s="56"/>
      <c r="O384" s="56"/>
    </row>
    <row r="385" spans="1:15" ht="13" x14ac:dyDescent="0.15">
      <c r="A385" s="79"/>
      <c r="B385" s="79"/>
      <c r="K385" s="56"/>
      <c r="O385" s="56"/>
    </row>
    <row r="386" spans="1:15" ht="13" x14ac:dyDescent="0.15">
      <c r="A386" s="79"/>
      <c r="B386" s="79"/>
      <c r="K386" s="56"/>
      <c r="O386" s="56"/>
    </row>
    <row r="387" spans="1:15" ht="13" x14ac:dyDescent="0.15">
      <c r="A387" s="79"/>
      <c r="B387" s="79"/>
      <c r="K387" s="56"/>
      <c r="O387" s="56"/>
    </row>
    <row r="388" spans="1:15" ht="13" x14ac:dyDescent="0.15">
      <c r="A388" s="79"/>
      <c r="B388" s="79"/>
      <c r="K388" s="56"/>
      <c r="O388" s="56"/>
    </row>
    <row r="389" spans="1:15" ht="13" x14ac:dyDescent="0.15">
      <c r="A389" s="79"/>
      <c r="B389" s="79"/>
      <c r="K389" s="56"/>
      <c r="O389" s="56"/>
    </row>
    <row r="390" spans="1:15" ht="13" x14ac:dyDescent="0.15">
      <c r="A390" s="79"/>
      <c r="B390" s="79"/>
      <c r="K390" s="56"/>
      <c r="O390" s="56"/>
    </row>
    <row r="391" spans="1:15" ht="13" x14ac:dyDescent="0.15">
      <c r="A391" s="79"/>
      <c r="B391" s="79"/>
      <c r="K391" s="56"/>
      <c r="O391" s="56"/>
    </row>
    <row r="392" spans="1:15" ht="13" x14ac:dyDescent="0.15">
      <c r="A392" s="79"/>
      <c r="B392" s="79"/>
      <c r="K392" s="56"/>
      <c r="O392" s="56"/>
    </row>
    <row r="393" spans="1:15" ht="13" x14ac:dyDescent="0.15">
      <c r="A393" s="79"/>
      <c r="B393" s="79"/>
      <c r="K393" s="56"/>
      <c r="O393" s="56"/>
    </row>
    <row r="394" spans="1:15" ht="13" x14ac:dyDescent="0.15">
      <c r="A394" s="79"/>
      <c r="B394" s="79"/>
      <c r="K394" s="56"/>
      <c r="O394" s="56"/>
    </row>
    <row r="395" spans="1:15" ht="13" x14ac:dyDescent="0.15">
      <c r="A395" s="79"/>
      <c r="B395" s="79"/>
      <c r="K395" s="56"/>
      <c r="O395" s="56"/>
    </row>
    <row r="396" spans="1:15" ht="13" x14ac:dyDescent="0.15">
      <c r="A396" s="79"/>
      <c r="B396" s="79"/>
      <c r="K396" s="56"/>
      <c r="O396" s="56"/>
    </row>
    <row r="397" spans="1:15" ht="13" x14ac:dyDescent="0.15">
      <c r="A397" s="79"/>
      <c r="B397" s="79"/>
      <c r="K397" s="56"/>
      <c r="O397" s="56"/>
    </row>
    <row r="398" spans="1:15" ht="13" x14ac:dyDescent="0.15">
      <c r="A398" s="79"/>
      <c r="B398" s="79"/>
      <c r="K398" s="56"/>
      <c r="O398" s="56"/>
    </row>
    <row r="399" spans="1:15" ht="13" x14ac:dyDescent="0.15">
      <c r="A399" s="79"/>
      <c r="B399" s="79"/>
      <c r="K399" s="56"/>
      <c r="O399" s="56"/>
    </row>
    <row r="400" spans="1:15" ht="13" x14ac:dyDescent="0.15">
      <c r="A400" s="79"/>
      <c r="B400" s="79"/>
      <c r="K400" s="56"/>
      <c r="O400" s="56"/>
    </row>
    <row r="401" spans="1:15" ht="13" x14ac:dyDescent="0.15">
      <c r="A401" s="79"/>
      <c r="B401" s="79"/>
      <c r="K401" s="56"/>
      <c r="O401" s="56"/>
    </row>
    <row r="402" spans="1:15" ht="13" x14ac:dyDescent="0.15">
      <c r="A402" s="79"/>
      <c r="B402" s="79"/>
      <c r="K402" s="56"/>
      <c r="O402" s="56"/>
    </row>
    <row r="403" spans="1:15" ht="13" x14ac:dyDescent="0.15">
      <c r="A403" s="79"/>
      <c r="B403" s="79"/>
      <c r="K403" s="56"/>
      <c r="O403" s="56"/>
    </row>
    <row r="404" spans="1:15" ht="13" x14ac:dyDescent="0.15">
      <c r="A404" s="79"/>
      <c r="B404" s="79"/>
      <c r="K404" s="56"/>
      <c r="O404" s="56"/>
    </row>
    <row r="405" spans="1:15" ht="13" x14ac:dyDescent="0.15">
      <c r="A405" s="79"/>
      <c r="B405" s="79"/>
      <c r="K405" s="56"/>
      <c r="O405" s="56"/>
    </row>
    <row r="406" spans="1:15" ht="13" x14ac:dyDescent="0.15">
      <c r="A406" s="79"/>
      <c r="B406" s="79"/>
      <c r="K406" s="56"/>
      <c r="O406" s="56"/>
    </row>
    <row r="407" spans="1:15" ht="13" x14ac:dyDescent="0.15">
      <c r="A407" s="79"/>
      <c r="B407" s="79"/>
      <c r="K407" s="56"/>
      <c r="O407" s="56"/>
    </row>
    <row r="408" spans="1:15" ht="13" x14ac:dyDescent="0.15">
      <c r="A408" s="79"/>
      <c r="B408" s="79"/>
      <c r="K408" s="56"/>
      <c r="O408" s="56"/>
    </row>
    <row r="409" spans="1:15" ht="13" x14ac:dyDescent="0.15">
      <c r="A409" s="79"/>
      <c r="B409" s="79"/>
      <c r="K409" s="56"/>
      <c r="O409" s="56"/>
    </row>
    <row r="410" spans="1:15" ht="13" x14ac:dyDescent="0.15">
      <c r="A410" s="79"/>
      <c r="B410" s="79"/>
      <c r="K410" s="56"/>
      <c r="O410" s="56"/>
    </row>
    <row r="411" spans="1:15" ht="13" x14ac:dyDescent="0.15">
      <c r="A411" s="79"/>
      <c r="B411" s="79"/>
      <c r="K411" s="56"/>
      <c r="O411" s="56"/>
    </row>
    <row r="412" spans="1:15" ht="13" x14ac:dyDescent="0.15">
      <c r="A412" s="79"/>
      <c r="B412" s="79"/>
      <c r="K412" s="56"/>
      <c r="O412" s="56"/>
    </row>
    <row r="413" spans="1:15" ht="13" x14ac:dyDescent="0.15">
      <c r="A413" s="79"/>
      <c r="B413" s="79"/>
      <c r="K413" s="56"/>
      <c r="O413" s="56"/>
    </row>
    <row r="414" spans="1:15" ht="13" x14ac:dyDescent="0.15">
      <c r="A414" s="79"/>
      <c r="B414" s="79"/>
      <c r="K414" s="56"/>
      <c r="O414" s="56"/>
    </row>
    <row r="415" spans="1:15" ht="13" x14ac:dyDescent="0.15">
      <c r="A415" s="79"/>
      <c r="B415" s="79"/>
      <c r="K415" s="56"/>
      <c r="O415" s="56"/>
    </row>
    <row r="416" spans="1:15" ht="13" x14ac:dyDescent="0.15">
      <c r="A416" s="79"/>
      <c r="B416" s="79"/>
      <c r="K416" s="56"/>
      <c r="O416" s="56"/>
    </row>
    <row r="417" spans="1:15" ht="13" x14ac:dyDescent="0.15">
      <c r="A417" s="79"/>
      <c r="B417" s="79"/>
      <c r="K417" s="56"/>
      <c r="O417" s="56"/>
    </row>
    <row r="418" spans="1:15" ht="13" x14ac:dyDescent="0.15">
      <c r="A418" s="79"/>
      <c r="B418" s="79"/>
      <c r="K418" s="56"/>
      <c r="O418" s="56"/>
    </row>
    <row r="419" spans="1:15" ht="13" x14ac:dyDescent="0.15">
      <c r="A419" s="79"/>
      <c r="B419" s="79"/>
      <c r="K419" s="56"/>
      <c r="O419" s="56"/>
    </row>
    <row r="420" spans="1:15" ht="13" x14ac:dyDescent="0.15">
      <c r="A420" s="79"/>
      <c r="B420" s="79"/>
      <c r="K420" s="56"/>
      <c r="O420" s="56"/>
    </row>
    <row r="421" spans="1:15" ht="13" x14ac:dyDescent="0.15">
      <c r="A421" s="79"/>
      <c r="B421" s="79"/>
      <c r="K421" s="56"/>
      <c r="O421" s="56"/>
    </row>
    <row r="422" spans="1:15" ht="13" x14ac:dyDescent="0.15">
      <c r="A422" s="79"/>
      <c r="B422" s="79"/>
      <c r="K422" s="56"/>
      <c r="O422" s="56"/>
    </row>
    <row r="423" spans="1:15" ht="13" x14ac:dyDescent="0.15">
      <c r="A423" s="79"/>
      <c r="B423" s="79"/>
      <c r="K423" s="56"/>
      <c r="O423" s="56"/>
    </row>
    <row r="424" spans="1:15" ht="13" x14ac:dyDescent="0.15">
      <c r="A424" s="79"/>
      <c r="B424" s="79"/>
      <c r="K424" s="56"/>
      <c r="O424" s="56"/>
    </row>
    <row r="425" spans="1:15" ht="13" x14ac:dyDescent="0.15">
      <c r="A425" s="79"/>
      <c r="B425" s="79"/>
      <c r="K425" s="56"/>
      <c r="O425" s="56"/>
    </row>
    <row r="426" spans="1:15" ht="13" x14ac:dyDescent="0.15">
      <c r="A426" s="79"/>
      <c r="B426" s="79"/>
      <c r="K426" s="56"/>
      <c r="O426" s="56"/>
    </row>
    <row r="427" spans="1:15" ht="13" x14ac:dyDescent="0.15">
      <c r="A427" s="79"/>
      <c r="B427" s="79"/>
      <c r="K427" s="56"/>
      <c r="O427" s="56"/>
    </row>
    <row r="428" spans="1:15" ht="13" x14ac:dyDescent="0.15">
      <c r="A428" s="79"/>
      <c r="B428" s="79"/>
      <c r="K428" s="56"/>
      <c r="O428" s="56"/>
    </row>
    <row r="429" spans="1:15" ht="13" x14ac:dyDescent="0.15">
      <c r="A429" s="79"/>
      <c r="B429" s="79"/>
      <c r="K429" s="56"/>
      <c r="O429" s="56"/>
    </row>
    <row r="430" spans="1:15" ht="13" x14ac:dyDescent="0.15">
      <c r="A430" s="79"/>
      <c r="B430" s="79"/>
      <c r="K430" s="56"/>
      <c r="O430" s="56"/>
    </row>
    <row r="431" spans="1:15" ht="13" x14ac:dyDescent="0.15">
      <c r="A431" s="79"/>
      <c r="B431" s="79"/>
      <c r="K431" s="56"/>
      <c r="O431" s="56"/>
    </row>
    <row r="432" spans="1:15" ht="13" x14ac:dyDescent="0.15">
      <c r="A432" s="79"/>
      <c r="B432" s="79"/>
      <c r="K432" s="56"/>
      <c r="O432" s="56"/>
    </row>
    <row r="433" spans="1:15" ht="13" x14ac:dyDescent="0.15">
      <c r="A433" s="79"/>
      <c r="B433" s="79"/>
      <c r="K433" s="56"/>
      <c r="O433" s="56"/>
    </row>
    <row r="434" spans="1:15" ht="13" x14ac:dyDescent="0.15">
      <c r="A434" s="79"/>
      <c r="B434" s="79"/>
      <c r="K434" s="56"/>
      <c r="O434" s="56"/>
    </row>
    <row r="435" spans="1:15" ht="13" x14ac:dyDescent="0.15">
      <c r="A435" s="79"/>
      <c r="B435" s="79"/>
      <c r="K435" s="56"/>
      <c r="O435" s="56"/>
    </row>
    <row r="436" spans="1:15" ht="13" x14ac:dyDescent="0.15">
      <c r="A436" s="79"/>
      <c r="B436" s="79"/>
      <c r="K436" s="56"/>
      <c r="O436" s="56"/>
    </row>
    <row r="437" spans="1:15" ht="13" x14ac:dyDescent="0.15">
      <c r="A437" s="79"/>
      <c r="B437" s="79"/>
      <c r="K437" s="56"/>
      <c r="O437" s="56"/>
    </row>
    <row r="438" spans="1:15" ht="13" x14ac:dyDescent="0.15">
      <c r="A438" s="79"/>
      <c r="B438" s="79"/>
      <c r="K438" s="56"/>
      <c r="O438" s="56"/>
    </row>
    <row r="439" spans="1:15" ht="13" x14ac:dyDescent="0.15">
      <c r="A439" s="79"/>
      <c r="B439" s="79"/>
      <c r="K439" s="56"/>
      <c r="O439" s="56"/>
    </row>
    <row r="440" spans="1:15" ht="13" x14ac:dyDescent="0.15">
      <c r="A440" s="79"/>
      <c r="B440" s="79"/>
      <c r="K440" s="56"/>
      <c r="O440" s="56"/>
    </row>
    <row r="441" spans="1:15" ht="13" x14ac:dyDescent="0.15">
      <c r="A441" s="79"/>
      <c r="B441" s="79"/>
      <c r="K441" s="56"/>
      <c r="O441" s="56"/>
    </row>
    <row r="442" spans="1:15" ht="13" x14ac:dyDescent="0.15">
      <c r="A442" s="79"/>
      <c r="B442" s="79"/>
      <c r="K442" s="56"/>
      <c r="O442" s="56"/>
    </row>
    <row r="443" spans="1:15" ht="13" x14ac:dyDescent="0.15">
      <c r="A443" s="79"/>
      <c r="B443" s="79"/>
      <c r="K443" s="56"/>
      <c r="O443" s="56"/>
    </row>
    <row r="444" spans="1:15" ht="13" x14ac:dyDescent="0.15">
      <c r="A444" s="79"/>
      <c r="B444" s="79"/>
      <c r="K444" s="56"/>
      <c r="O444" s="56"/>
    </row>
    <row r="445" spans="1:15" ht="13" x14ac:dyDescent="0.15">
      <c r="A445" s="79"/>
      <c r="B445" s="79"/>
      <c r="K445" s="56"/>
      <c r="O445" s="56"/>
    </row>
    <row r="446" spans="1:15" ht="13" x14ac:dyDescent="0.15">
      <c r="A446" s="79"/>
      <c r="B446" s="79"/>
      <c r="K446" s="56"/>
      <c r="O446" s="56"/>
    </row>
    <row r="447" spans="1:15" ht="13" x14ac:dyDescent="0.15">
      <c r="A447" s="79"/>
      <c r="B447" s="79"/>
      <c r="K447" s="56"/>
      <c r="O447" s="56"/>
    </row>
    <row r="448" spans="1:15" ht="13" x14ac:dyDescent="0.15">
      <c r="A448" s="79"/>
      <c r="B448" s="79"/>
      <c r="K448" s="56"/>
      <c r="O448" s="56"/>
    </row>
    <row r="449" spans="1:15" ht="13" x14ac:dyDescent="0.15">
      <c r="A449" s="79"/>
      <c r="B449" s="79"/>
      <c r="K449" s="56"/>
      <c r="O449" s="56"/>
    </row>
    <row r="450" spans="1:15" ht="13" x14ac:dyDescent="0.15">
      <c r="A450" s="79"/>
      <c r="B450" s="79"/>
      <c r="K450" s="56"/>
      <c r="O450" s="56"/>
    </row>
    <row r="451" spans="1:15" ht="13" x14ac:dyDescent="0.15">
      <c r="A451" s="79"/>
      <c r="B451" s="79"/>
      <c r="K451" s="56"/>
      <c r="O451" s="56"/>
    </row>
    <row r="452" spans="1:15" ht="13" x14ac:dyDescent="0.15">
      <c r="A452" s="79"/>
      <c r="B452" s="79"/>
      <c r="K452" s="56"/>
      <c r="O452" s="56"/>
    </row>
    <row r="453" spans="1:15" ht="13" x14ac:dyDescent="0.15">
      <c r="A453" s="79"/>
      <c r="B453" s="79"/>
      <c r="K453" s="56"/>
      <c r="O453" s="56"/>
    </row>
    <row r="454" spans="1:15" ht="13" x14ac:dyDescent="0.15">
      <c r="A454" s="79"/>
      <c r="B454" s="79"/>
      <c r="K454" s="56"/>
      <c r="O454" s="56"/>
    </row>
    <row r="455" spans="1:15" ht="13" x14ac:dyDescent="0.15">
      <c r="A455" s="79"/>
      <c r="B455" s="79"/>
      <c r="K455" s="56"/>
      <c r="O455" s="56"/>
    </row>
    <row r="456" spans="1:15" ht="13" x14ac:dyDescent="0.15">
      <c r="A456" s="79"/>
      <c r="B456" s="79"/>
      <c r="K456" s="56"/>
      <c r="O456" s="56"/>
    </row>
    <row r="457" spans="1:15" ht="13" x14ac:dyDescent="0.15">
      <c r="A457" s="79"/>
      <c r="B457" s="79"/>
      <c r="K457" s="56"/>
      <c r="O457" s="56"/>
    </row>
    <row r="458" spans="1:15" ht="13" x14ac:dyDescent="0.15">
      <c r="A458" s="79"/>
      <c r="B458" s="79"/>
      <c r="K458" s="56"/>
      <c r="O458" s="56"/>
    </row>
    <row r="459" spans="1:15" ht="13" x14ac:dyDescent="0.15">
      <c r="A459" s="79"/>
      <c r="B459" s="79"/>
      <c r="K459" s="56"/>
      <c r="O459" s="56"/>
    </row>
    <row r="460" spans="1:15" ht="13" x14ac:dyDescent="0.15">
      <c r="A460" s="79"/>
      <c r="B460" s="79"/>
      <c r="K460" s="56"/>
      <c r="O460" s="56"/>
    </row>
    <row r="461" spans="1:15" ht="13" x14ac:dyDescent="0.15">
      <c r="A461" s="79"/>
      <c r="B461" s="79"/>
      <c r="K461" s="56"/>
      <c r="O461" s="56"/>
    </row>
    <row r="462" spans="1:15" ht="13" x14ac:dyDescent="0.15">
      <c r="A462" s="79"/>
      <c r="B462" s="79"/>
      <c r="K462" s="56"/>
      <c r="O462" s="56"/>
    </row>
    <row r="463" spans="1:15" ht="13" x14ac:dyDescent="0.15">
      <c r="A463" s="79"/>
      <c r="B463" s="79"/>
      <c r="K463" s="56"/>
      <c r="O463" s="56"/>
    </row>
    <row r="464" spans="1:15" ht="13" x14ac:dyDescent="0.15">
      <c r="A464" s="79"/>
      <c r="B464" s="79"/>
      <c r="K464" s="56"/>
      <c r="O464" s="56"/>
    </row>
    <row r="465" spans="1:15" ht="13" x14ac:dyDescent="0.15">
      <c r="A465" s="79"/>
      <c r="B465" s="79"/>
      <c r="K465" s="56"/>
      <c r="O465" s="56"/>
    </row>
    <row r="466" spans="1:15" ht="13" x14ac:dyDescent="0.15">
      <c r="A466" s="79"/>
      <c r="B466" s="79"/>
      <c r="K466" s="56"/>
      <c r="O466" s="56"/>
    </row>
    <row r="467" spans="1:15" ht="13" x14ac:dyDescent="0.15">
      <c r="A467" s="79"/>
      <c r="B467" s="79"/>
      <c r="K467" s="56"/>
      <c r="O467" s="56"/>
    </row>
    <row r="468" spans="1:15" ht="13" x14ac:dyDescent="0.15">
      <c r="A468" s="79"/>
      <c r="B468" s="79"/>
      <c r="K468" s="56"/>
      <c r="O468" s="56"/>
    </row>
    <row r="469" spans="1:15" ht="13" x14ac:dyDescent="0.15">
      <c r="A469" s="79"/>
      <c r="B469" s="79"/>
      <c r="K469" s="56"/>
      <c r="O469" s="56"/>
    </row>
    <row r="470" spans="1:15" ht="13" x14ac:dyDescent="0.15">
      <c r="A470" s="79"/>
      <c r="B470" s="79"/>
      <c r="K470" s="56"/>
      <c r="O470" s="56"/>
    </row>
    <row r="471" spans="1:15" ht="13" x14ac:dyDescent="0.15">
      <c r="A471" s="79"/>
      <c r="B471" s="79"/>
      <c r="K471" s="56"/>
      <c r="O471" s="56"/>
    </row>
    <row r="472" spans="1:15" ht="13" x14ac:dyDescent="0.15">
      <c r="A472" s="79"/>
      <c r="B472" s="79"/>
      <c r="K472" s="56"/>
      <c r="O472" s="56"/>
    </row>
    <row r="473" spans="1:15" ht="13" x14ac:dyDescent="0.15">
      <c r="A473" s="79"/>
      <c r="B473" s="79"/>
      <c r="K473" s="56"/>
      <c r="O473" s="56"/>
    </row>
    <row r="474" spans="1:15" ht="13" x14ac:dyDescent="0.15">
      <c r="A474" s="79"/>
      <c r="B474" s="79"/>
      <c r="K474" s="56"/>
      <c r="O474" s="56"/>
    </row>
    <row r="475" spans="1:15" ht="13" x14ac:dyDescent="0.15">
      <c r="A475" s="79"/>
      <c r="B475" s="79"/>
      <c r="K475" s="56"/>
      <c r="O475" s="56"/>
    </row>
    <row r="476" spans="1:15" ht="13" x14ac:dyDescent="0.15">
      <c r="A476" s="79"/>
      <c r="B476" s="79"/>
      <c r="K476" s="56"/>
      <c r="O476" s="56"/>
    </row>
    <row r="477" spans="1:15" ht="13" x14ac:dyDescent="0.15">
      <c r="A477" s="79"/>
      <c r="B477" s="79"/>
      <c r="K477" s="56"/>
      <c r="O477" s="56"/>
    </row>
    <row r="478" spans="1:15" ht="13" x14ac:dyDescent="0.15">
      <c r="A478" s="79"/>
      <c r="B478" s="79"/>
      <c r="K478" s="56"/>
      <c r="O478" s="56"/>
    </row>
    <row r="479" spans="1:15" ht="13" x14ac:dyDescent="0.15">
      <c r="A479" s="79"/>
      <c r="B479" s="79"/>
      <c r="K479" s="56"/>
      <c r="O479" s="56"/>
    </row>
    <row r="480" spans="1:15" ht="13" x14ac:dyDescent="0.15">
      <c r="A480" s="79"/>
      <c r="B480" s="79"/>
      <c r="K480" s="56"/>
      <c r="O480" s="56"/>
    </row>
    <row r="481" spans="1:15" ht="13" x14ac:dyDescent="0.15">
      <c r="A481" s="79"/>
      <c r="B481" s="79"/>
      <c r="K481" s="56"/>
      <c r="O481" s="56"/>
    </row>
    <row r="482" spans="1:15" ht="13" x14ac:dyDescent="0.15">
      <c r="A482" s="79"/>
      <c r="B482" s="79"/>
      <c r="K482" s="56"/>
      <c r="O482" s="56"/>
    </row>
    <row r="483" spans="1:15" ht="13" x14ac:dyDescent="0.15">
      <c r="A483" s="79"/>
      <c r="B483" s="79"/>
      <c r="K483" s="56"/>
      <c r="O483" s="56"/>
    </row>
    <row r="484" spans="1:15" ht="13" x14ac:dyDescent="0.15">
      <c r="A484" s="79"/>
      <c r="B484" s="79"/>
      <c r="K484" s="56"/>
      <c r="O484" s="56"/>
    </row>
    <row r="485" spans="1:15" ht="13" x14ac:dyDescent="0.15">
      <c r="A485" s="79"/>
      <c r="B485" s="79"/>
      <c r="K485" s="56"/>
      <c r="O485" s="56"/>
    </row>
    <row r="486" spans="1:15" ht="13" x14ac:dyDescent="0.15">
      <c r="A486" s="79"/>
      <c r="B486" s="79"/>
      <c r="K486" s="56"/>
      <c r="O486" s="56"/>
    </row>
    <row r="487" spans="1:15" ht="13" x14ac:dyDescent="0.15">
      <c r="A487" s="79"/>
      <c r="B487" s="79"/>
      <c r="K487" s="56"/>
      <c r="O487" s="56"/>
    </row>
    <row r="488" spans="1:15" ht="13" x14ac:dyDescent="0.15">
      <c r="A488" s="79"/>
      <c r="B488" s="79"/>
      <c r="K488" s="56"/>
      <c r="O488" s="56"/>
    </row>
    <row r="489" spans="1:15" ht="13" x14ac:dyDescent="0.15">
      <c r="A489" s="79"/>
      <c r="B489" s="79"/>
      <c r="K489" s="56"/>
      <c r="O489" s="56"/>
    </row>
    <row r="490" spans="1:15" ht="13" x14ac:dyDescent="0.15">
      <c r="A490" s="79"/>
      <c r="B490" s="79"/>
      <c r="K490" s="56"/>
      <c r="O490" s="56"/>
    </row>
    <row r="491" spans="1:15" ht="13" x14ac:dyDescent="0.15">
      <c r="A491" s="79"/>
      <c r="B491" s="79"/>
      <c r="K491" s="56"/>
      <c r="O491" s="56"/>
    </row>
    <row r="492" spans="1:15" ht="13" x14ac:dyDescent="0.15">
      <c r="A492" s="79"/>
      <c r="B492" s="79"/>
      <c r="K492" s="56"/>
      <c r="O492" s="56"/>
    </row>
    <row r="493" spans="1:15" ht="13" x14ac:dyDescent="0.15">
      <c r="A493" s="79"/>
      <c r="B493" s="79"/>
      <c r="K493" s="56"/>
      <c r="O493" s="56"/>
    </row>
    <row r="494" spans="1:15" ht="13" x14ac:dyDescent="0.15">
      <c r="A494" s="79"/>
      <c r="B494" s="79"/>
      <c r="K494" s="56"/>
      <c r="O494" s="56"/>
    </row>
    <row r="495" spans="1:15" ht="13" x14ac:dyDescent="0.15">
      <c r="A495" s="79"/>
      <c r="B495" s="79"/>
      <c r="K495" s="56"/>
      <c r="O495" s="56"/>
    </row>
    <row r="496" spans="1:15" ht="13" x14ac:dyDescent="0.15">
      <c r="A496" s="79"/>
      <c r="B496" s="79"/>
      <c r="K496" s="56"/>
      <c r="O496" s="56"/>
    </row>
    <row r="497" spans="1:15" ht="13" x14ac:dyDescent="0.15">
      <c r="A497" s="79"/>
      <c r="B497" s="79"/>
      <c r="K497" s="56"/>
      <c r="O497" s="56"/>
    </row>
    <row r="498" spans="1:15" ht="13" x14ac:dyDescent="0.15">
      <c r="A498" s="79"/>
      <c r="B498" s="79"/>
      <c r="K498" s="56"/>
      <c r="O498" s="56"/>
    </row>
    <row r="499" spans="1:15" ht="13" x14ac:dyDescent="0.15">
      <c r="A499" s="79"/>
      <c r="B499" s="79"/>
      <c r="K499" s="56"/>
      <c r="O499" s="56"/>
    </row>
    <row r="500" spans="1:15" ht="13" x14ac:dyDescent="0.15">
      <c r="A500" s="79"/>
      <c r="B500" s="79"/>
      <c r="K500" s="56"/>
      <c r="O500" s="56"/>
    </row>
    <row r="501" spans="1:15" ht="13" x14ac:dyDescent="0.15">
      <c r="A501" s="79"/>
      <c r="B501" s="79"/>
      <c r="K501" s="56"/>
      <c r="O501" s="56"/>
    </row>
    <row r="502" spans="1:15" ht="13" x14ac:dyDescent="0.15">
      <c r="A502" s="79"/>
      <c r="B502" s="79"/>
      <c r="K502" s="56"/>
      <c r="O502" s="56"/>
    </row>
    <row r="503" spans="1:15" ht="13" x14ac:dyDescent="0.15">
      <c r="A503" s="79"/>
      <c r="B503" s="79"/>
      <c r="K503" s="56"/>
      <c r="O503" s="56"/>
    </row>
    <row r="504" spans="1:15" ht="13" x14ac:dyDescent="0.15">
      <c r="A504" s="79"/>
      <c r="B504" s="79"/>
      <c r="K504" s="56"/>
      <c r="O504" s="56"/>
    </row>
    <row r="505" spans="1:15" ht="13" x14ac:dyDescent="0.15">
      <c r="A505" s="79"/>
      <c r="B505" s="79"/>
      <c r="K505" s="56"/>
      <c r="O505" s="56"/>
    </row>
    <row r="506" spans="1:15" ht="13" x14ac:dyDescent="0.15">
      <c r="A506" s="79"/>
      <c r="B506" s="79"/>
      <c r="K506" s="56"/>
      <c r="O506" s="56"/>
    </row>
    <row r="507" spans="1:15" ht="13" x14ac:dyDescent="0.15">
      <c r="A507" s="79"/>
      <c r="B507" s="79"/>
      <c r="K507" s="56"/>
      <c r="O507" s="56"/>
    </row>
    <row r="508" spans="1:15" ht="13" x14ac:dyDescent="0.15">
      <c r="A508" s="79"/>
      <c r="B508" s="79"/>
      <c r="K508" s="56"/>
      <c r="O508" s="56"/>
    </row>
    <row r="509" spans="1:15" ht="13" x14ac:dyDescent="0.15">
      <c r="A509" s="79"/>
      <c r="B509" s="79"/>
      <c r="K509" s="56"/>
      <c r="O509" s="56"/>
    </row>
    <row r="510" spans="1:15" ht="13" x14ac:dyDescent="0.15">
      <c r="A510" s="79"/>
      <c r="B510" s="79"/>
      <c r="K510" s="56"/>
      <c r="O510" s="56"/>
    </row>
    <row r="511" spans="1:15" ht="13" x14ac:dyDescent="0.15">
      <c r="A511" s="79"/>
      <c r="B511" s="79"/>
      <c r="K511" s="56"/>
      <c r="O511" s="56"/>
    </row>
    <row r="512" spans="1:15" ht="13" x14ac:dyDescent="0.15">
      <c r="A512" s="79"/>
      <c r="B512" s="79"/>
      <c r="K512" s="56"/>
      <c r="O512" s="56"/>
    </row>
    <row r="513" spans="1:15" ht="13" x14ac:dyDescent="0.15">
      <c r="A513" s="79"/>
      <c r="B513" s="79"/>
      <c r="K513" s="56"/>
      <c r="O513" s="56"/>
    </row>
    <row r="514" spans="1:15" ht="13" x14ac:dyDescent="0.15">
      <c r="A514" s="79"/>
      <c r="B514" s="79"/>
      <c r="K514" s="56"/>
      <c r="O514" s="56"/>
    </row>
    <row r="515" spans="1:15" ht="13" x14ac:dyDescent="0.15">
      <c r="A515" s="79"/>
      <c r="B515" s="79"/>
      <c r="K515" s="56"/>
      <c r="O515" s="56"/>
    </row>
    <row r="516" spans="1:15" ht="13" x14ac:dyDescent="0.15">
      <c r="A516" s="79"/>
      <c r="B516" s="79"/>
      <c r="K516" s="56"/>
      <c r="O516" s="56"/>
    </row>
    <row r="517" spans="1:15" ht="13" x14ac:dyDescent="0.15">
      <c r="A517" s="79"/>
      <c r="B517" s="79"/>
      <c r="K517" s="56"/>
      <c r="O517" s="56"/>
    </row>
    <row r="518" spans="1:15" ht="13" x14ac:dyDescent="0.15">
      <c r="A518" s="79"/>
      <c r="B518" s="79"/>
      <c r="K518" s="56"/>
      <c r="O518" s="56"/>
    </row>
    <row r="519" spans="1:15" ht="13" x14ac:dyDescent="0.15">
      <c r="A519" s="79"/>
      <c r="B519" s="79"/>
      <c r="K519" s="56"/>
      <c r="O519" s="56"/>
    </row>
    <row r="520" spans="1:15" ht="13" x14ac:dyDescent="0.15">
      <c r="A520" s="79"/>
      <c r="B520" s="79"/>
      <c r="K520" s="56"/>
      <c r="O520" s="56"/>
    </row>
    <row r="521" spans="1:15" ht="13" x14ac:dyDescent="0.15">
      <c r="A521" s="79"/>
      <c r="B521" s="79"/>
      <c r="K521" s="56"/>
      <c r="O521" s="56"/>
    </row>
    <row r="522" spans="1:15" ht="13" x14ac:dyDescent="0.15">
      <c r="A522" s="79"/>
      <c r="B522" s="79"/>
      <c r="K522" s="56"/>
      <c r="O522" s="56"/>
    </row>
    <row r="523" spans="1:15" ht="13" x14ac:dyDescent="0.15">
      <c r="A523" s="79"/>
      <c r="B523" s="79"/>
      <c r="K523" s="56"/>
      <c r="O523" s="56"/>
    </row>
    <row r="524" spans="1:15" ht="13" x14ac:dyDescent="0.15">
      <c r="A524" s="79"/>
      <c r="B524" s="79"/>
      <c r="K524" s="56"/>
      <c r="O524" s="56"/>
    </row>
    <row r="525" spans="1:15" ht="13" x14ac:dyDescent="0.15">
      <c r="A525" s="79"/>
      <c r="B525" s="79"/>
      <c r="K525" s="56"/>
      <c r="O525" s="56"/>
    </row>
    <row r="526" spans="1:15" ht="13" x14ac:dyDescent="0.15">
      <c r="A526" s="79"/>
      <c r="B526" s="79"/>
      <c r="K526" s="56"/>
      <c r="O526" s="56"/>
    </row>
    <row r="527" spans="1:15" ht="13" x14ac:dyDescent="0.15">
      <c r="A527" s="79"/>
      <c r="B527" s="79"/>
      <c r="K527" s="56"/>
      <c r="O527" s="56"/>
    </row>
    <row r="528" spans="1:15" ht="13" x14ac:dyDescent="0.15">
      <c r="A528" s="79"/>
      <c r="B528" s="79"/>
      <c r="K528" s="56"/>
      <c r="O528" s="56"/>
    </row>
    <row r="529" spans="1:15" ht="13" x14ac:dyDescent="0.15">
      <c r="A529" s="79"/>
      <c r="B529" s="79"/>
      <c r="K529" s="56"/>
      <c r="O529" s="56"/>
    </row>
    <row r="530" spans="1:15" ht="13" x14ac:dyDescent="0.15">
      <c r="A530" s="79"/>
      <c r="B530" s="79"/>
      <c r="K530" s="56"/>
      <c r="O530" s="56"/>
    </row>
    <row r="531" spans="1:15" ht="13" x14ac:dyDescent="0.15">
      <c r="A531" s="79"/>
      <c r="B531" s="79"/>
      <c r="K531" s="56"/>
      <c r="O531" s="56"/>
    </row>
    <row r="532" spans="1:15" ht="13" x14ac:dyDescent="0.15">
      <c r="A532" s="79"/>
      <c r="B532" s="79"/>
      <c r="K532" s="56"/>
      <c r="O532" s="56"/>
    </row>
    <row r="533" spans="1:15" ht="13" x14ac:dyDescent="0.15">
      <c r="A533" s="79"/>
      <c r="B533" s="79"/>
      <c r="K533" s="56"/>
      <c r="O533" s="56"/>
    </row>
    <row r="534" spans="1:15" ht="13" x14ac:dyDescent="0.15">
      <c r="A534" s="79"/>
      <c r="B534" s="79"/>
      <c r="K534" s="56"/>
      <c r="O534" s="56"/>
    </row>
    <row r="535" spans="1:15" ht="13" x14ac:dyDescent="0.15">
      <c r="A535" s="79"/>
      <c r="B535" s="79"/>
      <c r="K535" s="56"/>
      <c r="O535" s="56"/>
    </row>
    <row r="536" spans="1:15" ht="13" x14ac:dyDescent="0.15">
      <c r="A536" s="79"/>
      <c r="B536" s="79"/>
      <c r="K536" s="56"/>
      <c r="O536" s="56"/>
    </row>
    <row r="537" spans="1:15" ht="13" x14ac:dyDescent="0.15">
      <c r="A537" s="79"/>
      <c r="B537" s="79"/>
      <c r="K537" s="56"/>
      <c r="O537" s="56"/>
    </row>
    <row r="538" spans="1:15" ht="13" x14ac:dyDescent="0.15">
      <c r="A538" s="79"/>
      <c r="B538" s="79"/>
      <c r="K538" s="56"/>
      <c r="O538" s="56"/>
    </row>
    <row r="539" spans="1:15" ht="13" x14ac:dyDescent="0.15">
      <c r="A539" s="79"/>
      <c r="B539" s="79"/>
      <c r="K539" s="56"/>
      <c r="O539" s="56"/>
    </row>
    <row r="540" spans="1:15" ht="13" x14ac:dyDescent="0.15">
      <c r="A540" s="79"/>
      <c r="B540" s="79"/>
      <c r="K540" s="56"/>
      <c r="O540" s="56"/>
    </row>
    <row r="541" spans="1:15" ht="13" x14ac:dyDescent="0.15">
      <c r="A541" s="79"/>
      <c r="B541" s="79"/>
      <c r="K541" s="56"/>
      <c r="O541" s="56"/>
    </row>
    <row r="542" spans="1:15" ht="13" x14ac:dyDescent="0.15">
      <c r="A542" s="79"/>
      <c r="B542" s="79"/>
      <c r="K542" s="56"/>
      <c r="O542" s="56"/>
    </row>
    <row r="543" spans="1:15" ht="13" x14ac:dyDescent="0.15">
      <c r="A543" s="79"/>
      <c r="B543" s="79"/>
      <c r="K543" s="56"/>
      <c r="O543" s="56"/>
    </row>
    <row r="544" spans="1:15" ht="13" x14ac:dyDescent="0.15">
      <c r="A544" s="79"/>
      <c r="B544" s="79"/>
      <c r="K544" s="56"/>
      <c r="O544" s="56"/>
    </row>
    <row r="545" spans="1:15" ht="13" x14ac:dyDescent="0.15">
      <c r="A545" s="79"/>
      <c r="B545" s="79"/>
      <c r="K545" s="56"/>
      <c r="O545" s="56"/>
    </row>
    <row r="546" spans="1:15" ht="13" x14ac:dyDescent="0.15">
      <c r="A546" s="79"/>
      <c r="B546" s="79"/>
      <c r="K546" s="56"/>
      <c r="O546" s="56"/>
    </row>
    <row r="547" spans="1:15" ht="13" x14ac:dyDescent="0.15">
      <c r="A547" s="79"/>
      <c r="B547" s="79"/>
      <c r="K547" s="56"/>
      <c r="O547" s="56"/>
    </row>
    <row r="548" spans="1:15" ht="13" x14ac:dyDescent="0.15">
      <c r="A548" s="79"/>
      <c r="B548" s="79"/>
      <c r="K548" s="56"/>
      <c r="O548" s="56"/>
    </row>
    <row r="549" spans="1:15" ht="13" x14ac:dyDescent="0.15">
      <c r="A549" s="79"/>
      <c r="B549" s="79"/>
      <c r="K549" s="56"/>
      <c r="O549" s="56"/>
    </row>
    <row r="550" spans="1:15" ht="13" x14ac:dyDescent="0.15">
      <c r="A550" s="79"/>
      <c r="B550" s="79"/>
      <c r="K550" s="56"/>
      <c r="O550" s="56"/>
    </row>
    <row r="551" spans="1:15" ht="13" x14ac:dyDescent="0.15">
      <c r="A551" s="79"/>
      <c r="B551" s="79"/>
      <c r="K551" s="56"/>
      <c r="O551" s="56"/>
    </row>
    <row r="552" spans="1:15" ht="13" x14ac:dyDescent="0.15">
      <c r="A552" s="79"/>
      <c r="B552" s="79"/>
      <c r="K552" s="56"/>
      <c r="O552" s="56"/>
    </row>
    <row r="553" spans="1:15" ht="13" x14ac:dyDescent="0.15">
      <c r="A553" s="79"/>
      <c r="B553" s="79"/>
      <c r="K553" s="56"/>
      <c r="O553" s="56"/>
    </row>
    <row r="554" spans="1:15" ht="13" x14ac:dyDescent="0.15">
      <c r="A554" s="79"/>
      <c r="B554" s="79"/>
      <c r="K554" s="56"/>
      <c r="O554" s="56"/>
    </row>
    <row r="555" spans="1:15" ht="13" x14ac:dyDescent="0.15">
      <c r="A555" s="79"/>
      <c r="B555" s="79"/>
      <c r="K555" s="56"/>
      <c r="O555" s="56"/>
    </row>
    <row r="556" spans="1:15" ht="13" x14ac:dyDescent="0.15">
      <c r="A556" s="79"/>
      <c r="B556" s="79"/>
      <c r="K556" s="56"/>
      <c r="O556" s="56"/>
    </row>
    <row r="557" spans="1:15" ht="13" x14ac:dyDescent="0.15">
      <c r="A557" s="79"/>
      <c r="B557" s="79"/>
      <c r="K557" s="56"/>
      <c r="O557" s="56"/>
    </row>
    <row r="558" spans="1:15" ht="13" x14ac:dyDescent="0.15">
      <c r="A558" s="79"/>
      <c r="B558" s="79"/>
      <c r="K558" s="56"/>
      <c r="O558" s="56"/>
    </row>
    <row r="559" spans="1:15" ht="13" x14ac:dyDescent="0.15">
      <c r="A559" s="79"/>
      <c r="B559" s="79"/>
      <c r="K559" s="56"/>
      <c r="O559" s="56"/>
    </row>
    <row r="560" spans="1:15" ht="13" x14ac:dyDescent="0.15">
      <c r="A560" s="79"/>
      <c r="B560" s="79"/>
      <c r="K560" s="56"/>
      <c r="O560" s="56"/>
    </row>
    <row r="561" spans="1:15" ht="13" x14ac:dyDescent="0.15">
      <c r="A561" s="79"/>
      <c r="B561" s="79"/>
      <c r="K561" s="56"/>
      <c r="O561" s="56"/>
    </row>
    <row r="562" spans="1:15" ht="13" x14ac:dyDescent="0.15">
      <c r="A562" s="79"/>
      <c r="B562" s="79"/>
      <c r="K562" s="56"/>
      <c r="O562" s="56"/>
    </row>
    <row r="563" spans="1:15" ht="13" x14ac:dyDescent="0.15">
      <c r="A563" s="79"/>
      <c r="B563" s="79"/>
      <c r="K563" s="56"/>
      <c r="O563" s="56"/>
    </row>
    <row r="564" spans="1:15" ht="13" x14ac:dyDescent="0.15">
      <c r="A564" s="79"/>
      <c r="B564" s="79"/>
      <c r="K564" s="56"/>
      <c r="O564" s="56"/>
    </row>
    <row r="565" spans="1:15" ht="13" x14ac:dyDescent="0.15">
      <c r="A565" s="79"/>
      <c r="B565" s="79"/>
      <c r="K565" s="56"/>
      <c r="O565" s="56"/>
    </row>
    <row r="566" spans="1:15" ht="13" x14ac:dyDescent="0.15">
      <c r="A566" s="79"/>
      <c r="B566" s="79"/>
      <c r="K566" s="56"/>
      <c r="O566" s="56"/>
    </row>
    <row r="567" spans="1:15" ht="13" x14ac:dyDescent="0.15">
      <c r="A567" s="79"/>
      <c r="B567" s="79"/>
      <c r="K567" s="56"/>
      <c r="O567" s="56"/>
    </row>
    <row r="568" spans="1:15" ht="13" x14ac:dyDescent="0.15">
      <c r="A568" s="79"/>
      <c r="B568" s="79"/>
      <c r="K568" s="56"/>
      <c r="O568" s="56"/>
    </row>
    <row r="569" spans="1:15" ht="13" x14ac:dyDescent="0.15">
      <c r="A569" s="79"/>
      <c r="B569" s="79"/>
      <c r="K569" s="56"/>
      <c r="O569" s="56"/>
    </row>
    <row r="570" spans="1:15" ht="13" x14ac:dyDescent="0.15">
      <c r="A570" s="79"/>
      <c r="B570" s="79"/>
      <c r="K570" s="56"/>
      <c r="O570" s="56"/>
    </row>
    <row r="571" spans="1:15" ht="13" x14ac:dyDescent="0.15">
      <c r="A571" s="79"/>
      <c r="B571" s="79"/>
      <c r="K571" s="56"/>
      <c r="O571" s="56"/>
    </row>
    <row r="572" spans="1:15" ht="13" x14ac:dyDescent="0.15">
      <c r="A572" s="79"/>
      <c r="B572" s="79"/>
      <c r="K572" s="56"/>
      <c r="O572" s="56"/>
    </row>
    <row r="573" spans="1:15" ht="13" x14ac:dyDescent="0.15">
      <c r="A573" s="79"/>
      <c r="B573" s="79"/>
      <c r="K573" s="56"/>
      <c r="O573" s="56"/>
    </row>
    <row r="574" spans="1:15" ht="13" x14ac:dyDescent="0.15">
      <c r="A574" s="79"/>
      <c r="B574" s="79"/>
      <c r="K574" s="56"/>
      <c r="O574" s="56"/>
    </row>
    <row r="575" spans="1:15" ht="13" x14ac:dyDescent="0.15">
      <c r="A575" s="79"/>
      <c r="B575" s="79"/>
      <c r="K575" s="56"/>
      <c r="O575" s="56"/>
    </row>
    <row r="576" spans="1:15" ht="13" x14ac:dyDescent="0.15">
      <c r="A576" s="79"/>
      <c r="B576" s="79"/>
      <c r="K576" s="56"/>
      <c r="O576" s="56"/>
    </row>
    <row r="577" spans="1:15" ht="13" x14ac:dyDescent="0.15">
      <c r="A577" s="79"/>
      <c r="B577" s="79"/>
      <c r="K577" s="56"/>
      <c r="O577" s="56"/>
    </row>
    <row r="578" spans="1:15" ht="13" x14ac:dyDescent="0.15">
      <c r="A578" s="79"/>
      <c r="B578" s="79"/>
      <c r="K578" s="56"/>
      <c r="O578" s="56"/>
    </row>
    <row r="579" spans="1:15" ht="13" x14ac:dyDescent="0.15">
      <c r="A579" s="79"/>
      <c r="B579" s="79"/>
      <c r="K579" s="56"/>
      <c r="O579" s="56"/>
    </row>
    <row r="580" spans="1:15" ht="13" x14ac:dyDescent="0.15">
      <c r="A580" s="79"/>
      <c r="B580" s="79"/>
      <c r="K580" s="56"/>
      <c r="O580" s="56"/>
    </row>
    <row r="581" spans="1:15" ht="13" x14ac:dyDescent="0.15">
      <c r="A581" s="79"/>
      <c r="B581" s="79"/>
      <c r="K581" s="56"/>
      <c r="O581" s="56"/>
    </row>
    <row r="582" spans="1:15" ht="13" x14ac:dyDescent="0.15">
      <c r="A582" s="79"/>
      <c r="B582" s="79"/>
      <c r="K582" s="56"/>
      <c r="O582" s="56"/>
    </row>
    <row r="583" spans="1:15" ht="13" x14ac:dyDescent="0.15">
      <c r="A583" s="79"/>
      <c r="B583" s="79"/>
      <c r="K583" s="56"/>
      <c r="O583" s="56"/>
    </row>
    <row r="584" spans="1:15" ht="13" x14ac:dyDescent="0.15">
      <c r="A584" s="79"/>
      <c r="B584" s="79"/>
      <c r="K584" s="56"/>
      <c r="O584" s="56"/>
    </row>
    <row r="585" spans="1:15" ht="13" x14ac:dyDescent="0.15">
      <c r="A585" s="79"/>
      <c r="B585" s="79"/>
      <c r="K585" s="56"/>
      <c r="O585" s="56"/>
    </row>
    <row r="586" spans="1:15" ht="13" x14ac:dyDescent="0.15">
      <c r="A586" s="79"/>
      <c r="B586" s="79"/>
      <c r="K586" s="56"/>
      <c r="O586" s="56"/>
    </row>
    <row r="587" spans="1:15" ht="13" x14ac:dyDescent="0.15">
      <c r="A587" s="79"/>
      <c r="B587" s="79"/>
      <c r="K587" s="56"/>
      <c r="O587" s="56"/>
    </row>
    <row r="588" spans="1:15" ht="13" x14ac:dyDescent="0.15">
      <c r="A588" s="79"/>
      <c r="B588" s="79"/>
      <c r="K588" s="56"/>
      <c r="O588" s="56"/>
    </row>
    <row r="589" spans="1:15" ht="13" x14ac:dyDescent="0.15">
      <c r="A589" s="79"/>
      <c r="B589" s="79"/>
      <c r="K589" s="56"/>
      <c r="O589" s="56"/>
    </row>
    <row r="590" spans="1:15" ht="13" x14ac:dyDescent="0.15">
      <c r="A590" s="79"/>
      <c r="B590" s="79"/>
      <c r="K590" s="56"/>
      <c r="O590" s="56"/>
    </row>
    <row r="591" spans="1:15" ht="13" x14ac:dyDescent="0.15">
      <c r="A591" s="79"/>
      <c r="B591" s="79"/>
      <c r="K591" s="56"/>
      <c r="O591" s="56"/>
    </row>
    <row r="592" spans="1:15" ht="13" x14ac:dyDescent="0.15">
      <c r="A592" s="79"/>
      <c r="B592" s="79"/>
      <c r="K592" s="56"/>
      <c r="O592" s="56"/>
    </row>
    <row r="593" spans="1:15" ht="13" x14ac:dyDescent="0.15">
      <c r="A593" s="79"/>
      <c r="B593" s="79"/>
      <c r="K593" s="56"/>
      <c r="O593" s="56"/>
    </row>
    <row r="594" spans="1:15" ht="13" x14ac:dyDescent="0.15">
      <c r="A594" s="79"/>
      <c r="B594" s="79"/>
      <c r="K594" s="56"/>
      <c r="O594" s="56"/>
    </row>
    <row r="595" spans="1:15" ht="13" x14ac:dyDescent="0.15">
      <c r="A595" s="79"/>
      <c r="B595" s="79"/>
      <c r="K595" s="56"/>
      <c r="O595" s="56"/>
    </row>
    <row r="596" spans="1:15" ht="13" x14ac:dyDescent="0.15">
      <c r="A596" s="79"/>
      <c r="B596" s="79"/>
      <c r="K596" s="56"/>
      <c r="O596" s="56"/>
    </row>
    <row r="597" spans="1:15" ht="13" x14ac:dyDescent="0.15">
      <c r="A597" s="79"/>
      <c r="B597" s="79"/>
      <c r="K597" s="56"/>
      <c r="O597" s="56"/>
    </row>
    <row r="598" spans="1:15" ht="13" x14ac:dyDescent="0.15">
      <c r="A598" s="79"/>
      <c r="B598" s="79"/>
      <c r="K598" s="56"/>
      <c r="O598" s="56"/>
    </row>
    <row r="599" spans="1:15" ht="13" x14ac:dyDescent="0.15">
      <c r="A599" s="79"/>
      <c r="B599" s="79"/>
      <c r="K599" s="56"/>
      <c r="O599" s="56"/>
    </row>
    <row r="600" spans="1:15" ht="13" x14ac:dyDescent="0.15">
      <c r="A600" s="79"/>
      <c r="B600" s="79"/>
      <c r="K600" s="56"/>
      <c r="O600" s="56"/>
    </row>
    <row r="601" spans="1:15" ht="13" x14ac:dyDescent="0.15">
      <c r="A601" s="79"/>
      <c r="B601" s="79"/>
      <c r="K601" s="56"/>
      <c r="O601" s="56"/>
    </row>
    <row r="602" spans="1:15" ht="13" x14ac:dyDescent="0.15">
      <c r="A602" s="79"/>
      <c r="B602" s="79"/>
      <c r="K602" s="56"/>
      <c r="O602" s="56"/>
    </row>
    <row r="603" spans="1:15" ht="13" x14ac:dyDescent="0.15">
      <c r="A603" s="79"/>
      <c r="B603" s="79"/>
      <c r="K603" s="56"/>
      <c r="O603" s="56"/>
    </row>
    <row r="604" spans="1:15" ht="13" x14ac:dyDescent="0.15">
      <c r="A604" s="79"/>
      <c r="B604" s="79"/>
      <c r="K604" s="56"/>
      <c r="O604" s="56"/>
    </row>
    <row r="605" spans="1:15" ht="13" x14ac:dyDescent="0.15">
      <c r="A605" s="79"/>
      <c r="B605" s="79"/>
      <c r="K605" s="56"/>
      <c r="O605" s="56"/>
    </row>
    <row r="606" spans="1:15" ht="13" x14ac:dyDescent="0.15">
      <c r="A606" s="79"/>
      <c r="B606" s="79"/>
      <c r="K606" s="56"/>
      <c r="O606" s="56"/>
    </row>
    <row r="607" spans="1:15" ht="13" x14ac:dyDescent="0.15">
      <c r="A607" s="79"/>
      <c r="B607" s="79"/>
      <c r="K607" s="56"/>
      <c r="O607" s="56"/>
    </row>
    <row r="608" spans="1:15" ht="13" x14ac:dyDescent="0.15">
      <c r="A608" s="79"/>
      <c r="B608" s="79"/>
      <c r="K608" s="56"/>
      <c r="O608" s="56"/>
    </row>
    <row r="609" spans="1:15" ht="13" x14ac:dyDescent="0.15">
      <c r="A609" s="79"/>
      <c r="B609" s="79"/>
      <c r="K609" s="56"/>
      <c r="O609" s="56"/>
    </row>
    <row r="610" spans="1:15" ht="13" x14ac:dyDescent="0.15">
      <c r="A610" s="79"/>
      <c r="B610" s="79"/>
      <c r="K610" s="56"/>
      <c r="O610" s="56"/>
    </row>
    <row r="611" spans="1:15" ht="13" x14ac:dyDescent="0.15">
      <c r="A611" s="79"/>
      <c r="B611" s="79"/>
      <c r="K611" s="56"/>
      <c r="O611" s="56"/>
    </row>
    <row r="612" spans="1:15" ht="13" x14ac:dyDescent="0.15">
      <c r="A612" s="79"/>
      <c r="B612" s="79"/>
      <c r="K612" s="56"/>
      <c r="O612" s="56"/>
    </row>
    <row r="613" spans="1:15" ht="13" x14ac:dyDescent="0.15">
      <c r="A613" s="79"/>
      <c r="B613" s="79"/>
      <c r="K613" s="56"/>
      <c r="O613" s="56"/>
    </row>
    <row r="614" spans="1:15" ht="13" x14ac:dyDescent="0.15">
      <c r="A614" s="79"/>
      <c r="B614" s="79"/>
      <c r="K614" s="56"/>
      <c r="O614" s="56"/>
    </row>
    <row r="615" spans="1:15" ht="13" x14ac:dyDescent="0.15">
      <c r="A615" s="79"/>
      <c r="B615" s="79"/>
      <c r="K615" s="56"/>
      <c r="O615" s="56"/>
    </row>
    <row r="616" spans="1:15" ht="13" x14ac:dyDescent="0.15">
      <c r="A616" s="79"/>
      <c r="B616" s="79"/>
      <c r="K616" s="56"/>
      <c r="O616" s="56"/>
    </row>
    <row r="617" spans="1:15" ht="13" x14ac:dyDescent="0.15">
      <c r="A617" s="79"/>
      <c r="B617" s="79"/>
      <c r="K617" s="56"/>
      <c r="O617" s="56"/>
    </row>
    <row r="618" spans="1:15" ht="13" x14ac:dyDescent="0.15">
      <c r="A618" s="79"/>
      <c r="B618" s="79"/>
      <c r="K618" s="56"/>
      <c r="O618" s="56"/>
    </row>
    <row r="619" spans="1:15" ht="13" x14ac:dyDescent="0.15">
      <c r="A619" s="79"/>
      <c r="B619" s="79"/>
      <c r="K619" s="56"/>
      <c r="O619" s="56"/>
    </row>
    <row r="620" spans="1:15" ht="13" x14ac:dyDescent="0.15">
      <c r="A620" s="79"/>
      <c r="B620" s="79"/>
      <c r="K620" s="56"/>
      <c r="O620" s="56"/>
    </row>
    <row r="621" spans="1:15" ht="13" x14ac:dyDescent="0.15">
      <c r="A621" s="79"/>
      <c r="B621" s="79"/>
      <c r="K621" s="56"/>
      <c r="O621" s="56"/>
    </row>
    <row r="622" spans="1:15" ht="13" x14ac:dyDescent="0.15">
      <c r="A622" s="79"/>
      <c r="B622" s="79"/>
      <c r="K622" s="56"/>
      <c r="O622" s="56"/>
    </row>
    <row r="623" spans="1:15" ht="13" x14ac:dyDescent="0.15">
      <c r="A623" s="79"/>
      <c r="B623" s="79"/>
      <c r="K623" s="56"/>
      <c r="O623" s="56"/>
    </row>
    <row r="624" spans="1:15" ht="13" x14ac:dyDescent="0.15">
      <c r="A624" s="79"/>
      <c r="B624" s="79"/>
      <c r="K624" s="56"/>
      <c r="O624" s="56"/>
    </row>
    <row r="625" spans="1:15" ht="13" x14ac:dyDescent="0.15">
      <c r="A625" s="79"/>
      <c r="B625" s="79"/>
      <c r="K625" s="56"/>
      <c r="O625" s="56"/>
    </row>
    <row r="626" spans="1:15" ht="13" x14ac:dyDescent="0.15">
      <c r="A626" s="79"/>
      <c r="B626" s="79"/>
      <c r="K626" s="56"/>
      <c r="O626" s="56"/>
    </row>
    <row r="627" spans="1:15" ht="13" x14ac:dyDescent="0.15">
      <c r="A627" s="79"/>
      <c r="B627" s="79"/>
      <c r="K627" s="56"/>
      <c r="O627" s="56"/>
    </row>
    <row r="628" spans="1:15" ht="13" x14ac:dyDescent="0.15">
      <c r="A628" s="79"/>
      <c r="B628" s="79"/>
      <c r="K628" s="56"/>
      <c r="O628" s="56"/>
    </row>
    <row r="629" spans="1:15" ht="13" x14ac:dyDescent="0.15">
      <c r="A629" s="79"/>
      <c r="B629" s="79"/>
      <c r="K629" s="56"/>
      <c r="O629" s="56"/>
    </row>
    <row r="630" spans="1:15" ht="13" x14ac:dyDescent="0.15">
      <c r="A630" s="79"/>
      <c r="B630" s="79"/>
      <c r="K630" s="56"/>
      <c r="O630" s="56"/>
    </row>
    <row r="631" spans="1:15" ht="13" x14ac:dyDescent="0.15">
      <c r="A631" s="79"/>
      <c r="B631" s="79"/>
      <c r="K631" s="56"/>
      <c r="O631" s="56"/>
    </row>
    <row r="632" spans="1:15" ht="13" x14ac:dyDescent="0.15">
      <c r="A632" s="79"/>
      <c r="B632" s="79"/>
      <c r="K632" s="56"/>
      <c r="O632" s="56"/>
    </row>
    <row r="633" spans="1:15" ht="13" x14ac:dyDescent="0.15">
      <c r="A633" s="79"/>
      <c r="B633" s="79"/>
      <c r="K633" s="56"/>
      <c r="O633" s="56"/>
    </row>
    <row r="634" spans="1:15" ht="13" x14ac:dyDescent="0.15">
      <c r="A634" s="79"/>
      <c r="B634" s="79"/>
      <c r="K634" s="56"/>
      <c r="O634" s="56"/>
    </row>
    <row r="635" spans="1:15" ht="13" x14ac:dyDescent="0.15">
      <c r="A635" s="79"/>
      <c r="B635" s="79"/>
      <c r="K635" s="56"/>
      <c r="O635" s="56"/>
    </row>
    <row r="636" spans="1:15" ht="13" x14ac:dyDescent="0.15">
      <c r="A636" s="79"/>
      <c r="B636" s="79"/>
      <c r="K636" s="56"/>
      <c r="O636" s="56"/>
    </row>
    <row r="637" spans="1:15" ht="13" x14ac:dyDescent="0.15">
      <c r="A637" s="79"/>
      <c r="B637" s="79"/>
      <c r="K637" s="56"/>
      <c r="O637" s="56"/>
    </row>
    <row r="638" spans="1:15" ht="13" x14ac:dyDescent="0.15">
      <c r="A638" s="79"/>
      <c r="B638" s="79"/>
      <c r="K638" s="56"/>
      <c r="O638" s="56"/>
    </row>
    <row r="639" spans="1:15" ht="13" x14ac:dyDescent="0.15">
      <c r="A639" s="79"/>
      <c r="B639" s="79"/>
      <c r="K639" s="56"/>
      <c r="O639" s="56"/>
    </row>
    <row r="640" spans="1:15" ht="13" x14ac:dyDescent="0.15">
      <c r="A640" s="79"/>
      <c r="B640" s="79"/>
      <c r="K640" s="56"/>
      <c r="O640" s="56"/>
    </row>
    <row r="641" spans="1:15" ht="13" x14ac:dyDescent="0.15">
      <c r="A641" s="79"/>
      <c r="B641" s="79"/>
      <c r="K641" s="56"/>
      <c r="O641" s="56"/>
    </row>
    <row r="642" spans="1:15" ht="13" x14ac:dyDescent="0.15">
      <c r="A642" s="79"/>
      <c r="B642" s="79"/>
      <c r="K642" s="56"/>
      <c r="O642" s="56"/>
    </row>
    <row r="643" spans="1:15" ht="13" x14ac:dyDescent="0.15">
      <c r="A643" s="79"/>
      <c r="B643" s="79"/>
      <c r="K643" s="56"/>
      <c r="O643" s="56"/>
    </row>
    <row r="644" spans="1:15" ht="13" x14ac:dyDescent="0.15">
      <c r="A644" s="79"/>
      <c r="B644" s="79"/>
      <c r="K644" s="56"/>
      <c r="O644" s="56"/>
    </row>
    <row r="645" spans="1:15" ht="13" x14ac:dyDescent="0.15">
      <c r="A645" s="79"/>
      <c r="B645" s="79"/>
      <c r="K645" s="56"/>
      <c r="O645" s="56"/>
    </row>
    <row r="646" spans="1:15" ht="13" x14ac:dyDescent="0.15">
      <c r="A646" s="79"/>
      <c r="B646" s="79"/>
      <c r="K646" s="56"/>
      <c r="O646" s="56"/>
    </row>
    <row r="647" spans="1:15" ht="13" x14ac:dyDescent="0.15">
      <c r="A647" s="79"/>
      <c r="B647" s="79"/>
      <c r="K647" s="56"/>
      <c r="O647" s="56"/>
    </row>
    <row r="648" spans="1:15" ht="13" x14ac:dyDescent="0.15">
      <c r="A648" s="79"/>
      <c r="B648" s="79"/>
      <c r="K648" s="56"/>
      <c r="O648" s="56"/>
    </row>
    <row r="649" spans="1:15" ht="13" x14ac:dyDescent="0.15">
      <c r="A649" s="79"/>
      <c r="B649" s="79"/>
      <c r="K649" s="56"/>
      <c r="O649" s="56"/>
    </row>
    <row r="650" spans="1:15" ht="13" x14ac:dyDescent="0.15">
      <c r="A650" s="79"/>
      <c r="B650" s="79"/>
      <c r="K650" s="56"/>
      <c r="O650" s="56"/>
    </row>
    <row r="651" spans="1:15" ht="13" x14ac:dyDescent="0.15">
      <c r="A651" s="79"/>
      <c r="B651" s="79"/>
      <c r="K651" s="56"/>
      <c r="O651" s="56"/>
    </row>
    <row r="652" spans="1:15" ht="13" x14ac:dyDescent="0.15">
      <c r="A652" s="79"/>
      <c r="B652" s="79"/>
      <c r="K652" s="56"/>
      <c r="O652" s="56"/>
    </row>
    <row r="653" spans="1:15" ht="13" x14ac:dyDescent="0.15">
      <c r="A653" s="79"/>
      <c r="B653" s="79"/>
      <c r="K653" s="56"/>
      <c r="O653" s="56"/>
    </row>
    <row r="654" spans="1:15" ht="13" x14ac:dyDescent="0.15">
      <c r="A654" s="79"/>
      <c r="B654" s="79"/>
      <c r="K654" s="56"/>
      <c r="O654" s="56"/>
    </row>
    <row r="655" spans="1:15" ht="13" x14ac:dyDescent="0.15">
      <c r="A655" s="79"/>
      <c r="B655" s="79"/>
      <c r="K655" s="56"/>
      <c r="O655" s="56"/>
    </row>
    <row r="656" spans="1:15" ht="13" x14ac:dyDescent="0.15">
      <c r="A656" s="79"/>
      <c r="B656" s="79"/>
      <c r="K656" s="56"/>
      <c r="O656" s="56"/>
    </row>
    <row r="657" spans="1:15" ht="13" x14ac:dyDescent="0.15">
      <c r="A657" s="79"/>
      <c r="B657" s="79"/>
      <c r="K657" s="56"/>
      <c r="O657" s="56"/>
    </row>
    <row r="658" spans="1:15" ht="13" x14ac:dyDescent="0.15">
      <c r="A658" s="79"/>
      <c r="B658" s="79"/>
      <c r="K658" s="56"/>
      <c r="O658" s="56"/>
    </row>
    <row r="659" spans="1:15" ht="13" x14ac:dyDescent="0.15">
      <c r="A659" s="79"/>
      <c r="B659" s="79"/>
      <c r="K659" s="56"/>
      <c r="O659" s="56"/>
    </row>
    <row r="660" spans="1:15" ht="13" x14ac:dyDescent="0.15">
      <c r="A660" s="79"/>
      <c r="B660" s="79"/>
      <c r="K660" s="56"/>
      <c r="O660" s="56"/>
    </row>
    <row r="661" spans="1:15" ht="13" x14ac:dyDescent="0.15">
      <c r="A661" s="79"/>
      <c r="B661" s="79"/>
      <c r="K661" s="56"/>
      <c r="O661" s="56"/>
    </row>
    <row r="662" spans="1:15" ht="13" x14ac:dyDescent="0.15">
      <c r="A662" s="79"/>
      <c r="B662" s="79"/>
      <c r="K662" s="56"/>
      <c r="O662" s="56"/>
    </row>
    <row r="663" spans="1:15" ht="13" x14ac:dyDescent="0.15">
      <c r="A663" s="79"/>
      <c r="B663" s="79"/>
      <c r="K663" s="56"/>
      <c r="O663" s="56"/>
    </row>
    <row r="664" spans="1:15" ht="13" x14ac:dyDescent="0.15">
      <c r="A664" s="79"/>
      <c r="B664" s="79"/>
      <c r="K664" s="56"/>
      <c r="O664" s="56"/>
    </row>
    <row r="665" spans="1:15" ht="13" x14ac:dyDescent="0.15">
      <c r="A665" s="79"/>
      <c r="B665" s="79"/>
      <c r="K665" s="56"/>
      <c r="O665" s="56"/>
    </row>
    <row r="666" spans="1:15" ht="13" x14ac:dyDescent="0.15">
      <c r="A666" s="79"/>
      <c r="B666" s="79"/>
      <c r="K666" s="56"/>
      <c r="O666" s="56"/>
    </row>
    <row r="667" spans="1:15" ht="13" x14ac:dyDescent="0.15">
      <c r="A667" s="79"/>
      <c r="B667" s="79"/>
      <c r="K667" s="56"/>
      <c r="O667" s="56"/>
    </row>
    <row r="668" spans="1:15" ht="13" x14ac:dyDescent="0.15">
      <c r="A668" s="79"/>
      <c r="B668" s="79"/>
      <c r="K668" s="56"/>
      <c r="O668" s="56"/>
    </row>
    <row r="669" spans="1:15" ht="13" x14ac:dyDescent="0.15">
      <c r="A669" s="79"/>
      <c r="B669" s="79"/>
      <c r="K669" s="56"/>
      <c r="O669" s="56"/>
    </row>
    <row r="670" spans="1:15" ht="13" x14ac:dyDescent="0.15">
      <c r="A670" s="79"/>
      <c r="B670" s="79"/>
      <c r="K670" s="56"/>
      <c r="O670" s="56"/>
    </row>
    <row r="671" spans="1:15" ht="13" x14ac:dyDescent="0.15">
      <c r="A671" s="79"/>
      <c r="B671" s="79"/>
      <c r="K671" s="56"/>
      <c r="O671" s="56"/>
    </row>
    <row r="672" spans="1:15" ht="13" x14ac:dyDescent="0.15">
      <c r="A672" s="79"/>
      <c r="B672" s="79"/>
      <c r="K672" s="56"/>
      <c r="O672" s="56"/>
    </row>
    <row r="673" spans="1:15" ht="13" x14ac:dyDescent="0.15">
      <c r="A673" s="79"/>
      <c r="B673" s="79"/>
      <c r="K673" s="56"/>
      <c r="O673" s="56"/>
    </row>
    <row r="674" spans="1:15" ht="13" x14ac:dyDescent="0.15">
      <c r="A674" s="79"/>
      <c r="B674" s="79"/>
      <c r="K674" s="56"/>
      <c r="O674" s="56"/>
    </row>
    <row r="675" spans="1:15" ht="13" x14ac:dyDescent="0.15">
      <c r="A675" s="79"/>
      <c r="B675" s="79"/>
      <c r="K675" s="56"/>
      <c r="O675" s="56"/>
    </row>
    <row r="676" spans="1:15" ht="13" x14ac:dyDescent="0.15">
      <c r="A676" s="79"/>
      <c r="B676" s="79"/>
      <c r="K676" s="56"/>
      <c r="O676" s="56"/>
    </row>
    <row r="677" spans="1:15" ht="13" x14ac:dyDescent="0.15">
      <c r="A677" s="79"/>
      <c r="B677" s="79"/>
      <c r="K677" s="56"/>
      <c r="O677" s="56"/>
    </row>
    <row r="678" spans="1:15" ht="13" x14ac:dyDescent="0.15">
      <c r="A678" s="79"/>
      <c r="B678" s="79"/>
      <c r="K678" s="56"/>
      <c r="O678" s="56"/>
    </row>
    <row r="679" spans="1:15" ht="13" x14ac:dyDescent="0.15">
      <c r="A679" s="79"/>
      <c r="B679" s="79"/>
      <c r="K679" s="56"/>
      <c r="O679" s="56"/>
    </row>
    <row r="680" spans="1:15" ht="13" x14ac:dyDescent="0.15">
      <c r="A680" s="79"/>
      <c r="B680" s="79"/>
      <c r="K680" s="56"/>
      <c r="O680" s="56"/>
    </row>
    <row r="681" spans="1:15" ht="13" x14ac:dyDescent="0.15">
      <c r="A681" s="79"/>
      <c r="B681" s="79"/>
      <c r="K681" s="56"/>
      <c r="O681" s="56"/>
    </row>
    <row r="682" spans="1:15" ht="13" x14ac:dyDescent="0.15">
      <c r="A682" s="79"/>
      <c r="B682" s="79"/>
      <c r="K682" s="56"/>
      <c r="O682" s="56"/>
    </row>
    <row r="683" spans="1:15" ht="13" x14ac:dyDescent="0.15">
      <c r="A683" s="79"/>
      <c r="B683" s="79"/>
      <c r="K683" s="56"/>
      <c r="O683" s="56"/>
    </row>
    <row r="684" spans="1:15" ht="13" x14ac:dyDescent="0.15">
      <c r="A684" s="79"/>
      <c r="B684" s="79"/>
      <c r="K684" s="56"/>
      <c r="O684" s="56"/>
    </row>
    <row r="685" spans="1:15" ht="13" x14ac:dyDescent="0.15">
      <c r="A685" s="79"/>
      <c r="B685" s="79"/>
      <c r="K685" s="56"/>
      <c r="O685" s="56"/>
    </row>
    <row r="686" spans="1:15" ht="13" x14ac:dyDescent="0.15">
      <c r="A686" s="79"/>
      <c r="B686" s="79"/>
      <c r="K686" s="56"/>
      <c r="O686" s="56"/>
    </row>
    <row r="687" spans="1:15" ht="13" x14ac:dyDescent="0.15">
      <c r="A687" s="79"/>
      <c r="B687" s="79"/>
      <c r="K687" s="56"/>
      <c r="O687" s="56"/>
    </row>
    <row r="688" spans="1:15" ht="13" x14ac:dyDescent="0.15">
      <c r="A688" s="79"/>
      <c r="B688" s="79"/>
      <c r="K688" s="56"/>
      <c r="O688" s="56"/>
    </row>
    <row r="689" spans="1:15" ht="13" x14ac:dyDescent="0.15">
      <c r="A689" s="79"/>
      <c r="B689" s="79"/>
      <c r="K689" s="56"/>
      <c r="O689" s="56"/>
    </row>
    <row r="690" spans="1:15" ht="13" x14ac:dyDescent="0.15">
      <c r="A690" s="79"/>
      <c r="B690" s="79"/>
      <c r="K690" s="56"/>
      <c r="O690" s="56"/>
    </row>
    <row r="691" spans="1:15" ht="13" x14ac:dyDescent="0.15">
      <c r="A691" s="79"/>
      <c r="B691" s="79"/>
      <c r="K691" s="56"/>
      <c r="O691" s="56"/>
    </row>
    <row r="692" spans="1:15" ht="13" x14ac:dyDescent="0.15">
      <c r="A692" s="79"/>
      <c r="B692" s="79"/>
      <c r="K692" s="56"/>
      <c r="O692" s="56"/>
    </row>
    <row r="693" spans="1:15" ht="13" x14ac:dyDescent="0.15">
      <c r="A693" s="79"/>
      <c r="B693" s="79"/>
      <c r="K693" s="56"/>
      <c r="O693" s="56"/>
    </row>
    <row r="694" spans="1:15" ht="13" x14ac:dyDescent="0.15">
      <c r="A694" s="79"/>
      <c r="B694" s="79"/>
      <c r="K694" s="56"/>
      <c r="O694" s="56"/>
    </row>
    <row r="695" spans="1:15" ht="13" x14ac:dyDescent="0.15">
      <c r="A695" s="79"/>
      <c r="B695" s="79"/>
      <c r="K695" s="56"/>
      <c r="O695" s="56"/>
    </row>
    <row r="696" spans="1:15" ht="13" x14ac:dyDescent="0.15">
      <c r="A696" s="79"/>
      <c r="B696" s="79"/>
      <c r="K696" s="56"/>
      <c r="O696" s="56"/>
    </row>
    <row r="697" spans="1:15" ht="13" x14ac:dyDescent="0.15">
      <c r="A697" s="79"/>
      <c r="B697" s="79"/>
      <c r="K697" s="56"/>
      <c r="O697" s="56"/>
    </row>
    <row r="698" spans="1:15" ht="13" x14ac:dyDescent="0.15">
      <c r="A698" s="79"/>
      <c r="B698" s="79"/>
      <c r="K698" s="56"/>
      <c r="O698" s="56"/>
    </row>
    <row r="699" spans="1:15" ht="13" x14ac:dyDescent="0.15">
      <c r="A699" s="79"/>
      <c r="B699" s="79"/>
      <c r="K699" s="56"/>
      <c r="O699" s="56"/>
    </row>
    <row r="700" spans="1:15" ht="13" x14ac:dyDescent="0.15">
      <c r="A700" s="79"/>
      <c r="B700" s="79"/>
      <c r="K700" s="56"/>
      <c r="O700" s="56"/>
    </row>
    <row r="701" spans="1:15" ht="13" x14ac:dyDescent="0.15">
      <c r="A701" s="79"/>
      <c r="B701" s="79"/>
      <c r="K701" s="56"/>
      <c r="O701" s="56"/>
    </row>
    <row r="702" spans="1:15" ht="13" x14ac:dyDescent="0.15">
      <c r="A702" s="79"/>
      <c r="B702" s="79"/>
      <c r="K702" s="56"/>
      <c r="O702" s="56"/>
    </row>
    <row r="703" spans="1:15" ht="13" x14ac:dyDescent="0.15">
      <c r="A703" s="79"/>
      <c r="B703" s="79"/>
      <c r="K703" s="56"/>
      <c r="O703" s="56"/>
    </row>
    <row r="704" spans="1:15" ht="13" x14ac:dyDescent="0.15">
      <c r="A704" s="79"/>
      <c r="B704" s="79"/>
      <c r="K704" s="56"/>
      <c r="O704" s="56"/>
    </row>
    <row r="705" spans="1:15" ht="13" x14ac:dyDescent="0.15">
      <c r="A705" s="79"/>
      <c r="B705" s="79"/>
      <c r="K705" s="56"/>
      <c r="O705" s="56"/>
    </row>
    <row r="706" spans="1:15" ht="13" x14ac:dyDescent="0.15">
      <c r="A706" s="79"/>
      <c r="B706" s="79"/>
      <c r="K706" s="56"/>
      <c r="O706" s="56"/>
    </row>
    <row r="707" spans="1:15" ht="13" x14ac:dyDescent="0.15">
      <c r="A707" s="79"/>
      <c r="B707" s="79"/>
      <c r="K707" s="56"/>
      <c r="O707" s="56"/>
    </row>
    <row r="708" spans="1:15" ht="13" x14ac:dyDescent="0.15">
      <c r="A708" s="79"/>
      <c r="B708" s="79"/>
      <c r="K708" s="56"/>
      <c r="O708" s="56"/>
    </row>
    <row r="709" spans="1:15" ht="13" x14ac:dyDescent="0.15">
      <c r="A709" s="79"/>
      <c r="B709" s="79"/>
      <c r="K709" s="56"/>
      <c r="O709" s="56"/>
    </row>
    <row r="710" spans="1:15" ht="13" x14ac:dyDescent="0.15">
      <c r="A710" s="79"/>
      <c r="B710" s="79"/>
      <c r="K710" s="56"/>
      <c r="O710" s="56"/>
    </row>
    <row r="711" spans="1:15" ht="13" x14ac:dyDescent="0.15">
      <c r="A711" s="79"/>
      <c r="B711" s="79"/>
      <c r="K711" s="56"/>
      <c r="O711" s="56"/>
    </row>
    <row r="712" spans="1:15" ht="13" x14ac:dyDescent="0.15">
      <c r="A712" s="79"/>
      <c r="B712" s="79"/>
      <c r="K712" s="56"/>
      <c r="O712" s="56"/>
    </row>
    <row r="713" spans="1:15" ht="13" x14ac:dyDescent="0.15">
      <c r="A713" s="79"/>
      <c r="B713" s="79"/>
      <c r="K713" s="56"/>
      <c r="O713" s="56"/>
    </row>
    <row r="714" spans="1:15" ht="13" x14ac:dyDescent="0.15">
      <c r="A714" s="79"/>
      <c r="B714" s="79"/>
      <c r="K714" s="56"/>
      <c r="O714" s="56"/>
    </row>
    <row r="715" spans="1:15" ht="13" x14ac:dyDescent="0.15">
      <c r="A715" s="79"/>
      <c r="B715" s="79"/>
      <c r="K715" s="56"/>
      <c r="O715" s="56"/>
    </row>
    <row r="716" spans="1:15" ht="13" x14ac:dyDescent="0.15">
      <c r="A716" s="79"/>
      <c r="B716" s="79"/>
      <c r="K716" s="56"/>
      <c r="O716" s="56"/>
    </row>
    <row r="717" spans="1:15" ht="13" x14ac:dyDescent="0.15">
      <c r="A717" s="79"/>
      <c r="B717" s="79"/>
      <c r="K717" s="56"/>
      <c r="O717" s="56"/>
    </row>
    <row r="718" spans="1:15" ht="13" x14ac:dyDescent="0.15">
      <c r="A718" s="79"/>
      <c r="B718" s="79"/>
      <c r="K718" s="56"/>
      <c r="O718" s="56"/>
    </row>
    <row r="719" spans="1:15" ht="13" x14ac:dyDescent="0.15">
      <c r="A719" s="79"/>
      <c r="B719" s="79"/>
      <c r="K719" s="56"/>
      <c r="O719" s="56"/>
    </row>
    <row r="720" spans="1:15" ht="13" x14ac:dyDescent="0.15">
      <c r="A720" s="79"/>
      <c r="B720" s="79"/>
      <c r="K720" s="56"/>
      <c r="O720" s="56"/>
    </row>
    <row r="721" spans="1:15" ht="13" x14ac:dyDescent="0.15">
      <c r="A721" s="79"/>
      <c r="B721" s="79"/>
      <c r="K721" s="56"/>
      <c r="O721" s="56"/>
    </row>
    <row r="722" spans="1:15" ht="13" x14ac:dyDescent="0.15">
      <c r="A722" s="79"/>
      <c r="B722" s="79"/>
      <c r="K722" s="56"/>
      <c r="O722" s="56"/>
    </row>
    <row r="723" spans="1:15" ht="13" x14ac:dyDescent="0.15">
      <c r="A723" s="79"/>
      <c r="B723" s="79"/>
      <c r="K723" s="56"/>
      <c r="O723" s="56"/>
    </row>
    <row r="724" spans="1:15" ht="13" x14ac:dyDescent="0.15">
      <c r="A724" s="79"/>
      <c r="B724" s="79"/>
      <c r="K724" s="56"/>
      <c r="O724" s="56"/>
    </row>
    <row r="725" spans="1:15" ht="13" x14ac:dyDescent="0.15">
      <c r="A725" s="79"/>
      <c r="B725" s="79"/>
      <c r="K725" s="56"/>
      <c r="O725" s="56"/>
    </row>
    <row r="726" spans="1:15" ht="13" x14ac:dyDescent="0.15">
      <c r="A726" s="79"/>
      <c r="B726" s="79"/>
      <c r="K726" s="56"/>
      <c r="O726" s="56"/>
    </row>
    <row r="727" spans="1:15" ht="13" x14ac:dyDescent="0.15">
      <c r="A727" s="79"/>
      <c r="B727" s="79"/>
      <c r="K727" s="56"/>
      <c r="O727" s="56"/>
    </row>
    <row r="728" spans="1:15" ht="13" x14ac:dyDescent="0.15">
      <c r="A728" s="79"/>
      <c r="B728" s="79"/>
      <c r="K728" s="56"/>
      <c r="O728" s="56"/>
    </row>
    <row r="729" spans="1:15" ht="13" x14ac:dyDescent="0.15">
      <c r="A729" s="79"/>
      <c r="B729" s="79"/>
      <c r="K729" s="56"/>
      <c r="O729" s="56"/>
    </row>
    <row r="730" spans="1:15" ht="13" x14ac:dyDescent="0.15">
      <c r="A730" s="79"/>
      <c r="B730" s="79"/>
      <c r="K730" s="56"/>
      <c r="O730" s="56"/>
    </row>
    <row r="731" spans="1:15" ht="13" x14ac:dyDescent="0.15">
      <c r="A731" s="79"/>
      <c r="B731" s="79"/>
      <c r="K731" s="56"/>
      <c r="O731" s="56"/>
    </row>
    <row r="732" spans="1:15" ht="13" x14ac:dyDescent="0.15">
      <c r="A732" s="79"/>
      <c r="B732" s="79"/>
      <c r="K732" s="56"/>
      <c r="O732" s="56"/>
    </row>
    <row r="733" spans="1:15" ht="13" x14ac:dyDescent="0.15">
      <c r="A733" s="79"/>
      <c r="B733" s="79"/>
      <c r="K733" s="56"/>
      <c r="O733" s="56"/>
    </row>
    <row r="734" spans="1:15" ht="13" x14ac:dyDescent="0.15">
      <c r="A734" s="79"/>
      <c r="B734" s="79"/>
      <c r="K734" s="56"/>
      <c r="O734" s="56"/>
    </row>
    <row r="735" spans="1:15" ht="13" x14ac:dyDescent="0.15">
      <c r="A735" s="79"/>
      <c r="B735" s="79"/>
      <c r="K735" s="56"/>
      <c r="O735" s="56"/>
    </row>
    <row r="736" spans="1:15" ht="13" x14ac:dyDescent="0.15">
      <c r="A736" s="79"/>
      <c r="B736" s="79"/>
      <c r="K736" s="56"/>
      <c r="O736" s="56"/>
    </row>
    <row r="737" spans="1:15" ht="13" x14ac:dyDescent="0.15">
      <c r="A737" s="79"/>
      <c r="B737" s="79"/>
      <c r="K737" s="56"/>
      <c r="O737" s="56"/>
    </row>
    <row r="738" spans="1:15" ht="13" x14ac:dyDescent="0.15">
      <c r="A738" s="79"/>
      <c r="B738" s="79"/>
      <c r="K738" s="56"/>
      <c r="O738" s="56"/>
    </row>
    <row r="739" spans="1:15" ht="13" x14ac:dyDescent="0.15">
      <c r="A739" s="79"/>
      <c r="B739" s="79"/>
      <c r="K739" s="56"/>
      <c r="O739" s="56"/>
    </row>
    <row r="740" spans="1:15" ht="13" x14ac:dyDescent="0.15">
      <c r="A740" s="79"/>
      <c r="B740" s="79"/>
      <c r="K740" s="56"/>
      <c r="O740" s="56"/>
    </row>
    <row r="741" spans="1:15" ht="13" x14ac:dyDescent="0.15">
      <c r="A741" s="79"/>
      <c r="B741" s="79"/>
      <c r="K741" s="56"/>
      <c r="O741" s="56"/>
    </row>
    <row r="742" spans="1:15" ht="13" x14ac:dyDescent="0.15">
      <c r="A742" s="79"/>
      <c r="B742" s="79"/>
      <c r="K742" s="56"/>
      <c r="O742" s="56"/>
    </row>
    <row r="743" spans="1:15" ht="13" x14ac:dyDescent="0.15">
      <c r="A743" s="79"/>
      <c r="B743" s="79"/>
      <c r="K743" s="56"/>
      <c r="O743" s="56"/>
    </row>
    <row r="744" spans="1:15" ht="13" x14ac:dyDescent="0.15">
      <c r="A744" s="79"/>
      <c r="B744" s="79"/>
      <c r="K744" s="56"/>
      <c r="O744" s="56"/>
    </row>
    <row r="745" spans="1:15" ht="13" x14ac:dyDescent="0.15">
      <c r="A745" s="79"/>
      <c r="B745" s="79"/>
      <c r="K745" s="56"/>
      <c r="O745" s="56"/>
    </row>
    <row r="746" spans="1:15" ht="13" x14ac:dyDescent="0.15">
      <c r="A746" s="79"/>
      <c r="B746" s="79"/>
      <c r="K746" s="56"/>
      <c r="O746" s="56"/>
    </row>
    <row r="747" spans="1:15" ht="13" x14ac:dyDescent="0.15">
      <c r="A747" s="79"/>
      <c r="B747" s="79"/>
      <c r="K747" s="56"/>
      <c r="O747" s="56"/>
    </row>
    <row r="748" spans="1:15" ht="13" x14ac:dyDescent="0.15">
      <c r="A748" s="79"/>
      <c r="B748" s="79"/>
      <c r="K748" s="56"/>
      <c r="O748" s="56"/>
    </row>
    <row r="749" spans="1:15" ht="13" x14ac:dyDescent="0.15">
      <c r="A749" s="79"/>
      <c r="B749" s="79"/>
      <c r="K749" s="56"/>
      <c r="O749" s="56"/>
    </row>
    <row r="750" spans="1:15" ht="13" x14ac:dyDescent="0.15">
      <c r="A750" s="79"/>
      <c r="B750" s="79"/>
      <c r="K750" s="56"/>
      <c r="O750" s="56"/>
    </row>
    <row r="751" spans="1:15" ht="13" x14ac:dyDescent="0.15">
      <c r="A751" s="79"/>
      <c r="B751" s="79"/>
      <c r="K751" s="56"/>
      <c r="O751" s="56"/>
    </row>
    <row r="752" spans="1:15" ht="13" x14ac:dyDescent="0.15">
      <c r="A752" s="79"/>
      <c r="B752" s="79"/>
      <c r="K752" s="56"/>
      <c r="O752" s="56"/>
    </row>
    <row r="753" spans="1:15" ht="13" x14ac:dyDescent="0.15">
      <c r="A753" s="79"/>
      <c r="B753" s="79"/>
      <c r="K753" s="56"/>
      <c r="O753" s="56"/>
    </row>
    <row r="754" spans="1:15" ht="13" x14ac:dyDescent="0.15">
      <c r="A754" s="79"/>
      <c r="B754" s="79"/>
      <c r="K754" s="56"/>
      <c r="O754" s="56"/>
    </row>
    <row r="755" spans="1:15" ht="13" x14ac:dyDescent="0.15">
      <c r="A755" s="79"/>
      <c r="B755" s="79"/>
      <c r="K755" s="56"/>
      <c r="O755" s="56"/>
    </row>
    <row r="756" spans="1:15" ht="13" x14ac:dyDescent="0.15">
      <c r="A756" s="79"/>
      <c r="B756" s="79"/>
      <c r="K756" s="56"/>
      <c r="O756" s="56"/>
    </row>
    <row r="757" spans="1:15" ht="13" x14ac:dyDescent="0.15">
      <c r="A757" s="79"/>
      <c r="B757" s="79"/>
      <c r="K757" s="56"/>
      <c r="O757" s="56"/>
    </row>
    <row r="758" spans="1:15" ht="13" x14ac:dyDescent="0.15">
      <c r="A758" s="79"/>
      <c r="B758" s="79"/>
      <c r="K758" s="56"/>
      <c r="O758" s="56"/>
    </row>
    <row r="759" spans="1:15" ht="13" x14ac:dyDescent="0.15">
      <c r="A759" s="79"/>
      <c r="B759" s="79"/>
      <c r="K759" s="56"/>
      <c r="O759" s="56"/>
    </row>
    <row r="760" spans="1:15" ht="13" x14ac:dyDescent="0.15">
      <c r="A760" s="79"/>
      <c r="B760" s="79"/>
      <c r="K760" s="56"/>
      <c r="O760" s="56"/>
    </row>
    <row r="761" spans="1:15" ht="13" x14ac:dyDescent="0.15">
      <c r="A761" s="79"/>
      <c r="B761" s="79"/>
      <c r="K761" s="56"/>
      <c r="O761" s="56"/>
    </row>
    <row r="762" spans="1:15" ht="13" x14ac:dyDescent="0.15">
      <c r="A762" s="79"/>
      <c r="B762" s="79"/>
      <c r="K762" s="56"/>
      <c r="O762" s="56"/>
    </row>
    <row r="763" spans="1:15" ht="13" x14ac:dyDescent="0.15">
      <c r="A763" s="79"/>
      <c r="B763" s="79"/>
      <c r="K763" s="56"/>
      <c r="O763" s="56"/>
    </row>
    <row r="764" spans="1:15" ht="13" x14ac:dyDescent="0.15">
      <c r="A764" s="79"/>
      <c r="B764" s="79"/>
      <c r="K764" s="56"/>
      <c r="O764" s="56"/>
    </row>
    <row r="765" spans="1:15" ht="13" x14ac:dyDescent="0.15">
      <c r="A765" s="79"/>
      <c r="B765" s="79"/>
      <c r="K765" s="56"/>
      <c r="O765" s="56"/>
    </row>
    <row r="766" spans="1:15" ht="13" x14ac:dyDescent="0.15">
      <c r="A766" s="79"/>
      <c r="B766" s="79"/>
      <c r="K766" s="56"/>
      <c r="O766" s="56"/>
    </row>
    <row r="767" spans="1:15" ht="13" x14ac:dyDescent="0.15">
      <c r="A767" s="79"/>
      <c r="B767" s="79"/>
      <c r="K767" s="56"/>
      <c r="O767" s="56"/>
    </row>
    <row r="768" spans="1:15" ht="13" x14ac:dyDescent="0.15">
      <c r="A768" s="79"/>
      <c r="B768" s="79"/>
      <c r="K768" s="56"/>
      <c r="O768" s="56"/>
    </row>
    <row r="769" spans="1:15" ht="13" x14ac:dyDescent="0.15">
      <c r="A769" s="79"/>
      <c r="B769" s="79"/>
      <c r="K769" s="56"/>
      <c r="O769" s="56"/>
    </row>
    <row r="770" spans="1:15" ht="13" x14ac:dyDescent="0.15">
      <c r="A770" s="79"/>
      <c r="B770" s="79"/>
      <c r="K770" s="56"/>
      <c r="O770" s="56"/>
    </row>
    <row r="771" spans="1:15" ht="13" x14ac:dyDescent="0.15">
      <c r="A771" s="79"/>
      <c r="B771" s="79"/>
      <c r="K771" s="56"/>
      <c r="O771" s="56"/>
    </row>
    <row r="772" spans="1:15" ht="13" x14ac:dyDescent="0.15">
      <c r="A772" s="79"/>
      <c r="B772" s="79"/>
      <c r="K772" s="56"/>
      <c r="O772" s="56"/>
    </row>
    <row r="773" spans="1:15" ht="13" x14ac:dyDescent="0.15">
      <c r="A773" s="79"/>
      <c r="B773" s="79"/>
      <c r="K773" s="56"/>
      <c r="O773" s="56"/>
    </row>
    <row r="774" spans="1:15" ht="13" x14ac:dyDescent="0.15">
      <c r="A774" s="79"/>
      <c r="B774" s="79"/>
      <c r="K774" s="56"/>
      <c r="O774" s="56"/>
    </row>
    <row r="775" spans="1:15" ht="13" x14ac:dyDescent="0.15">
      <c r="A775" s="79"/>
      <c r="B775" s="79"/>
      <c r="K775" s="56"/>
      <c r="O775" s="56"/>
    </row>
    <row r="776" spans="1:15" ht="13" x14ac:dyDescent="0.15">
      <c r="A776" s="79"/>
      <c r="B776" s="79"/>
      <c r="K776" s="56"/>
      <c r="O776" s="56"/>
    </row>
    <row r="777" spans="1:15" ht="13" x14ac:dyDescent="0.15">
      <c r="A777" s="79"/>
      <c r="B777" s="79"/>
      <c r="K777" s="56"/>
      <c r="O777" s="56"/>
    </row>
    <row r="778" spans="1:15" ht="13" x14ac:dyDescent="0.15">
      <c r="A778" s="79"/>
      <c r="B778" s="79"/>
      <c r="K778" s="56"/>
      <c r="O778" s="56"/>
    </row>
    <row r="779" spans="1:15" ht="13" x14ac:dyDescent="0.15">
      <c r="A779" s="79"/>
      <c r="B779" s="79"/>
      <c r="K779" s="56"/>
      <c r="O779" s="56"/>
    </row>
    <row r="780" spans="1:15" ht="13" x14ac:dyDescent="0.15">
      <c r="A780" s="79"/>
      <c r="B780" s="79"/>
      <c r="K780" s="56"/>
      <c r="O780" s="56"/>
    </row>
    <row r="781" spans="1:15" ht="13" x14ac:dyDescent="0.15">
      <c r="A781" s="79"/>
      <c r="B781" s="79"/>
      <c r="K781" s="56"/>
      <c r="O781" s="56"/>
    </row>
    <row r="782" spans="1:15" ht="13" x14ac:dyDescent="0.15">
      <c r="A782" s="79"/>
      <c r="B782" s="79"/>
      <c r="K782" s="56"/>
      <c r="O782" s="56"/>
    </row>
    <row r="783" spans="1:15" ht="13" x14ac:dyDescent="0.15">
      <c r="A783" s="79"/>
      <c r="B783" s="79"/>
      <c r="K783" s="56"/>
      <c r="O783" s="56"/>
    </row>
    <row r="784" spans="1:15" ht="13" x14ac:dyDescent="0.15">
      <c r="A784" s="79"/>
      <c r="B784" s="79"/>
      <c r="K784" s="56"/>
      <c r="O784" s="56"/>
    </row>
    <row r="785" spans="1:15" ht="13" x14ac:dyDescent="0.15">
      <c r="A785" s="79"/>
      <c r="B785" s="79"/>
      <c r="K785" s="56"/>
      <c r="O785" s="56"/>
    </row>
    <row r="786" spans="1:15" ht="13" x14ac:dyDescent="0.15">
      <c r="A786" s="79"/>
      <c r="B786" s="79"/>
      <c r="K786" s="56"/>
      <c r="O786" s="56"/>
    </row>
    <row r="787" spans="1:15" ht="13" x14ac:dyDescent="0.15">
      <c r="A787" s="79"/>
      <c r="B787" s="79"/>
      <c r="K787" s="56"/>
      <c r="O787" s="56"/>
    </row>
    <row r="788" spans="1:15" ht="13" x14ac:dyDescent="0.15">
      <c r="A788" s="79"/>
      <c r="B788" s="79"/>
      <c r="K788" s="56"/>
      <c r="O788" s="56"/>
    </row>
    <row r="789" spans="1:15" ht="13" x14ac:dyDescent="0.15">
      <c r="A789" s="79"/>
      <c r="B789" s="79"/>
      <c r="K789" s="56"/>
      <c r="O789" s="56"/>
    </row>
    <row r="790" spans="1:15" ht="13" x14ac:dyDescent="0.15">
      <c r="A790" s="79"/>
      <c r="B790" s="79"/>
      <c r="K790" s="56"/>
      <c r="O790" s="56"/>
    </row>
    <row r="791" spans="1:15" ht="13" x14ac:dyDescent="0.15">
      <c r="A791" s="79"/>
      <c r="B791" s="79"/>
      <c r="K791" s="56"/>
      <c r="O791" s="56"/>
    </row>
    <row r="792" spans="1:15" ht="13" x14ac:dyDescent="0.15">
      <c r="A792" s="79"/>
      <c r="B792" s="79"/>
      <c r="K792" s="56"/>
      <c r="O792" s="56"/>
    </row>
    <row r="793" spans="1:15" ht="13" x14ac:dyDescent="0.15">
      <c r="A793" s="79"/>
      <c r="B793" s="79"/>
      <c r="K793" s="56"/>
      <c r="O793" s="56"/>
    </row>
    <row r="794" spans="1:15" ht="13" x14ac:dyDescent="0.15">
      <c r="A794" s="79"/>
      <c r="B794" s="79"/>
      <c r="K794" s="56"/>
      <c r="O794" s="56"/>
    </row>
    <row r="795" spans="1:15" ht="13" x14ac:dyDescent="0.15">
      <c r="A795" s="79"/>
      <c r="B795" s="79"/>
      <c r="K795" s="56"/>
      <c r="O795" s="56"/>
    </row>
    <row r="796" spans="1:15" ht="13" x14ac:dyDescent="0.15">
      <c r="A796" s="79"/>
      <c r="B796" s="79"/>
      <c r="K796" s="56"/>
      <c r="O796" s="56"/>
    </row>
    <row r="797" spans="1:15" ht="13" x14ac:dyDescent="0.15">
      <c r="A797" s="79"/>
      <c r="B797" s="79"/>
      <c r="K797" s="56"/>
      <c r="O797" s="56"/>
    </row>
    <row r="798" spans="1:15" ht="13" x14ac:dyDescent="0.15">
      <c r="A798" s="79"/>
      <c r="B798" s="79"/>
      <c r="K798" s="56"/>
      <c r="O798" s="56"/>
    </row>
    <row r="799" spans="1:15" ht="13" x14ac:dyDescent="0.15">
      <c r="A799" s="79"/>
      <c r="B799" s="79"/>
      <c r="K799" s="56"/>
      <c r="O799" s="56"/>
    </row>
    <row r="800" spans="1:15" ht="13" x14ac:dyDescent="0.15">
      <c r="A800" s="79"/>
      <c r="B800" s="79"/>
      <c r="K800" s="56"/>
      <c r="O800" s="56"/>
    </row>
    <row r="801" spans="1:15" ht="13" x14ac:dyDescent="0.15">
      <c r="A801" s="79"/>
      <c r="B801" s="79"/>
      <c r="K801" s="56"/>
      <c r="O801" s="56"/>
    </row>
    <row r="802" spans="1:15" ht="13" x14ac:dyDescent="0.15">
      <c r="A802" s="79"/>
      <c r="B802" s="79"/>
      <c r="K802" s="56"/>
      <c r="O802" s="56"/>
    </row>
    <row r="803" spans="1:15" ht="13" x14ac:dyDescent="0.15">
      <c r="A803" s="79"/>
      <c r="B803" s="79"/>
      <c r="K803" s="56"/>
      <c r="O803" s="56"/>
    </row>
    <row r="804" spans="1:15" ht="13" x14ac:dyDescent="0.15">
      <c r="A804" s="79"/>
      <c r="B804" s="79"/>
      <c r="K804" s="56"/>
      <c r="O804" s="56"/>
    </row>
    <row r="805" spans="1:15" ht="13" x14ac:dyDescent="0.15">
      <c r="A805" s="79"/>
      <c r="B805" s="79"/>
      <c r="K805" s="56"/>
      <c r="O805" s="56"/>
    </row>
    <row r="806" spans="1:15" ht="13" x14ac:dyDescent="0.15">
      <c r="A806" s="79"/>
      <c r="B806" s="79"/>
      <c r="K806" s="56"/>
      <c r="O806" s="56"/>
    </row>
    <row r="807" spans="1:15" ht="13" x14ac:dyDescent="0.15">
      <c r="A807" s="79"/>
      <c r="B807" s="79"/>
      <c r="K807" s="56"/>
      <c r="O807" s="56"/>
    </row>
    <row r="808" spans="1:15" ht="13" x14ac:dyDescent="0.15">
      <c r="A808" s="79"/>
      <c r="B808" s="79"/>
      <c r="K808" s="56"/>
      <c r="O808" s="56"/>
    </row>
    <row r="809" spans="1:15" ht="13" x14ac:dyDescent="0.15">
      <c r="A809" s="79"/>
      <c r="B809" s="79"/>
      <c r="K809" s="56"/>
      <c r="O809" s="56"/>
    </row>
    <row r="810" spans="1:15" ht="13" x14ac:dyDescent="0.15">
      <c r="A810" s="79"/>
      <c r="B810" s="79"/>
      <c r="K810" s="56"/>
      <c r="O810" s="56"/>
    </row>
    <row r="811" spans="1:15" ht="13" x14ac:dyDescent="0.15">
      <c r="A811" s="79"/>
      <c r="B811" s="79"/>
      <c r="K811" s="56"/>
      <c r="O811" s="56"/>
    </row>
    <row r="812" spans="1:15" ht="13" x14ac:dyDescent="0.15">
      <c r="A812" s="79"/>
      <c r="B812" s="79"/>
      <c r="K812" s="56"/>
      <c r="O812" s="56"/>
    </row>
    <row r="813" spans="1:15" ht="13" x14ac:dyDescent="0.15">
      <c r="A813" s="79"/>
      <c r="B813" s="79"/>
      <c r="K813" s="56"/>
      <c r="O813" s="56"/>
    </row>
    <row r="814" spans="1:15" ht="13" x14ac:dyDescent="0.15">
      <c r="A814" s="79"/>
      <c r="B814" s="79"/>
      <c r="K814" s="56"/>
      <c r="O814" s="56"/>
    </row>
    <row r="815" spans="1:15" ht="13" x14ac:dyDescent="0.15">
      <c r="A815" s="79"/>
      <c r="B815" s="79"/>
      <c r="K815" s="56"/>
      <c r="O815" s="56"/>
    </row>
    <row r="816" spans="1:15" ht="13" x14ac:dyDescent="0.15">
      <c r="A816" s="79"/>
      <c r="B816" s="79"/>
      <c r="K816" s="56"/>
      <c r="O816" s="56"/>
    </row>
    <row r="817" spans="1:15" ht="13" x14ac:dyDescent="0.15">
      <c r="A817" s="79"/>
      <c r="B817" s="79"/>
      <c r="K817" s="56"/>
      <c r="O817" s="56"/>
    </row>
    <row r="818" spans="1:15" ht="13" x14ac:dyDescent="0.15">
      <c r="A818" s="79"/>
      <c r="B818" s="79"/>
      <c r="K818" s="56"/>
      <c r="O818" s="56"/>
    </row>
    <row r="819" spans="1:15" ht="13" x14ac:dyDescent="0.15">
      <c r="A819" s="79"/>
      <c r="B819" s="79"/>
      <c r="K819" s="56"/>
      <c r="O819" s="56"/>
    </row>
    <row r="820" spans="1:15" ht="13" x14ac:dyDescent="0.15">
      <c r="A820" s="79"/>
      <c r="B820" s="79"/>
      <c r="K820" s="56"/>
      <c r="O820" s="56"/>
    </row>
    <row r="821" spans="1:15" ht="13" x14ac:dyDescent="0.15">
      <c r="A821" s="79"/>
      <c r="B821" s="79"/>
      <c r="K821" s="56"/>
      <c r="O821" s="56"/>
    </row>
    <row r="822" spans="1:15" ht="13" x14ac:dyDescent="0.15">
      <c r="A822" s="79"/>
      <c r="B822" s="79"/>
      <c r="K822" s="56"/>
      <c r="O822" s="56"/>
    </row>
    <row r="823" spans="1:15" ht="13" x14ac:dyDescent="0.15">
      <c r="A823" s="79"/>
      <c r="B823" s="79"/>
      <c r="K823" s="56"/>
      <c r="O823" s="56"/>
    </row>
    <row r="824" spans="1:15" ht="13" x14ac:dyDescent="0.15">
      <c r="A824" s="79"/>
      <c r="B824" s="79"/>
      <c r="K824" s="56"/>
      <c r="O824" s="56"/>
    </row>
    <row r="825" spans="1:15" ht="13" x14ac:dyDescent="0.15">
      <c r="A825" s="79"/>
      <c r="B825" s="79"/>
      <c r="K825" s="56"/>
      <c r="O825" s="56"/>
    </row>
    <row r="826" spans="1:15" ht="13" x14ac:dyDescent="0.15">
      <c r="A826" s="79"/>
      <c r="B826" s="79"/>
      <c r="K826" s="56"/>
      <c r="O826" s="56"/>
    </row>
    <row r="827" spans="1:15" ht="13" x14ac:dyDescent="0.15">
      <c r="A827" s="79"/>
      <c r="B827" s="79"/>
      <c r="K827" s="56"/>
      <c r="O827" s="56"/>
    </row>
    <row r="828" spans="1:15" ht="13" x14ac:dyDescent="0.15">
      <c r="A828" s="79"/>
      <c r="B828" s="79"/>
      <c r="K828" s="56"/>
      <c r="O828" s="56"/>
    </row>
    <row r="829" spans="1:15" ht="13" x14ac:dyDescent="0.15">
      <c r="A829" s="79"/>
      <c r="B829" s="79"/>
      <c r="K829" s="56"/>
      <c r="O829" s="56"/>
    </row>
    <row r="830" spans="1:15" ht="13" x14ac:dyDescent="0.15">
      <c r="A830" s="79"/>
      <c r="B830" s="79"/>
      <c r="K830" s="56"/>
      <c r="O830" s="56"/>
    </row>
    <row r="831" spans="1:15" ht="13" x14ac:dyDescent="0.15">
      <c r="A831" s="79"/>
      <c r="B831" s="79"/>
      <c r="K831" s="56"/>
      <c r="O831" s="56"/>
    </row>
    <row r="832" spans="1:15" ht="13" x14ac:dyDescent="0.15">
      <c r="A832" s="79"/>
      <c r="B832" s="79"/>
      <c r="K832" s="56"/>
      <c r="O832" s="56"/>
    </row>
    <row r="833" spans="1:15" ht="13" x14ac:dyDescent="0.15">
      <c r="A833" s="79"/>
      <c r="B833" s="79"/>
      <c r="K833" s="56"/>
      <c r="O833" s="56"/>
    </row>
    <row r="834" spans="1:15" ht="13" x14ac:dyDescent="0.15">
      <c r="A834" s="79"/>
      <c r="B834" s="79"/>
      <c r="K834" s="56"/>
      <c r="O834" s="56"/>
    </row>
    <row r="835" spans="1:15" ht="13" x14ac:dyDescent="0.15">
      <c r="A835" s="79"/>
      <c r="B835" s="79"/>
      <c r="K835" s="56"/>
      <c r="O835" s="56"/>
    </row>
    <row r="836" spans="1:15" ht="13" x14ac:dyDescent="0.15">
      <c r="A836" s="79"/>
      <c r="B836" s="79"/>
      <c r="K836" s="56"/>
      <c r="O836" s="56"/>
    </row>
    <row r="837" spans="1:15" ht="13" x14ac:dyDescent="0.15">
      <c r="A837" s="79"/>
      <c r="B837" s="79"/>
      <c r="K837" s="56"/>
      <c r="O837" s="56"/>
    </row>
    <row r="838" spans="1:15" ht="13" x14ac:dyDescent="0.15">
      <c r="A838" s="79"/>
      <c r="B838" s="79"/>
      <c r="K838" s="56"/>
      <c r="O838" s="56"/>
    </row>
    <row r="839" spans="1:15" ht="13" x14ac:dyDescent="0.15">
      <c r="A839" s="79"/>
      <c r="B839" s="79"/>
      <c r="K839" s="56"/>
      <c r="O839" s="56"/>
    </row>
    <row r="840" spans="1:15" ht="13" x14ac:dyDescent="0.15">
      <c r="A840" s="79"/>
      <c r="B840" s="79"/>
      <c r="K840" s="56"/>
      <c r="O840" s="56"/>
    </row>
    <row r="841" spans="1:15" ht="13" x14ac:dyDescent="0.15">
      <c r="A841" s="79"/>
      <c r="B841" s="79"/>
      <c r="K841" s="56"/>
      <c r="O841" s="56"/>
    </row>
    <row r="842" spans="1:15" ht="13" x14ac:dyDescent="0.15">
      <c r="A842" s="79"/>
      <c r="B842" s="79"/>
      <c r="K842" s="56"/>
      <c r="O842" s="56"/>
    </row>
    <row r="843" spans="1:15" ht="13" x14ac:dyDescent="0.15">
      <c r="A843" s="79"/>
      <c r="B843" s="79"/>
      <c r="K843" s="56"/>
      <c r="O843" s="56"/>
    </row>
    <row r="844" spans="1:15" ht="13" x14ac:dyDescent="0.15">
      <c r="A844" s="79"/>
      <c r="B844" s="79"/>
      <c r="K844" s="56"/>
      <c r="O844" s="56"/>
    </row>
    <row r="845" spans="1:15" ht="13" x14ac:dyDescent="0.15">
      <c r="A845" s="79"/>
      <c r="B845" s="79"/>
      <c r="K845" s="56"/>
      <c r="O845" s="56"/>
    </row>
    <row r="846" spans="1:15" ht="13" x14ac:dyDescent="0.15">
      <c r="A846" s="79"/>
      <c r="B846" s="79"/>
      <c r="K846" s="56"/>
      <c r="O846" s="56"/>
    </row>
    <row r="847" spans="1:15" ht="13" x14ac:dyDescent="0.15">
      <c r="A847" s="79"/>
      <c r="B847" s="79"/>
      <c r="K847" s="56"/>
      <c r="O847" s="56"/>
    </row>
    <row r="848" spans="1:15" ht="13" x14ac:dyDescent="0.15">
      <c r="A848" s="79"/>
      <c r="B848" s="79"/>
      <c r="K848" s="56"/>
      <c r="O848" s="56"/>
    </row>
    <row r="849" spans="1:15" ht="13" x14ac:dyDescent="0.15">
      <c r="A849" s="79"/>
      <c r="B849" s="79"/>
      <c r="K849" s="56"/>
      <c r="O849" s="56"/>
    </row>
    <row r="850" spans="1:15" ht="13" x14ac:dyDescent="0.15">
      <c r="A850" s="79"/>
      <c r="B850" s="79"/>
      <c r="K850" s="56"/>
      <c r="O850" s="56"/>
    </row>
    <row r="851" spans="1:15" ht="13" x14ac:dyDescent="0.15">
      <c r="A851" s="79"/>
      <c r="B851" s="79"/>
      <c r="K851" s="56"/>
      <c r="O851" s="56"/>
    </row>
    <row r="852" spans="1:15" ht="13" x14ac:dyDescent="0.15">
      <c r="A852" s="79"/>
      <c r="B852" s="79"/>
      <c r="K852" s="56"/>
      <c r="O852" s="56"/>
    </row>
    <row r="853" spans="1:15" ht="13" x14ac:dyDescent="0.15">
      <c r="A853" s="79"/>
      <c r="B853" s="79"/>
      <c r="K853" s="56"/>
      <c r="O853" s="56"/>
    </row>
    <row r="854" spans="1:15" ht="13" x14ac:dyDescent="0.15">
      <c r="A854" s="79"/>
      <c r="B854" s="79"/>
      <c r="K854" s="56"/>
      <c r="O854" s="56"/>
    </row>
    <row r="855" spans="1:15" ht="13" x14ac:dyDescent="0.15">
      <c r="A855" s="79"/>
      <c r="B855" s="79"/>
      <c r="K855" s="56"/>
      <c r="O855" s="56"/>
    </row>
    <row r="856" spans="1:15" ht="13" x14ac:dyDescent="0.15">
      <c r="A856" s="79"/>
      <c r="B856" s="79"/>
      <c r="K856" s="56"/>
      <c r="O856" s="56"/>
    </row>
    <row r="857" spans="1:15" ht="13" x14ac:dyDescent="0.15">
      <c r="A857" s="79"/>
      <c r="B857" s="79"/>
      <c r="K857" s="56"/>
      <c r="O857" s="56"/>
    </row>
    <row r="858" spans="1:15" ht="13" x14ac:dyDescent="0.15">
      <c r="A858" s="79"/>
      <c r="B858" s="79"/>
      <c r="K858" s="56"/>
      <c r="O858" s="56"/>
    </row>
    <row r="859" spans="1:15" ht="13" x14ac:dyDescent="0.15">
      <c r="A859" s="79"/>
      <c r="B859" s="79"/>
      <c r="K859" s="56"/>
      <c r="O859" s="56"/>
    </row>
    <row r="860" spans="1:15" ht="13" x14ac:dyDescent="0.15">
      <c r="A860" s="79"/>
      <c r="B860" s="79"/>
      <c r="K860" s="56"/>
      <c r="O860" s="56"/>
    </row>
    <row r="861" spans="1:15" ht="13" x14ac:dyDescent="0.15">
      <c r="A861" s="79"/>
      <c r="B861" s="79"/>
      <c r="K861" s="56"/>
      <c r="O861" s="56"/>
    </row>
    <row r="862" spans="1:15" ht="13" x14ac:dyDescent="0.15">
      <c r="A862" s="79"/>
      <c r="B862" s="79"/>
      <c r="K862" s="56"/>
      <c r="O862" s="56"/>
    </row>
    <row r="863" spans="1:15" ht="13" x14ac:dyDescent="0.15">
      <c r="A863" s="79"/>
      <c r="B863" s="79"/>
      <c r="K863" s="56"/>
      <c r="O863" s="56"/>
    </row>
    <row r="864" spans="1:15" ht="13" x14ac:dyDescent="0.15">
      <c r="A864" s="79"/>
      <c r="B864" s="79"/>
      <c r="K864" s="56"/>
      <c r="O864" s="56"/>
    </row>
    <row r="865" spans="1:15" ht="13" x14ac:dyDescent="0.15">
      <c r="A865" s="79"/>
      <c r="B865" s="79"/>
      <c r="K865" s="56"/>
      <c r="O865" s="56"/>
    </row>
    <row r="866" spans="1:15" ht="13" x14ac:dyDescent="0.15">
      <c r="A866" s="79"/>
      <c r="B866" s="79"/>
      <c r="K866" s="56"/>
      <c r="O866" s="56"/>
    </row>
    <row r="867" spans="1:15" ht="13" x14ac:dyDescent="0.15">
      <c r="A867" s="79"/>
      <c r="B867" s="79"/>
      <c r="K867" s="56"/>
      <c r="O867" s="56"/>
    </row>
    <row r="868" spans="1:15" ht="13" x14ac:dyDescent="0.15">
      <c r="A868" s="79"/>
      <c r="B868" s="79"/>
      <c r="K868" s="56"/>
      <c r="O868" s="56"/>
    </row>
    <row r="869" spans="1:15" ht="13" x14ac:dyDescent="0.15">
      <c r="A869" s="79"/>
      <c r="B869" s="79"/>
      <c r="K869" s="56"/>
      <c r="O869" s="56"/>
    </row>
    <row r="870" spans="1:15" ht="13" x14ac:dyDescent="0.15">
      <c r="A870" s="79"/>
      <c r="B870" s="79"/>
      <c r="K870" s="56"/>
      <c r="O870" s="56"/>
    </row>
    <row r="871" spans="1:15" ht="13" x14ac:dyDescent="0.15">
      <c r="A871" s="79"/>
      <c r="B871" s="79"/>
      <c r="K871" s="56"/>
      <c r="O871" s="56"/>
    </row>
    <row r="872" spans="1:15" ht="13" x14ac:dyDescent="0.15">
      <c r="A872" s="79"/>
      <c r="B872" s="79"/>
      <c r="K872" s="56"/>
      <c r="O872" s="56"/>
    </row>
    <row r="873" spans="1:15" ht="13" x14ac:dyDescent="0.15">
      <c r="A873" s="79"/>
      <c r="B873" s="79"/>
      <c r="K873" s="56"/>
      <c r="O873" s="56"/>
    </row>
    <row r="874" spans="1:15" ht="13" x14ac:dyDescent="0.15">
      <c r="A874" s="79"/>
      <c r="B874" s="79"/>
      <c r="K874" s="56"/>
      <c r="O874" s="56"/>
    </row>
    <row r="875" spans="1:15" ht="13" x14ac:dyDescent="0.15">
      <c r="A875" s="79"/>
      <c r="B875" s="79"/>
      <c r="K875" s="56"/>
      <c r="O875" s="56"/>
    </row>
    <row r="876" spans="1:15" ht="13" x14ac:dyDescent="0.15">
      <c r="A876" s="79"/>
      <c r="B876" s="79"/>
      <c r="K876" s="56"/>
      <c r="O876" s="56"/>
    </row>
    <row r="877" spans="1:15" ht="13" x14ac:dyDescent="0.15">
      <c r="A877" s="79"/>
      <c r="B877" s="79"/>
      <c r="K877" s="56"/>
      <c r="O877" s="56"/>
    </row>
    <row r="878" spans="1:15" ht="13" x14ac:dyDescent="0.15">
      <c r="A878" s="79"/>
      <c r="B878" s="79"/>
      <c r="K878" s="56"/>
      <c r="O878" s="56"/>
    </row>
    <row r="879" spans="1:15" ht="13" x14ac:dyDescent="0.15">
      <c r="A879" s="79"/>
      <c r="B879" s="79"/>
      <c r="K879" s="56"/>
      <c r="O879" s="56"/>
    </row>
    <row r="880" spans="1:15" ht="13" x14ac:dyDescent="0.15">
      <c r="A880" s="79"/>
      <c r="B880" s="79"/>
      <c r="K880" s="56"/>
      <c r="O880" s="56"/>
    </row>
    <row r="881" spans="1:15" ht="13" x14ac:dyDescent="0.15">
      <c r="A881" s="79"/>
      <c r="B881" s="79"/>
      <c r="K881" s="56"/>
      <c r="O881" s="56"/>
    </row>
    <row r="882" spans="1:15" ht="13" x14ac:dyDescent="0.15">
      <c r="A882" s="79"/>
      <c r="B882" s="79"/>
      <c r="K882" s="56"/>
      <c r="O882" s="56"/>
    </row>
    <row r="883" spans="1:15" ht="13" x14ac:dyDescent="0.15">
      <c r="A883" s="79"/>
      <c r="B883" s="79"/>
      <c r="K883" s="56"/>
      <c r="O883" s="56"/>
    </row>
    <row r="884" spans="1:15" ht="13" x14ac:dyDescent="0.15">
      <c r="A884" s="79"/>
      <c r="B884" s="79"/>
      <c r="K884" s="56"/>
      <c r="O884" s="56"/>
    </row>
    <row r="885" spans="1:15" ht="13" x14ac:dyDescent="0.15">
      <c r="A885" s="79"/>
      <c r="B885" s="79"/>
      <c r="K885" s="56"/>
      <c r="O885" s="56"/>
    </row>
    <row r="886" spans="1:15" ht="13" x14ac:dyDescent="0.15">
      <c r="A886" s="79"/>
      <c r="B886" s="79"/>
      <c r="K886" s="56"/>
      <c r="O886" s="56"/>
    </row>
    <row r="887" spans="1:15" ht="13" x14ac:dyDescent="0.15">
      <c r="A887" s="79"/>
      <c r="B887" s="79"/>
      <c r="K887" s="56"/>
      <c r="O887" s="56"/>
    </row>
    <row r="888" spans="1:15" ht="13" x14ac:dyDescent="0.15">
      <c r="A888" s="79"/>
      <c r="B888" s="79"/>
      <c r="K888" s="56"/>
      <c r="O888" s="56"/>
    </row>
    <row r="889" spans="1:15" ht="13" x14ac:dyDescent="0.15">
      <c r="A889" s="79"/>
      <c r="B889" s="79"/>
      <c r="K889" s="56"/>
      <c r="O889" s="56"/>
    </row>
    <row r="890" spans="1:15" ht="13" x14ac:dyDescent="0.15">
      <c r="A890" s="79"/>
      <c r="B890" s="79"/>
      <c r="K890" s="56"/>
      <c r="O890" s="56"/>
    </row>
    <row r="891" spans="1:15" ht="13" x14ac:dyDescent="0.15">
      <c r="A891" s="79"/>
      <c r="B891" s="79"/>
      <c r="K891" s="56"/>
      <c r="O891" s="56"/>
    </row>
    <row r="892" spans="1:15" ht="13" x14ac:dyDescent="0.15">
      <c r="A892" s="79"/>
      <c r="B892" s="79"/>
      <c r="K892" s="56"/>
      <c r="O892" s="56"/>
    </row>
    <row r="893" spans="1:15" ht="13" x14ac:dyDescent="0.15">
      <c r="A893" s="79"/>
      <c r="B893" s="79"/>
      <c r="K893" s="56"/>
      <c r="O893" s="56"/>
    </row>
    <row r="894" spans="1:15" ht="13" x14ac:dyDescent="0.15">
      <c r="A894" s="79"/>
      <c r="B894" s="79"/>
      <c r="K894" s="56"/>
      <c r="O894" s="56"/>
    </row>
    <row r="895" spans="1:15" ht="13" x14ac:dyDescent="0.15">
      <c r="A895" s="79"/>
      <c r="B895" s="79"/>
      <c r="K895" s="56"/>
      <c r="O895" s="56"/>
    </row>
    <row r="896" spans="1:15" ht="13" x14ac:dyDescent="0.15">
      <c r="A896" s="79"/>
      <c r="B896" s="79"/>
      <c r="K896" s="56"/>
      <c r="O896" s="56"/>
    </row>
    <row r="897" spans="1:15" ht="13" x14ac:dyDescent="0.15">
      <c r="A897" s="79"/>
      <c r="B897" s="79"/>
      <c r="K897" s="56"/>
      <c r="O897" s="56"/>
    </row>
    <row r="898" spans="1:15" ht="13" x14ac:dyDescent="0.15">
      <c r="A898" s="79"/>
      <c r="B898" s="79"/>
      <c r="K898" s="56"/>
      <c r="O898" s="56"/>
    </row>
    <row r="899" spans="1:15" ht="13" x14ac:dyDescent="0.15">
      <c r="A899" s="79"/>
      <c r="B899" s="79"/>
      <c r="K899" s="56"/>
      <c r="O899" s="56"/>
    </row>
    <row r="900" spans="1:15" ht="13" x14ac:dyDescent="0.15">
      <c r="A900" s="79"/>
      <c r="B900" s="79"/>
      <c r="K900" s="56"/>
      <c r="O900" s="56"/>
    </row>
    <row r="901" spans="1:15" ht="13" x14ac:dyDescent="0.15">
      <c r="A901" s="79"/>
      <c r="B901" s="79"/>
      <c r="K901" s="56"/>
      <c r="O901" s="56"/>
    </row>
    <row r="902" spans="1:15" ht="13" x14ac:dyDescent="0.15">
      <c r="A902" s="79"/>
      <c r="B902" s="79"/>
      <c r="K902" s="56"/>
      <c r="O902" s="56"/>
    </row>
    <row r="903" spans="1:15" ht="13" x14ac:dyDescent="0.15">
      <c r="A903" s="79"/>
      <c r="B903" s="79"/>
      <c r="K903" s="56"/>
      <c r="O903" s="56"/>
    </row>
    <row r="904" spans="1:15" ht="13" x14ac:dyDescent="0.15">
      <c r="A904" s="79"/>
      <c r="B904" s="79"/>
      <c r="K904" s="56"/>
      <c r="O904" s="56"/>
    </row>
    <row r="905" spans="1:15" ht="13" x14ac:dyDescent="0.15">
      <c r="A905" s="79"/>
      <c r="B905" s="79"/>
      <c r="K905" s="56"/>
      <c r="O905" s="56"/>
    </row>
    <row r="906" spans="1:15" ht="13" x14ac:dyDescent="0.15">
      <c r="A906" s="79"/>
      <c r="B906" s="79"/>
      <c r="K906" s="56"/>
      <c r="O906" s="56"/>
    </row>
    <row r="907" spans="1:15" ht="13" x14ac:dyDescent="0.15">
      <c r="A907" s="79"/>
      <c r="B907" s="79"/>
      <c r="K907" s="56"/>
      <c r="O907" s="56"/>
    </row>
    <row r="908" spans="1:15" ht="13" x14ac:dyDescent="0.15">
      <c r="A908" s="79"/>
      <c r="B908" s="79"/>
      <c r="K908" s="56"/>
      <c r="O908" s="56"/>
    </row>
    <row r="909" spans="1:15" ht="13" x14ac:dyDescent="0.15">
      <c r="A909" s="79"/>
      <c r="B909" s="79"/>
      <c r="K909" s="56"/>
      <c r="O909" s="56"/>
    </row>
    <row r="910" spans="1:15" ht="13" x14ac:dyDescent="0.15">
      <c r="A910" s="79"/>
      <c r="B910" s="79"/>
      <c r="K910" s="56"/>
      <c r="O910" s="56"/>
    </row>
    <row r="911" spans="1:15" ht="13" x14ac:dyDescent="0.15">
      <c r="A911" s="79"/>
      <c r="B911" s="79"/>
      <c r="K911" s="56"/>
      <c r="O911" s="56"/>
    </row>
    <row r="912" spans="1:15" ht="13" x14ac:dyDescent="0.15">
      <c r="A912" s="79"/>
      <c r="B912" s="79"/>
      <c r="K912" s="56"/>
      <c r="O912" s="56"/>
    </row>
    <row r="913" spans="1:15" ht="13" x14ac:dyDescent="0.15">
      <c r="A913" s="79"/>
      <c r="B913" s="79"/>
      <c r="K913" s="56"/>
      <c r="O913" s="56"/>
    </row>
    <row r="914" spans="1:15" ht="13" x14ac:dyDescent="0.15">
      <c r="A914" s="79"/>
      <c r="B914" s="79"/>
      <c r="K914" s="56"/>
      <c r="O914" s="56"/>
    </row>
    <row r="915" spans="1:15" ht="13" x14ac:dyDescent="0.15">
      <c r="A915" s="79"/>
      <c r="B915" s="79"/>
      <c r="K915" s="56"/>
      <c r="O915" s="56"/>
    </row>
    <row r="916" spans="1:15" ht="13" x14ac:dyDescent="0.15">
      <c r="A916" s="79"/>
      <c r="B916" s="79"/>
      <c r="K916" s="56"/>
      <c r="O916" s="56"/>
    </row>
    <row r="917" spans="1:15" ht="13" x14ac:dyDescent="0.15">
      <c r="A917" s="79"/>
      <c r="B917" s="79"/>
      <c r="K917" s="56"/>
      <c r="O917" s="56"/>
    </row>
    <row r="918" spans="1:15" ht="13" x14ac:dyDescent="0.15">
      <c r="A918" s="79"/>
      <c r="B918" s="79"/>
      <c r="K918" s="56"/>
      <c r="O918" s="56"/>
    </row>
    <row r="919" spans="1:15" ht="13" x14ac:dyDescent="0.15">
      <c r="A919" s="79"/>
      <c r="B919" s="79"/>
      <c r="K919" s="56"/>
      <c r="O919" s="56"/>
    </row>
    <row r="920" spans="1:15" ht="13" x14ac:dyDescent="0.15">
      <c r="A920" s="79"/>
      <c r="B920" s="79"/>
      <c r="K920" s="56"/>
      <c r="O920" s="56"/>
    </row>
    <row r="921" spans="1:15" ht="13" x14ac:dyDescent="0.15">
      <c r="A921" s="79"/>
      <c r="B921" s="79"/>
      <c r="K921" s="56"/>
      <c r="O921" s="56"/>
    </row>
    <row r="922" spans="1:15" ht="13" x14ac:dyDescent="0.15">
      <c r="A922" s="79"/>
      <c r="B922" s="79"/>
      <c r="K922" s="56"/>
      <c r="O922" s="56"/>
    </row>
    <row r="923" spans="1:15" ht="13" x14ac:dyDescent="0.15">
      <c r="A923" s="79"/>
      <c r="B923" s="79"/>
      <c r="K923" s="56"/>
      <c r="O923" s="56"/>
    </row>
    <row r="924" spans="1:15" ht="13" x14ac:dyDescent="0.15">
      <c r="A924" s="79"/>
      <c r="B924" s="79"/>
      <c r="K924" s="56"/>
      <c r="O924" s="56"/>
    </row>
    <row r="925" spans="1:15" ht="13" x14ac:dyDescent="0.15">
      <c r="A925" s="79"/>
      <c r="B925" s="79"/>
      <c r="K925" s="56"/>
      <c r="O925" s="56"/>
    </row>
    <row r="926" spans="1:15" ht="13" x14ac:dyDescent="0.15">
      <c r="A926" s="79"/>
      <c r="B926" s="79"/>
      <c r="K926" s="56"/>
      <c r="O926" s="56"/>
    </row>
    <row r="927" spans="1:15" ht="13" x14ac:dyDescent="0.15">
      <c r="A927" s="79"/>
      <c r="B927" s="79"/>
      <c r="K927" s="56"/>
      <c r="O927" s="56"/>
    </row>
    <row r="928" spans="1:15" ht="13" x14ac:dyDescent="0.15">
      <c r="A928" s="79"/>
      <c r="B928" s="79"/>
      <c r="K928" s="56"/>
      <c r="O928" s="56"/>
    </row>
    <row r="929" spans="1:15" ht="13" x14ac:dyDescent="0.15">
      <c r="A929" s="79"/>
      <c r="B929" s="79"/>
      <c r="K929" s="56"/>
      <c r="O929" s="56"/>
    </row>
    <row r="930" spans="1:15" ht="13" x14ac:dyDescent="0.15">
      <c r="A930" s="79"/>
      <c r="B930" s="79"/>
      <c r="K930" s="56"/>
      <c r="O930" s="56"/>
    </row>
    <row r="931" spans="1:15" ht="13" x14ac:dyDescent="0.15">
      <c r="A931" s="79"/>
      <c r="B931" s="79"/>
      <c r="K931" s="56"/>
      <c r="O931" s="56"/>
    </row>
    <row r="932" spans="1:15" ht="13" x14ac:dyDescent="0.15">
      <c r="A932" s="79"/>
      <c r="B932" s="79"/>
      <c r="K932" s="56"/>
      <c r="O932" s="56"/>
    </row>
    <row r="933" spans="1:15" ht="13" x14ac:dyDescent="0.15">
      <c r="A933" s="79"/>
      <c r="B933" s="79"/>
      <c r="K933" s="56"/>
      <c r="O933" s="56"/>
    </row>
    <row r="934" spans="1:15" ht="13" x14ac:dyDescent="0.15">
      <c r="A934" s="79"/>
      <c r="B934" s="79"/>
      <c r="K934" s="56"/>
      <c r="O934" s="56"/>
    </row>
    <row r="935" spans="1:15" ht="13" x14ac:dyDescent="0.15">
      <c r="A935" s="79"/>
      <c r="B935" s="79"/>
      <c r="K935" s="56"/>
      <c r="O935" s="56"/>
    </row>
    <row r="936" spans="1:15" ht="13" x14ac:dyDescent="0.15">
      <c r="A936" s="79"/>
      <c r="B936" s="79"/>
      <c r="K936" s="56"/>
      <c r="O936" s="56"/>
    </row>
    <row r="937" spans="1:15" ht="13" x14ac:dyDescent="0.15">
      <c r="A937" s="79"/>
      <c r="B937" s="79"/>
      <c r="K937" s="56"/>
      <c r="O937" s="56"/>
    </row>
    <row r="938" spans="1:15" ht="13" x14ac:dyDescent="0.15">
      <c r="A938" s="79"/>
      <c r="B938" s="79"/>
      <c r="K938" s="56"/>
      <c r="O938" s="56"/>
    </row>
    <row r="939" spans="1:15" ht="13" x14ac:dyDescent="0.15">
      <c r="A939" s="79"/>
      <c r="B939" s="79"/>
      <c r="K939" s="56"/>
      <c r="O939" s="56"/>
    </row>
    <row r="940" spans="1:15" ht="13" x14ac:dyDescent="0.15">
      <c r="A940" s="79"/>
      <c r="B940" s="79"/>
      <c r="K940" s="56"/>
      <c r="O940" s="56"/>
    </row>
    <row r="941" spans="1:15" ht="13" x14ac:dyDescent="0.15">
      <c r="A941" s="79"/>
      <c r="B941" s="79"/>
      <c r="K941" s="56"/>
      <c r="O941" s="56"/>
    </row>
    <row r="942" spans="1:15" ht="13" x14ac:dyDescent="0.15">
      <c r="A942" s="79"/>
      <c r="B942" s="79"/>
      <c r="K942" s="56"/>
      <c r="O942" s="56"/>
    </row>
    <row r="943" spans="1:15" ht="13" x14ac:dyDescent="0.15">
      <c r="A943" s="79"/>
      <c r="B943" s="79"/>
      <c r="K943" s="56"/>
      <c r="O943" s="56"/>
    </row>
    <row r="944" spans="1:15" ht="13" x14ac:dyDescent="0.15">
      <c r="A944" s="79"/>
      <c r="B944" s="79"/>
      <c r="K944" s="56"/>
      <c r="O944" s="56"/>
    </row>
    <row r="945" spans="1:15" ht="13" x14ac:dyDescent="0.15">
      <c r="A945" s="79"/>
      <c r="B945" s="79"/>
      <c r="K945" s="56"/>
      <c r="O945" s="56"/>
    </row>
    <row r="946" spans="1:15" ht="13" x14ac:dyDescent="0.15">
      <c r="A946" s="79"/>
      <c r="B946" s="79"/>
      <c r="K946" s="56"/>
      <c r="O946" s="56"/>
    </row>
    <row r="947" spans="1:15" ht="13" x14ac:dyDescent="0.15">
      <c r="A947" s="79"/>
      <c r="B947" s="79"/>
      <c r="K947" s="56"/>
      <c r="O947" s="56"/>
    </row>
    <row r="948" spans="1:15" ht="13" x14ac:dyDescent="0.15">
      <c r="A948" s="79"/>
      <c r="B948" s="79"/>
      <c r="K948" s="56"/>
      <c r="O948" s="56"/>
    </row>
    <row r="949" spans="1:15" ht="13" x14ac:dyDescent="0.15">
      <c r="A949" s="79"/>
      <c r="B949" s="79"/>
      <c r="K949" s="56"/>
      <c r="O949" s="56"/>
    </row>
    <row r="950" spans="1:15" ht="13" x14ac:dyDescent="0.15">
      <c r="A950" s="79"/>
      <c r="B950" s="79"/>
      <c r="K950" s="56"/>
      <c r="O950" s="56"/>
    </row>
    <row r="951" spans="1:15" ht="13" x14ac:dyDescent="0.15">
      <c r="A951" s="79"/>
      <c r="B951" s="79"/>
      <c r="K951" s="56"/>
      <c r="O951" s="56"/>
    </row>
    <row r="952" spans="1:15" ht="13" x14ac:dyDescent="0.15">
      <c r="A952" s="79"/>
      <c r="B952" s="79"/>
      <c r="K952" s="56"/>
      <c r="O952" s="56"/>
    </row>
    <row r="953" spans="1:15" ht="13" x14ac:dyDescent="0.15">
      <c r="A953" s="79"/>
      <c r="B953" s="79"/>
      <c r="K953" s="56"/>
      <c r="O953" s="56"/>
    </row>
    <row r="954" spans="1:15" ht="13" x14ac:dyDescent="0.15">
      <c r="A954" s="79"/>
      <c r="B954" s="79"/>
      <c r="K954" s="56"/>
      <c r="O954" s="56"/>
    </row>
    <row r="955" spans="1:15" ht="13" x14ac:dyDescent="0.15">
      <c r="A955" s="79"/>
      <c r="B955" s="79"/>
      <c r="K955" s="56"/>
      <c r="O955" s="56"/>
    </row>
    <row r="956" spans="1:15" ht="13" x14ac:dyDescent="0.15">
      <c r="A956" s="79"/>
      <c r="B956" s="79"/>
      <c r="K956" s="56"/>
      <c r="O956" s="56"/>
    </row>
    <row r="957" spans="1:15" ht="13" x14ac:dyDescent="0.15">
      <c r="A957" s="79"/>
      <c r="B957" s="79"/>
      <c r="K957" s="56"/>
      <c r="O957" s="56"/>
    </row>
    <row r="958" spans="1:15" ht="13" x14ac:dyDescent="0.15">
      <c r="A958" s="79"/>
      <c r="B958" s="79"/>
      <c r="K958" s="56"/>
      <c r="O958" s="56"/>
    </row>
    <row r="959" spans="1:15" ht="13" x14ac:dyDescent="0.15">
      <c r="A959" s="79"/>
      <c r="B959" s="79"/>
      <c r="K959" s="56"/>
      <c r="O959" s="56"/>
    </row>
    <row r="960" spans="1:15" ht="13" x14ac:dyDescent="0.15">
      <c r="A960" s="79"/>
      <c r="B960" s="79"/>
      <c r="K960" s="56"/>
      <c r="O960" s="56"/>
    </row>
    <row r="961" spans="1:15" ht="13" x14ac:dyDescent="0.15">
      <c r="A961" s="79"/>
      <c r="B961" s="79"/>
      <c r="K961" s="56"/>
      <c r="O961" s="56"/>
    </row>
    <row r="962" spans="1:15" ht="13" x14ac:dyDescent="0.15">
      <c r="A962" s="79"/>
      <c r="B962" s="79"/>
      <c r="K962" s="56"/>
      <c r="O962" s="56"/>
    </row>
    <row r="963" spans="1:15" ht="13" x14ac:dyDescent="0.15">
      <c r="A963" s="79"/>
      <c r="B963" s="79"/>
      <c r="K963" s="56"/>
      <c r="O963" s="56"/>
    </row>
    <row r="964" spans="1:15" ht="13" x14ac:dyDescent="0.15">
      <c r="A964" s="79"/>
      <c r="B964" s="79"/>
      <c r="K964" s="56"/>
      <c r="O964" s="56"/>
    </row>
    <row r="965" spans="1:15" ht="13" x14ac:dyDescent="0.15">
      <c r="A965" s="79"/>
      <c r="B965" s="79"/>
      <c r="K965" s="56"/>
      <c r="O965" s="56"/>
    </row>
    <row r="966" spans="1:15" ht="13" x14ac:dyDescent="0.15">
      <c r="A966" s="79"/>
      <c r="B966" s="79"/>
      <c r="K966" s="56"/>
      <c r="O966" s="56"/>
    </row>
    <row r="967" spans="1:15" ht="13" x14ac:dyDescent="0.15">
      <c r="A967" s="79"/>
      <c r="B967" s="79"/>
      <c r="K967" s="56"/>
      <c r="O967" s="56"/>
    </row>
    <row r="968" spans="1:15" ht="13" x14ac:dyDescent="0.15">
      <c r="A968" s="79"/>
      <c r="B968" s="79"/>
      <c r="K968" s="56"/>
      <c r="O968" s="56"/>
    </row>
    <row r="969" spans="1:15" ht="13" x14ac:dyDescent="0.15">
      <c r="A969" s="79"/>
      <c r="B969" s="79"/>
      <c r="K969" s="56"/>
      <c r="O969" s="56"/>
    </row>
    <row r="970" spans="1:15" ht="13" x14ac:dyDescent="0.15">
      <c r="A970" s="79"/>
      <c r="B970" s="79"/>
      <c r="K970" s="56"/>
      <c r="O970" s="56"/>
    </row>
    <row r="971" spans="1:15" ht="13" x14ac:dyDescent="0.15">
      <c r="A971" s="79"/>
      <c r="B971" s="79"/>
      <c r="K971" s="56"/>
      <c r="O971" s="56"/>
    </row>
    <row r="972" spans="1:15" ht="13" x14ac:dyDescent="0.15">
      <c r="A972" s="79"/>
      <c r="B972" s="79"/>
      <c r="K972" s="56"/>
      <c r="O972" s="56"/>
    </row>
    <row r="973" spans="1:15" ht="13" x14ac:dyDescent="0.15">
      <c r="A973" s="79"/>
      <c r="B973" s="79"/>
      <c r="K973" s="56"/>
      <c r="O973" s="56"/>
    </row>
    <row r="974" spans="1:15" ht="13" x14ac:dyDescent="0.15">
      <c r="A974" s="79"/>
      <c r="B974" s="79"/>
      <c r="K974" s="56"/>
      <c r="O974" s="56"/>
    </row>
    <row r="975" spans="1:15" ht="13" x14ac:dyDescent="0.15">
      <c r="A975" s="79"/>
      <c r="B975" s="79"/>
      <c r="K975" s="56"/>
      <c r="O975" s="56"/>
    </row>
    <row r="976" spans="1:15" ht="13" x14ac:dyDescent="0.15">
      <c r="A976" s="79"/>
      <c r="B976" s="79"/>
      <c r="K976" s="56"/>
      <c r="O976" s="56"/>
    </row>
    <row r="977" spans="1:15" ht="13" x14ac:dyDescent="0.15">
      <c r="A977" s="79"/>
      <c r="B977" s="79"/>
      <c r="K977" s="56"/>
      <c r="O977" s="56"/>
    </row>
    <row r="978" spans="1:15" ht="13" x14ac:dyDescent="0.15">
      <c r="A978" s="79"/>
      <c r="B978" s="79"/>
      <c r="K978" s="56"/>
      <c r="O978" s="56"/>
    </row>
    <row r="979" spans="1:15" ht="13" x14ac:dyDescent="0.15">
      <c r="A979" s="79"/>
      <c r="B979" s="79"/>
      <c r="K979" s="56"/>
      <c r="O979" s="56"/>
    </row>
    <row r="980" spans="1:15" ht="13" x14ac:dyDescent="0.15">
      <c r="A980" s="79"/>
      <c r="B980" s="79"/>
      <c r="K980" s="56"/>
      <c r="O980" s="56"/>
    </row>
    <row r="981" spans="1:15" ht="13" x14ac:dyDescent="0.15">
      <c r="A981" s="79"/>
      <c r="B981" s="79"/>
      <c r="K981" s="56"/>
      <c r="O981" s="56"/>
    </row>
    <row r="982" spans="1:15" ht="13" x14ac:dyDescent="0.15">
      <c r="A982" s="79"/>
      <c r="B982" s="79"/>
      <c r="K982" s="56"/>
      <c r="O982" s="56"/>
    </row>
    <row r="983" spans="1:15" ht="13" x14ac:dyDescent="0.15">
      <c r="A983" s="79"/>
      <c r="B983" s="79"/>
      <c r="K983" s="56"/>
      <c r="O983" s="56"/>
    </row>
    <row r="984" spans="1:15" ht="13" x14ac:dyDescent="0.15">
      <c r="A984" s="79"/>
      <c r="B984" s="79"/>
      <c r="K984" s="56"/>
      <c r="O984" s="56"/>
    </row>
    <row r="985" spans="1:15" ht="13" x14ac:dyDescent="0.15">
      <c r="A985" s="79"/>
      <c r="B985" s="79"/>
      <c r="K985" s="56"/>
      <c r="O985" s="56"/>
    </row>
    <row r="986" spans="1:15" ht="13" x14ac:dyDescent="0.15">
      <c r="A986" s="79"/>
      <c r="B986" s="79"/>
      <c r="K986" s="56"/>
      <c r="O986" s="56"/>
    </row>
    <row r="987" spans="1:15" ht="13" x14ac:dyDescent="0.15">
      <c r="A987" s="79"/>
      <c r="B987" s="79"/>
      <c r="K987" s="56"/>
      <c r="O987" s="56"/>
    </row>
    <row r="988" spans="1:15" ht="13" x14ac:dyDescent="0.15">
      <c r="A988" s="79"/>
      <c r="B988" s="79"/>
      <c r="K988" s="56"/>
      <c r="O988" s="56"/>
    </row>
    <row r="989" spans="1:15" ht="13" x14ac:dyDescent="0.15">
      <c r="A989" s="79"/>
      <c r="B989" s="79"/>
      <c r="K989" s="56"/>
      <c r="O989" s="56"/>
    </row>
    <row r="990" spans="1:15" ht="13" x14ac:dyDescent="0.15">
      <c r="A990" s="79"/>
      <c r="B990" s="79"/>
      <c r="K990" s="56"/>
      <c r="O990" s="56"/>
    </row>
  </sheetData>
  <hyperlinks>
    <hyperlink ref="M2" r:id="rId1" xr:uid="{00000000-0004-0000-0900-000000000000}"/>
    <hyperlink ref="M3" r:id="rId2" xr:uid="{00000000-0004-0000-0900-000001000000}"/>
    <hyperlink ref="M4" r:id="rId3" xr:uid="{00000000-0004-0000-0900-000002000000}"/>
    <hyperlink ref="M5" r:id="rId4" xr:uid="{00000000-0004-0000-0900-000003000000}"/>
    <hyperlink ref="M6" r:id="rId5" xr:uid="{00000000-0004-0000-0900-000004000000}"/>
    <hyperlink ref="M7" r:id="rId6" xr:uid="{00000000-0004-0000-0900-000005000000}"/>
    <hyperlink ref="M8" r:id="rId7" xr:uid="{00000000-0004-0000-0900-000006000000}"/>
    <hyperlink ref="M9" r:id="rId8" xr:uid="{00000000-0004-0000-0900-000007000000}"/>
    <hyperlink ref="M10" r:id="rId9" xr:uid="{00000000-0004-0000-0900-000008000000}"/>
    <hyperlink ref="M11" r:id="rId10" xr:uid="{00000000-0004-0000-0900-000009000000}"/>
    <hyperlink ref="M12" r:id="rId11" xr:uid="{00000000-0004-0000-0900-00000A000000}"/>
    <hyperlink ref="M13" r:id="rId12" xr:uid="{00000000-0004-0000-0900-00000B000000}"/>
    <hyperlink ref="M14" r:id="rId13" xr:uid="{00000000-0004-0000-0900-00000C000000}"/>
    <hyperlink ref="M15" r:id="rId14" xr:uid="{00000000-0004-0000-0900-00000D000000}"/>
    <hyperlink ref="M16" r:id="rId15" xr:uid="{00000000-0004-0000-0900-00000E000000}"/>
    <hyperlink ref="N35" r:id="rId16" xr:uid="{00000000-0004-0000-0900-00000F000000}"/>
    <hyperlink ref="M54" r:id="rId17" xr:uid="{00000000-0004-0000-0900-000010000000}"/>
    <hyperlink ref="K55" r:id="rId18" xr:uid="{00000000-0004-0000-0900-000011000000}"/>
    <hyperlink ref="M55" r:id="rId19" xr:uid="{00000000-0004-0000-0900-000012000000}"/>
    <hyperlink ref="M58" r:id="rId20" xr:uid="{00000000-0004-0000-0900-000013000000}"/>
  </hyperlinks>
  <pageMargins left="0.7" right="0.7" top="0.3" bottom="0.3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97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8.33203125" customWidth="1"/>
    <col min="2" max="2" width="17.83203125" customWidth="1"/>
    <col min="3" max="3" width="7" customWidth="1"/>
    <col min="4" max="4" width="13.6640625" customWidth="1"/>
    <col min="5" max="5" width="53.33203125" customWidth="1"/>
    <col min="6" max="6" width="96.83203125" customWidth="1"/>
    <col min="7" max="7" width="18.33203125" customWidth="1"/>
    <col min="8" max="8" width="40.6640625" customWidth="1"/>
    <col min="9" max="9" width="25.83203125" customWidth="1"/>
    <col min="10" max="10" width="26.83203125" customWidth="1"/>
    <col min="11" max="11" width="24.6640625" customWidth="1"/>
    <col min="12" max="12" width="23" customWidth="1"/>
    <col min="13" max="13" width="22.6640625" customWidth="1"/>
    <col min="14" max="14" width="39" customWidth="1"/>
    <col min="15" max="15" width="20.6640625" customWidth="1"/>
    <col min="16" max="16" width="14.83203125" customWidth="1"/>
    <col min="17" max="17" width="26.33203125" customWidth="1"/>
    <col min="18" max="18" width="24.83203125" customWidth="1"/>
    <col min="19" max="19" width="22.83203125" customWidth="1"/>
    <col min="20" max="20" width="20.5" customWidth="1"/>
    <col min="21" max="21" width="33.1640625" customWidth="1"/>
    <col min="22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80" t="s">
        <v>38</v>
      </c>
      <c r="D1" s="80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20</v>
      </c>
      <c r="B2" s="61" t="s">
        <v>3027</v>
      </c>
      <c r="C2" s="62" t="s">
        <v>51</v>
      </c>
      <c r="D2" s="62" t="str">
        <f t="shared" ref="D2:D131" si="0">A2&amp;B2&amp;C2</f>
        <v>2010001</v>
      </c>
      <c r="E2" s="63" t="s">
        <v>3028</v>
      </c>
      <c r="F2" s="63" t="s">
        <v>3029</v>
      </c>
      <c r="G2" s="63" t="s">
        <v>3030</v>
      </c>
      <c r="H2" s="63" t="s">
        <v>3031</v>
      </c>
      <c r="I2" s="63" t="s">
        <v>3032</v>
      </c>
      <c r="J2" s="63"/>
      <c r="K2" s="62" t="s">
        <v>3033</v>
      </c>
      <c r="L2" s="62"/>
      <c r="M2" s="63"/>
      <c r="N2" s="63" t="s">
        <v>3034</v>
      </c>
      <c r="O2" s="62">
        <v>5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20</v>
      </c>
      <c r="B3" s="61" t="s">
        <v>3027</v>
      </c>
      <c r="C3" s="62" t="s">
        <v>60</v>
      </c>
      <c r="D3" s="62" t="str">
        <f t="shared" si="0"/>
        <v>2010002</v>
      </c>
      <c r="E3" s="63" t="s">
        <v>3035</v>
      </c>
      <c r="F3" s="63" t="s">
        <v>3036</v>
      </c>
      <c r="G3" s="63" t="s">
        <v>3030</v>
      </c>
      <c r="H3" s="63" t="s">
        <v>3037</v>
      </c>
      <c r="I3" s="63" t="s">
        <v>3038</v>
      </c>
      <c r="J3" s="63"/>
      <c r="K3" s="62">
        <v>82331508540</v>
      </c>
      <c r="L3" s="62"/>
      <c r="M3" s="151" t="s">
        <v>3039</v>
      </c>
      <c r="N3" s="63" t="s">
        <v>3040</v>
      </c>
      <c r="O3" s="62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20</v>
      </c>
      <c r="B4" s="61" t="s">
        <v>3027</v>
      </c>
      <c r="C4" s="62" t="s">
        <v>68</v>
      </c>
      <c r="D4" s="62" t="str">
        <f t="shared" si="0"/>
        <v>2010003</v>
      </c>
      <c r="E4" s="63" t="s">
        <v>3041</v>
      </c>
      <c r="F4" s="63" t="s">
        <v>3042</v>
      </c>
      <c r="G4" s="63" t="s">
        <v>3043</v>
      </c>
      <c r="H4" s="63" t="s">
        <v>3044</v>
      </c>
      <c r="I4" s="63" t="s">
        <v>3045</v>
      </c>
      <c r="J4" s="63"/>
      <c r="K4" s="62">
        <f>6281515150337</f>
        <v>6281515150337</v>
      </c>
      <c r="L4" s="62"/>
      <c r="M4" s="151" t="s">
        <v>3046</v>
      </c>
      <c r="N4" s="63" t="s">
        <v>3047</v>
      </c>
      <c r="O4" s="6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20</v>
      </c>
      <c r="B5" s="61" t="s">
        <v>3027</v>
      </c>
      <c r="C5" s="62" t="s">
        <v>76</v>
      </c>
      <c r="D5" s="62" t="str">
        <f t="shared" si="0"/>
        <v>2010004</v>
      </c>
      <c r="E5" s="63" t="s">
        <v>3048</v>
      </c>
      <c r="F5" s="63" t="s">
        <v>3049</v>
      </c>
      <c r="G5" s="63" t="s">
        <v>3043</v>
      </c>
      <c r="H5" s="63" t="s">
        <v>3050</v>
      </c>
      <c r="I5" s="63" t="s">
        <v>3051</v>
      </c>
      <c r="J5" s="63"/>
      <c r="K5" s="62" t="s">
        <v>3052</v>
      </c>
      <c r="L5" s="62"/>
      <c r="M5" s="151" t="s">
        <v>3053</v>
      </c>
      <c r="N5" s="63" t="s">
        <v>3054</v>
      </c>
      <c r="O5" s="62">
        <v>11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20</v>
      </c>
      <c r="B6" s="61" t="s">
        <v>3027</v>
      </c>
      <c r="C6" s="62" t="s">
        <v>84</v>
      </c>
      <c r="D6" s="62" t="str">
        <f t="shared" si="0"/>
        <v>2010005</v>
      </c>
      <c r="E6" s="63" t="s">
        <v>3055</v>
      </c>
      <c r="F6" s="63" t="s">
        <v>3056</v>
      </c>
      <c r="G6" s="63" t="s">
        <v>3030</v>
      </c>
      <c r="H6" s="63" t="s">
        <v>3057</v>
      </c>
      <c r="I6" s="63" t="s">
        <v>3058</v>
      </c>
      <c r="J6" s="63" t="s">
        <v>3059</v>
      </c>
      <c r="K6" s="62" t="s">
        <v>3060</v>
      </c>
      <c r="L6" s="62">
        <v>82323827348</v>
      </c>
      <c r="M6" s="151" t="s">
        <v>3061</v>
      </c>
      <c r="N6" s="63" t="s">
        <v>3062</v>
      </c>
      <c r="O6" s="62">
        <v>4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20</v>
      </c>
      <c r="B7" s="61" t="s">
        <v>3027</v>
      </c>
      <c r="C7" s="62" t="s">
        <v>92</v>
      </c>
      <c r="D7" s="62" t="str">
        <f t="shared" si="0"/>
        <v>2010006</v>
      </c>
      <c r="E7" s="63" t="s">
        <v>3063</v>
      </c>
      <c r="F7" s="63" t="s">
        <v>3064</v>
      </c>
      <c r="G7" s="63" t="s">
        <v>3030</v>
      </c>
      <c r="H7" s="63" t="s">
        <v>3065</v>
      </c>
      <c r="I7" s="63" t="s">
        <v>3066</v>
      </c>
      <c r="J7" s="63" t="s">
        <v>3067</v>
      </c>
      <c r="K7" s="62" t="s">
        <v>3068</v>
      </c>
      <c r="L7" s="62">
        <f>6281908884693</f>
        <v>6281908884693</v>
      </c>
      <c r="M7" s="63" t="s">
        <v>3069</v>
      </c>
      <c r="N7" s="63" t="s">
        <v>3070</v>
      </c>
      <c r="O7" s="62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21</v>
      </c>
      <c r="B8" s="61" t="s">
        <v>3027</v>
      </c>
      <c r="C8" s="62" t="s">
        <v>100</v>
      </c>
      <c r="D8" s="62" t="str">
        <f t="shared" si="0"/>
        <v>2110007</v>
      </c>
      <c r="E8" s="63" t="s">
        <v>3071</v>
      </c>
      <c r="F8" s="63" t="s">
        <v>3072</v>
      </c>
      <c r="G8" s="63" t="s">
        <v>3030</v>
      </c>
      <c r="H8" s="63" t="s">
        <v>3073</v>
      </c>
      <c r="I8" s="63" t="s">
        <v>3074</v>
      </c>
      <c r="J8" s="63"/>
      <c r="K8" s="62">
        <v>85882088775</v>
      </c>
      <c r="L8" s="62"/>
      <c r="M8" s="63" t="s">
        <v>3075</v>
      </c>
      <c r="N8" s="63" t="s">
        <v>3076</v>
      </c>
      <c r="O8" s="62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21</v>
      </c>
      <c r="B9" s="61" t="s">
        <v>3027</v>
      </c>
      <c r="C9" s="62" t="s">
        <v>108</v>
      </c>
      <c r="D9" s="62" t="str">
        <f t="shared" si="0"/>
        <v>2110008</v>
      </c>
      <c r="E9" s="63" t="s">
        <v>3077</v>
      </c>
      <c r="F9" s="63" t="s">
        <v>3078</v>
      </c>
      <c r="G9" s="63" t="s">
        <v>3030</v>
      </c>
      <c r="H9" s="63" t="s">
        <v>3079</v>
      </c>
      <c r="I9" s="63" t="s">
        <v>3080</v>
      </c>
      <c r="J9" s="63" t="s">
        <v>3081</v>
      </c>
      <c r="K9" s="62">
        <v>82143680954</v>
      </c>
      <c r="L9" s="62">
        <v>81230190502</v>
      </c>
      <c r="M9" s="63" t="s">
        <v>3082</v>
      </c>
      <c r="N9" s="63" t="s">
        <v>3083</v>
      </c>
      <c r="O9" s="62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21</v>
      </c>
      <c r="B10" s="61" t="s">
        <v>3027</v>
      </c>
      <c r="C10" s="62" t="s">
        <v>116</v>
      </c>
      <c r="D10" s="62" t="str">
        <f t="shared" si="0"/>
        <v>2110009</v>
      </c>
      <c r="E10" s="63" t="s">
        <v>3084</v>
      </c>
      <c r="F10" s="63" t="s">
        <v>3085</v>
      </c>
      <c r="G10" s="63" t="s">
        <v>3043</v>
      </c>
      <c r="H10" s="63" t="s">
        <v>3086</v>
      </c>
      <c r="I10" s="63" t="s">
        <v>3087</v>
      </c>
      <c r="J10" s="63"/>
      <c r="K10" s="62">
        <v>85336473235</v>
      </c>
      <c r="L10" s="62"/>
      <c r="M10" s="63"/>
      <c r="N10" s="63" t="s">
        <v>3088</v>
      </c>
      <c r="O10" s="62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21</v>
      </c>
      <c r="B11" s="61" t="s">
        <v>3027</v>
      </c>
      <c r="C11" s="62" t="s">
        <v>124</v>
      </c>
      <c r="D11" s="62" t="str">
        <f t="shared" si="0"/>
        <v>2110010</v>
      </c>
      <c r="E11" s="63" t="s">
        <v>3089</v>
      </c>
      <c r="F11" s="63" t="s">
        <v>3090</v>
      </c>
      <c r="G11" s="63" t="s">
        <v>3043</v>
      </c>
      <c r="H11" s="63" t="s">
        <v>3091</v>
      </c>
      <c r="I11" s="63" t="s">
        <v>3092</v>
      </c>
      <c r="J11" s="63"/>
      <c r="K11" s="62">
        <v>81230486908</v>
      </c>
      <c r="L11" s="62"/>
      <c r="M11" s="151" t="s">
        <v>3093</v>
      </c>
      <c r="N11" s="63" t="s">
        <v>3094</v>
      </c>
      <c r="O11" s="62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22</v>
      </c>
      <c r="B12" s="61" t="s">
        <v>3027</v>
      </c>
      <c r="C12" s="62" t="s">
        <v>132</v>
      </c>
      <c r="D12" s="62" t="str">
        <f t="shared" si="0"/>
        <v>2210011</v>
      </c>
      <c r="E12" s="63" t="s">
        <v>3095</v>
      </c>
      <c r="F12" s="63" t="s">
        <v>3096</v>
      </c>
      <c r="G12" s="63" t="s">
        <v>3030</v>
      </c>
      <c r="H12" s="63" t="s">
        <v>3097</v>
      </c>
      <c r="I12" s="63" t="s">
        <v>3098</v>
      </c>
      <c r="J12" s="63" t="s">
        <v>3099</v>
      </c>
      <c r="K12" s="62">
        <v>82330523329</v>
      </c>
      <c r="L12" s="62"/>
      <c r="M12" s="63"/>
      <c r="N12" s="63" t="s">
        <v>3100</v>
      </c>
      <c r="O12" s="62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22</v>
      </c>
      <c r="B13" s="61">
        <v>10</v>
      </c>
      <c r="C13" s="62" t="s">
        <v>140</v>
      </c>
      <c r="D13" s="62" t="str">
        <f t="shared" si="0"/>
        <v>2210012</v>
      </c>
      <c r="E13" s="43" t="s">
        <v>3101</v>
      </c>
      <c r="F13" s="43" t="s">
        <v>3102</v>
      </c>
      <c r="G13" s="43" t="s">
        <v>3030</v>
      </c>
      <c r="H13" s="43" t="s">
        <v>3103</v>
      </c>
      <c r="I13" s="43" t="s">
        <v>3104</v>
      </c>
      <c r="J13" s="43"/>
      <c r="K13" s="95" t="s">
        <v>3105</v>
      </c>
      <c r="L13" s="152"/>
      <c r="M13" s="43"/>
      <c r="N13" s="43" t="s">
        <v>3106</v>
      </c>
      <c r="O13" s="152">
        <v>6</v>
      </c>
      <c r="R13" s="43"/>
      <c r="T13" s="44"/>
      <c r="V13" s="43"/>
      <c r="W13" s="43"/>
      <c r="X13" s="43"/>
      <c r="Y13" s="43"/>
      <c r="Z13" s="43"/>
      <c r="AA13" s="43"/>
    </row>
    <row r="14" spans="1:27" ht="15.75" customHeight="1" x14ac:dyDescent="0.2">
      <c r="A14" s="61">
        <v>22</v>
      </c>
      <c r="B14" s="61" t="s">
        <v>3027</v>
      </c>
      <c r="C14" s="62" t="s">
        <v>148</v>
      </c>
      <c r="D14" s="62" t="str">
        <f t="shared" si="0"/>
        <v>2210013</v>
      </c>
      <c r="E14" s="63" t="s">
        <v>3107</v>
      </c>
      <c r="F14" s="63" t="s">
        <v>3108</v>
      </c>
      <c r="G14" s="63" t="s">
        <v>3030</v>
      </c>
      <c r="H14" s="63" t="s">
        <v>3109</v>
      </c>
      <c r="I14" s="63" t="s">
        <v>3110</v>
      </c>
      <c r="J14" s="63"/>
      <c r="K14" s="62" t="s">
        <v>3111</v>
      </c>
      <c r="L14" s="62"/>
      <c r="M14" s="63"/>
      <c r="N14" s="63" t="s">
        <v>3112</v>
      </c>
      <c r="O14" s="62">
        <v>3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22</v>
      </c>
      <c r="B15" s="61" t="s">
        <v>3027</v>
      </c>
      <c r="C15" s="62" t="s">
        <v>156</v>
      </c>
      <c r="D15" s="62" t="str">
        <f t="shared" si="0"/>
        <v>2210014</v>
      </c>
      <c r="E15" s="63" t="s">
        <v>3113</v>
      </c>
      <c r="F15" s="63" t="s">
        <v>3114</v>
      </c>
      <c r="G15" s="63" t="s">
        <v>3030</v>
      </c>
      <c r="H15" s="63" t="s">
        <v>3115</v>
      </c>
      <c r="I15" s="63" t="s">
        <v>3116</v>
      </c>
      <c r="J15" s="63"/>
      <c r="K15" s="62" t="s">
        <v>3117</v>
      </c>
      <c r="L15" s="62"/>
      <c r="M15" s="63"/>
      <c r="N15" s="63"/>
      <c r="O15" s="62">
        <v>5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22</v>
      </c>
      <c r="B16" s="61" t="s">
        <v>3027</v>
      </c>
      <c r="C16" s="62" t="s">
        <v>164</v>
      </c>
      <c r="D16" s="62" t="str">
        <f t="shared" si="0"/>
        <v>2210015</v>
      </c>
      <c r="E16" s="63" t="s">
        <v>3118</v>
      </c>
      <c r="F16" s="63" t="s">
        <v>3119</v>
      </c>
      <c r="G16" s="63" t="s">
        <v>3030</v>
      </c>
      <c r="H16" s="63" t="s">
        <v>3120</v>
      </c>
      <c r="I16" s="63" t="s">
        <v>3121</v>
      </c>
      <c r="J16" s="63"/>
      <c r="K16" s="62" t="s">
        <v>3122</v>
      </c>
      <c r="L16" s="62"/>
      <c r="M16" s="63"/>
      <c r="N16" s="63"/>
      <c r="O16" s="62">
        <v>4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3027</v>
      </c>
      <c r="C17" s="62" t="s">
        <v>173</v>
      </c>
      <c r="D17" s="62" t="str">
        <f t="shared" si="0"/>
        <v>2210016</v>
      </c>
      <c r="E17" s="63" t="s">
        <v>3123</v>
      </c>
      <c r="F17" s="63" t="s">
        <v>3124</v>
      </c>
      <c r="G17" s="63" t="s">
        <v>3030</v>
      </c>
      <c r="H17" s="63" t="s">
        <v>3125</v>
      </c>
      <c r="I17" s="63" t="s">
        <v>3126</v>
      </c>
      <c r="J17" s="63"/>
      <c r="K17" s="62" t="s">
        <v>3127</v>
      </c>
      <c r="L17" s="62"/>
      <c r="M17" s="63"/>
      <c r="N17" s="63"/>
      <c r="O17" s="62">
        <v>3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22</v>
      </c>
      <c r="B18" s="61" t="s">
        <v>3027</v>
      </c>
      <c r="C18" s="62" t="s">
        <v>180</v>
      </c>
      <c r="D18" s="62" t="str">
        <f t="shared" si="0"/>
        <v>2210017</v>
      </c>
      <c r="E18" s="63" t="s">
        <v>3128</v>
      </c>
      <c r="F18" s="63" t="s">
        <v>3129</v>
      </c>
      <c r="G18" s="63" t="s">
        <v>3043</v>
      </c>
      <c r="H18" s="63" t="s">
        <v>3130</v>
      </c>
      <c r="I18" s="63" t="s">
        <v>3131</v>
      </c>
      <c r="J18" s="63"/>
      <c r="K18" s="62" t="s">
        <v>3132</v>
      </c>
      <c r="L18" s="62"/>
      <c r="M18" s="63"/>
      <c r="N18" s="63"/>
      <c r="O18" s="62">
        <v>4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22</v>
      </c>
      <c r="B19" s="61" t="s">
        <v>3027</v>
      </c>
      <c r="C19" s="62" t="s">
        <v>188</v>
      </c>
      <c r="D19" s="62" t="str">
        <f t="shared" si="0"/>
        <v>2210018</v>
      </c>
      <c r="E19" s="63" t="s">
        <v>3133</v>
      </c>
      <c r="F19" s="63" t="s">
        <v>3134</v>
      </c>
      <c r="G19" s="63" t="s">
        <v>3043</v>
      </c>
      <c r="H19" s="63" t="s">
        <v>3135</v>
      </c>
      <c r="I19" s="63" t="s">
        <v>3136</v>
      </c>
      <c r="J19" s="63"/>
      <c r="K19" s="62" t="s">
        <v>3137</v>
      </c>
      <c r="L19" s="62"/>
      <c r="M19" s="63"/>
      <c r="N19" s="63"/>
      <c r="O19" s="62">
        <v>3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22</v>
      </c>
      <c r="B20" s="61" t="s">
        <v>3027</v>
      </c>
      <c r="C20" s="62" t="s">
        <v>196</v>
      </c>
      <c r="D20" s="62" t="str">
        <f t="shared" si="0"/>
        <v>2210019</v>
      </c>
      <c r="E20" s="63" t="s">
        <v>3138</v>
      </c>
      <c r="F20" s="63" t="s">
        <v>3139</v>
      </c>
      <c r="G20" s="63" t="s">
        <v>3030</v>
      </c>
      <c r="H20" s="63" t="s">
        <v>3140</v>
      </c>
      <c r="I20" s="63" t="s">
        <v>3141</v>
      </c>
      <c r="J20" s="63"/>
      <c r="K20" s="62" t="s">
        <v>3142</v>
      </c>
      <c r="L20" s="62"/>
      <c r="M20" s="63"/>
      <c r="N20" s="63"/>
      <c r="O20" s="62">
        <v>8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22</v>
      </c>
      <c r="B21" s="61" t="s">
        <v>3027</v>
      </c>
      <c r="C21" s="62" t="s">
        <v>204</v>
      </c>
      <c r="D21" s="62" t="str">
        <f t="shared" si="0"/>
        <v>2210020</v>
      </c>
      <c r="E21" s="63" t="s">
        <v>3143</v>
      </c>
      <c r="F21" s="63" t="s">
        <v>3144</v>
      </c>
      <c r="G21" s="63" t="s">
        <v>3030</v>
      </c>
      <c r="H21" s="63" t="s">
        <v>3145</v>
      </c>
      <c r="I21" s="63" t="s">
        <v>3146</v>
      </c>
      <c r="J21" s="63"/>
      <c r="K21" s="62" t="s">
        <v>3147</v>
      </c>
      <c r="L21" s="62"/>
      <c r="M21" s="63"/>
      <c r="N21" s="63" t="s">
        <v>3148</v>
      </c>
      <c r="O21" s="62">
        <v>1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22</v>
      </c>
      <c r="B22" s="61" t="s">
        <v>3027</v>
      </c>
      <c r="C22" s="62" t="s">
        <v>212</v>
      </c>
      <c r="D22" s="62" t="str">
        <f t="shared" si="0"/>
        <v>2210021</v>
      </c>
      <c r="E22" s="63" t="s">
        <v>3149</v>
      </c>
      <c r="F22" s="63" t="s">
        <v>3150</v>
      </c>
      <c r="G22" s="63" t="s">
        <v>3043</v>
      </c>
      <c r="H22" s="63" t="s">
        <v>3151</v>
      </c>
      <c r="I22" s="63" t="s">
        <v>3152</v>
      </c>
      <c r="J22" s="63"/>
      <c r="K22" s="62" t="s">
        <v>3153</v>
      </c>
      <c r="L22" s="62"/>
      <c r="M22" s="63"/>
      <c r="N22" s="63"/>
      <c r="O22" s="62">
        <v>4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22</v>
      </c>
      <c r="B23" s="61" t="s">
        <v>3027</v>
      </c>
      <c r="C23" s="62" t="s">
        <v>219</v>
      </c>
      <c r="D23" s="62" t="str">
        <f t="shared" si="0"/>
        <v>2210022</v>
      </c>
      <c r="E23" s="63" t="s">
        <v>3154</v>
      </c>
      <c r="F23" s="63" t="s">
        <v>3155</v>
      </c>
      <c r="G23" s="63" t="s">
        <v>3030</v>
      </c>
      <c r="H23" s="63" t="s">
        <v>3156</v>
      </c>
      <c r="I23" s="63" t="s">
        <v>3157</v>
      </c>
      <c r="J23" s="63"/>
      <c r="K23" s="62" t="s">
        <v>3158</v>
      </c>
      <c r="L23" s="62"/>
      <c r="M23" s="63"/>
      <c r="N23" s="63"/>
      <c r="O23" s="62">
        <v>3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23</v>
      </c>
      <c r="B24" s="61" t="s">
        <v>3027</v>
      </c>
      <c r="C24" s="62" t="s">
        <v>226</v>
      </c>
      <c r="D24" s="62" t="str">
        <f t="shared" si="0"/>
        <v>2310023</v>
      </c>
      <c r="E24" s="63" t="s">
        <v>3159</v>
      </c>
      <c r="F24" s="63" t="s">
        <v>3160</v>
      </c>
      <c r="G24" s="63" t="s">
        <v>3030</v>
      </c>
      <c r="H24" s="63" t="s">
        <v>3161</v>
      </c>
      <c r="I24" s="63" t="s">
        <v>3162</v>
      </c>
      <c r="J24" s="63"/>
      <c r="K24" s="62" t="s">
        <v>3163</v>
      </c>
      <c r="L24" s="62"/>
      <c r="M24" s="63"/>
      <c r="N24" s="63"/>
      <c r="O24" s="62">
        <v>19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23</v>
      </c>
      <c r="B25" s="61" t="s">
        <v>3027</v>
      </c>
      <c r="C25" s="62" t="s">
        <v>234</v>
      </c>
      <c r="D25" s="62" t="str">
        <f t="shared" si="0"/>
        <v>2310024</v>
      </c>
      <c r="E25" s="63" t="s">
        <v>3164</v>
      </c>
      <c r="F25" s="63" t="s">
        <v>3165</v>
      </c>
      <c r="G25" s="63" t="s">
        <v>3043</v>
      </c>
      <c r="H25" s="63" t="s">
        <v>3166</v>
      </c>
      <c r="I25" s="63" t="s">
        <v>3167</v>
      </c>
      <c r="J25" s="63"/>
      <c r="K25" s="62" t="s">
        <v>3168</v>
      </c>
      <c r="L25" s="62"/>
      <c r="M25" s="63"/>
      <c r="N25" s="63"/>
      <c r="O25" s="62">
        <v>15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23</v>
      </c>
      <c r="B26" s="61" t="s">
        <v>3027</v>
      </c>
      <c r="C26" s="62" t="s">
        <v>240</v>
      </c>
      <c r="D26" s="62" t="str">
        <f t="shared" si="0"/>
        <v>2310025</v>
      </c>
      <c r="E26" s="63" t="s">
        <v>3169</v>
      </c>
      <c r="F26" s="63" t="s">
        <v>3170</v>
      </c>
      <c r="G26" s="63" t="s">
        <v>3043</v>
      </c>
      <c r="H26" s="63" t="s">
        <v>3171</v>
      </c>
      <c r="I26" s="63" t="s">
        <v>3172</v>
      </c>
      <c r="J26" s="63"/>
      <c r="K26" s="62" t="s">
        <v>3173</v>
      </c>
      <c r="L26" s="62"/>
      <c r="M26" s="63"/>
      <c r="N26" s="63"/>
      <c r="O26" s="62">
        <v>3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23</v>
      </c>
      <c r="B27" s="61" t="s">
        <v>3027</v>
      </c>
      <c r="C27" s="62" t="s">
        <v>246</v>
      </c>
      <c r="D27" s="62" t="str">
        <f t="shared" si="0"/>
        <v>2310026</v>
      </c>
      <c r="E27" s="63" t="s">
        <v>3174</v>
      </c>
      <c r="F27" s="63" t="s">
        <v>3175</v>
      </c>
      <c r="G27" s="63" t="s">
        <v>3030</v>
      </c>
      <c r="H27" s="63" t="s">
        <v>3176</v>
      </c>
      <c r="I27" s="63" t="s">
        <v>3177</v>
      </c>
      <c r="J27" s="63"/>
      <c r="K27" s="62" t="s">
        <v>3178</v>
      </c>
      <c r="L27" s="62"/>
      <c r="M27" s="63"/>
      <c r="N27" s="63"/>
      <c r="O27" s="62">
        <v>4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23</v>
      </c>
      <c r="B28" s="61" t="s">
        <v>3027</v>
      </c>
      <c r="C28" s="62" t="s">
        <v>251</v>
      </c>
      <c r="D28" s="62" t="str">
        <f t="shared" si="0"/>
        <v>2310027</v>
      </c>
      <c r="E28" s="63" t="s">
        <v>3179</v>
      </c>
      <c r="F28" s="63" t="s">
        <v>3180</v>
      </c>
      <c r="G28" s="63" t="s">
        <v>3030</v>
      </c>
      <c r="H28" s="63" t="s">
        <v>3181</v>
      </c>
      <c r="I28" s="63" t="s">
        <v>3182</v>
      </c>
      <c r="J28" s="63"/>
      <c r="K28" s="62" t="s">
        <v>3183</v>
      </c>
      <c r="L28" s="62"/>
      <c r="M28" s="63"/>
      <c r="N28" s="63"/>
      <c r="O28" s="62">
        <v>5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23</v>
      </c>
      <c r="B29" s="61" t="s">
        <v>3027</v>
      </c>
      <c r="C29" s="62" t="s">
        <v>256</v>
      </c>
      <c r="D29" s="62" t="str">
        <f t="shared" si="0"/>
        <v>2310028</v>
      </c>
      <c r="E29" s="63" t="s">
        <v>3184</v>
      </c>
      <c r="F29" s="63" t="s">
        <v>3185</v>
      </c>
      <c r="G29" s="63" t="s">
        <v>3030</v>
      </c>
      <c r="H29" s="63" t="s">
        <v>3186</v>
      </c>
      <c r="I29" s="63" t="s">
        <v>3187</v>
      </c>
      <c r="J29" s="63"/>
      <c r="K29" s="62" t="s">
        <v>3188</v>
      </c>
      <c r="L29" s="62"/>
      <c r="M29" s="63"/>
      <c r="N29" s="63"/>
      <c r="O29" s="62">
        <v>2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23</v>
      </c>
      <c r="B30" s="61" t="s">
        <v>3027</v>
      </c>
      <c r="C30" s="62" t="s">
        <v>261</v>
      </c>
      <c r="D30" s="62" t="str">
        <f t="shared" si="0"/>
        <v>2310029</v>
      </c>
      <c r="E30" s="63" t="s">
        <v>3189</v>
      </c>
      <c r="F30" s="63" t="s">
        <v>3190</v>
      </c>
      <c r="G30" s="63" t="s">
        <v>3043</v>
      </c>
      <c r="H30" s="63" t="s">
        <v>3191</v>
      </c>
      <c r="I30" s="63" t="s">
        <v>3192</v>
      </c>
      <c r="J30" s="63"/>
      <c r="K30" s="62" t="s">
        <v>3193</v>
      </c>
      <c r="L30" s="62"/>
      <c r="M30" s="63"/>
      <c r="N30" s="63"/>
      <c r="O30" s="62">
        <v>1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23</v>
      </c>
      <c r="B31" s="61" t="s">
        <v>3027</v>
      </c>
      <c r="C31" s="62" t="s">
        <v>266</v>
      </c>
      <c r="D31" s="62" t="str">
        <f t="shared" si="0"/>
        <v>2310030</v>
      </c>
      <c r="E31" s="63" t="s">
        <v>3194</v>
      </c>
      <c r="F31" s="63" t="s">
        <v>3195</v>
      </c>
      <c r="G31" s="63" t="s">
        <v>3030</v>
      </c>
      <c r="H31" s="63" t="s">
        <v>3196</v>
      </c>
      <c r="I31" s="63" t="s">
        <v>3197</v>
      </c>
      <c r="J31" s="63"/>
      <c r="K31" s="62" t="s">
        <v>3198</v>
      </c>
      <c r="L31" s="62"/>
      <c r="M31" s="63"/>
      <c r="N31" s="63"/>
      <c r="O31" s="62">
        <v>3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23</v>
      </c>
      <c r="B32" s="61" t="s">
        <v>3027</v>
      </c>
      <c r="C32" s="62" t="s">
        <v>272</v>
      </c>
      <c r="D32" s="62" t="str">
        <f t="shared" si="0"/>
        <v>2310031</v>
      </c>
      <c r="E32" s="63" t="s">
        <v>3199</v>
      </c>
      <c r="F32" s="63" t="s">
        <v>3200</v>
      </c>
      <c r="G32" s="63" t="s">
        <v>3043</v>
      </c>
      <c r="H32" s="63" t="s">
        <v>3201</v>
      </c>
      <c r="I32" s="63" t="s">
        <v>3202</v>
      </c>
      <c r="J32" s="63"/>
      <c r="K32" s="62" t="s">
        <v>3203</v>
      </c>
      <c r="L32" s="62"/>
      <c r="M32" s="63"/>
      <c r="N32" s="63"/>
      <c r="O32" s="62">
        <v>5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23</v>
      </c>
      <c r="B33" s="61" t="s">
        <v>3027</v>
      </c>
      <c r="C33" s="62" t="s">
        <v>278</v>
      </c>
      <c r="D33" s="62" t="str">
        <f t="shared" si="0"/>
        <v>2310032</v>
      </c>
      <c r="E33" s="63" t="s">
        <v>3204</v>
      </c>
      <c r="F33" s="63" t="s">
        <v>3205</v>
      </c>
      <c r="G33" s="63" t="s">
        <v>3030</v>
      </c>
      <c r="H33" s="63" t="s">
        <v>3206</v>
      </c>
      <c r="I33" s="63" t="s">
        <v>3207</v>
      </c>
      <c r="J33" s="63"/>
      <c r="K33" s="62" t="s">
        <v>3208</v>
      </c>
      <c r="L33" s="62"/>
      <c r="M33" s="63"/>
      <c r="N33" s="63" t="s">
        <v>3209</v>
      </c>
      <c r="O33" s="62">
        <v>2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23</v>
      </c>
      <c r="B34" s="61" t="s">
        <v>3027</v>
      </c>
      <c r="C34" s="62" t="s">
        <v>284</v>
      </c>
      <c r="D34" s="62" t="str">
        <f t="shared" si="0"/>
        <v>2310033</v>
      </c>
      <c r="E34" s="63" t="s">
        <v>3210</v>
      </c>
      <c r="F34" s="63" t="s">
        <v>3211</v>
      </c>
      <c r="G34" s="63" t="s">
        <v>3030</v>
      </c>
      <c r="H34" s="63" t="s">
        <v>3212</v>
      </c>
      <c r="I34" s="63" t="s">
        <v>3213</v>
      </c>
      <c r="J34" s="63" t="s">
        <v>3214</v>
      </c>
      <c r="K34" s="62" t="s">
        <v>3215</v>
      </c>
      <c r="L34" s="62" t="s">
        <v>3216</v>
      </c>
      <c r="M34" s="63"/>
      <c r="N34" s="63" t="s">
        <v>3217</v>
      </c>
      <c r="O34" s="62">
        <v>6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61">
        <v>23</v>
      </c>
      <c r="B35" s="61" t="s">
        <v>3027</v>
      </c>
      <c r="C35" s="62" t="s">
        <v>290</v>
      </c>
      <c r="D35" s="62" t="str">
        <f t="shared" si="0"/>
        <v>2310034</v>
      </c>
      <c r="E35" s="63" t="s">
        <v>3218</v>
      </c>
      <c r="F35" s="63" t="s">
        <v>3219</v>
      </c>
      <c r="G35" s="63" t="s">
        <v>3030</v>
      </c>
      <c r="H35" s="63" t="s">
        <v>3220</v>
      </c>
      <c r="I35" s="63" t="s">
        <v>3221</v>
      </c>
      <c r="J35" s="63"/>
      <c r="K35" s="62" t="s">
        <v>3222</v>
      </c>
      <c r="L35" s="62"/>
      <c r="M35" s="63"/>
      <c r="N35" s="63" t="s">
        <v>3223</v>
      </c>
      <c r="O35" s="62">
        <v>15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61">
        <v>23</v>
      </c>
      <c r="B36" s="61" t="s">
        <v>3027</v>
      </c>
      <c r="C36" s="62" t="s">
        <v>296</v>
      </c>
      <c r="D36" s="62" t="str">
        <f t="shared" si="0"/>
        <v>2310035</v>
      </c>
      <c r="E36" s="63" t="s">
        <v>3224</v>
      </c>
      <c r="F36" s="63" t="s">
        <v>3225</v>
      </c>
      <c r="G36" s="63" t="s">
        <v>3030</v>
      </c>
      <c r="H36" s="63" t="s">
        <v>3226</v>
      </c>
      <c r="I36" s="63" t="s">
        <v>3227</v>
      </c>
      <c r="J36" s="63"/>
      <c r="K36" s="62" t="s">
        <v>3228</v>
      </c>
      <c r="L36" s="62"/>
      <c r="M36" s="63"/>
      <c r="N36" s="63" t="s">
        <v>3229</v>
      </c>
      <c r="O36" s="62">
        <v>2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61">
        <v>23</v>
      </c>
      <c r="B37" s="61" t="s">
        <v>3027</v>
      </c>
      <c r="C37" s="62" t="s">
        <v>301</v>
      </c>
      <c r="D37" s="62" t="str">
        <f t="shared" si="0"/>
        <v>2310036</v>
      </c>
      <c r="E37" s="63" t="s">
        <v>3230</v>
      </c>
      <c r="F37" s="63" t="s">
        <v>3231</v>
      </c>
      <c r="G37" s="63" t="s">
        <v>3030</v>
      </c>
      <c r="H37" s="63" t="s">
        <v>3232</v>
      </c>
      <c r="I37" s="63" t="s">
        <v>3233</v>
      </c>
      <c r="J37" s="63"/>
      <c r="K37" s="62" t="s">
        <v>3234</v>
      </c>
      <c r="L37" s="62"/>
      <c r="M37" s="63"/>
      <c r="N37" s="63"/>
      <c r="O37" s="62">
        <v>3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61">
        <v>23</v>
      </c>
      <c r="B38" s="61" t="s">
        <v>3027</v>
      </c>
      <c r="C38" s="62" t="s">
        <v>308</v>
      </c>
      <c r="D38" s="62" t="str">
        <f t="shared" si="0"/>
        <v>2310037</v>
      </c>
      <c r="E38" s="63" t="s">
        <v>3235</v>
      </c>
      <c r="F38" s="63" t="s">
        <v>3236</v>
      </c>
      <c r="G38" s="63" t="s">
        <v>3030</v>
      </c>
      <c r="H38" s="63" t="s">
        <v>3237</v>
      </c>
      <c r="I38" s="63" t="s">
        <v>3238</v>
      </c>
      <c r="J38" s="63"/>
      <c r="K38" s="62" t="s">
        <v>3239</v>
      </c>
      <c r="L38" s="62"/>
      <c r="M38" s="63"/>
      <c r="N38" s="63" t="s">
        <v>3240</v>
      </c>
      <c r="O38" s="62">
        <v>5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61">
        <v>23</v>
      </c>
      <c r="B39" s="61" t="s">
        <v>3027</v>
      </c>
      <c r="C39" s="62" t="s">
        <v>314</v>
      </c>
      <c r="D39" s="62" t="str">
        <f t="shared" si="0"/>
        <v>2310038</v>
      </c>
      <c r="E39" s="63" t="s">
        <v>3241</v>
      </c>
      <c r="F39" s="63" t="s">
        <v>3242</v>
      </c>
      <c r="G39" s="63" t="s">
        <v>3043</v>
      </c>
      <c r="H39" s="63" t="s">
        <v>3243</v>
      </c>
      <c r="I39" s="63" t="s">
        <v>3244</v>
      </c>
      <c r="J39" s="63" t="s">
        <v>3245</v>
      </c>
      <c r="K39" s="62" t="s">
        <v>3246</v>
      </c>
      <c r="L39" s="198" t="s">
        <v>3247</v>
      </c>
      <c r="M39" s="63"/>
      <c r="N39" s="63" t="s">
        <v>3248</v>
      </c>
      <c r="O39" s="62">
        <v>8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61">
        <v>23</v>
      </c>
      <c r="B40" s="61" t="s">
        <v>3027</v>
      </c>
      <c r="C40" s="62" t="s">
        <v>320</v>
      </c>
      <c r="D40" s="62" t="str">
        <f t="shared" si="0"/>
        <v>2310039</v>
      </c>
      <c r="E40" s="63" t="s">
        <v>3249</v>
      </c>
      <c r="F40" s="63" t="s">
        <v>3250</v>
      </c>
      <c r="G40" s="63" t="s">
        <v>3043</v>
      </c>
      <c r="H40" s="63" t="s">
        <v>3251</v>
      </c>
      <c r="I40" s="63" t="s">
        <v>3252</v>
      </c>
      <c r="J40" s="63"/>
      <c r="K40" s="62" t="s">
        <v>3253</v>
      </c>
      <c r="L40" s="62"/>
      <c r="M40" s="63"/>
      <c r="N40" s="63" t="s">
        <v>3254</v>
      </c>
      <c r="O40" s="62">
        <v>2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61">
        <v>23</v>
      </c>
      <c r="B41" s="61" t="s">
        <v>3027</v>
      </c>
      <c r="C41" s="62" t="s">
        <v>326</v>
      </c>
      <c r="D41" s="62" t="str">
        <f t="shared" si="0"/>
        <v>2310040</v>
      </c>
      <c r="E41" s="63" t="s">
        <v>3255</v>
      </c>
      <c r="F41" s="63" t="s">
        <v>3256</v>
      </c>
      <c r="G41" s="63" t="s">
        <v>3030</v>
      </c>
      <c r="H41" s="63" t="s">
        <v>3257</v>
      </c>
      <c r="I41" s="63" t="s">
        <v>3258</v>
      </c>
      <c r="J41" s="63"/>
      <c r="K41" s="62" t="s">
        <v>3259</v>
      </c>
      <c r="L41" s="62"/>
      <c r="M41" s="63"/>
      <c r="N41" s="63" t="s">
        <v>3260</v>
      </c>
      <c r="O41" s="62">
        <v>5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61">
        <v>23</v>
      </c>
      <c r="B42" s="61" t="s">
        <v>3027</v>
      </c>
      <c r="C42" s="62" t="s">
        <v>332</v>
      </c>
      <c r="D42" s="62" t="str">
        <f t="shared" si="0"/>
        <v>2310041</v>
      </c>
      <c r="E42" s="63" t="s">
        <v>3261</v>
      </c>
      <c r="F42" s="63" t="s">
        <v>3262</v>
      </c>
      <c r="G42" s="63" t="s">
        <v>3030</v>
      </c>
      <c r="H42" s="63" t="s">
        <v>3263</v>
      </c>
      <c r="I42" s="63" t="s">
        <v>3264</v>
      </c>
      <c r="J42" s="63"/>
      <c r="K42" s="62" t="s">
        <v>3265</v>
      </c>
      <c r="L42" s="62"/>
      <c r="M42" s="63"/>
      <c r="N42" s="63" t="s">
        <v>3266</v>
      </c>
      <c r="O42" s="62">
        <v>10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2">
      <c r="A43" s="61">
        <v>23</v>
      </c>
      <c r="B43" s="61" t="s">
        <v>3027</v>
      </c>
      <c r="C43" s="62" t="s">
        <v>338</v>
      </c>
      <c r="D43" s="62" t="str">
        <f t="shared" si="0"/>
        <v>2310042</v>
      </c>
      <c r="E43" s="63" t="s">
        <v>3267</v>
      </c>
      <c r="F43" s="63" t="s">
        <v>3268</v>
      </c>
      <c r="G43" s="63" t="s">
        <v>3043</v>
      </c>
      <c r="H43" s="63" t="s">
        <v>3269</v>
      </c>
      <c r="I43" s="63" t="s">
        <v>3270</v>
      </c>
      <c r="J43" s="63"/>
      <c r="K43" s="62" t="s">
        <v>3271</v>
      </c>
      <c r="L43" s="62"/>
      <c r="M43" s="63"/>
      <c r="N43" s="63" t="s">
        <v>3272</v>
      </c>
      <c r="O43" s="62">
        <v>5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2">
      <c r="A44" s="61">
        <v>23</v>
      </c>
      <c r="B44" s="61" t="s">
        <v>3027</v>
      </c>
      <c r="C44" s="62" t="s">
        <v>344</v>
      </c>
      <c r="D44" s="62" t="str">
        <f t="shared" si="0"/>
        <v>2310043</v>
      </c>
      <c r="E44" s="63" t="s">
        <v>3273</v>
      </c>
      <c r="F44" s="63" t="s">
        <v>3274</v>
      </c>
      <c r="G44" s="63" t="s">
        <v>3030</v>
      </c>
      <c r="H44" s="63" t="s">
        <v>3275</v>
      </c>
      <c r="I44" s="63" t="s">
        <v>3276</v>
      </c>
      <c r="J44" s="63"/>
      <c r="K44" s="62" t="s">
        <v>3277</v>
      </c>
      <c r="L44" s="62"/>
      <c r="M44" s="63"/>
      <c r="N44" s="63" t="s">
        <v>3278</v>
      </c>
      <c r="O44" s="62">
        <v>10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2">
      <c r="A45" s="61">
        <v>23</v>
      </c>
      <c r="B45" s="61" t="s">
        <v>3027</v>
      </c>
      <c r="C45" s="62" t="s">
        <v>350</v>
      </c>
      <c r="D45" s="62" t="str">
        <f t="shared" si="0"/>
        <v>2310044</v>
      </c>
      <c r="E45" s="63" t="s">
        <v>3279</v>
      </c>
      <c r="F45" s="63" t="s">
        <v>3280</v>
      </c>
      <c r="G45" s="63" t="s">
        <v>3043</v>
      </c>
      <c r="H45" s="63" t="s">
        <v>3281</v>
      </c>
      <c r="I45" s="63" t="s">
        <v>3282</v>
      </c>
      <c r="J45" s="63"/>
      <c r="K45" s="62" t="s">
        <v>3283</v>
      </c>
      <c r="L45" s="62"/>
      <c r="M45" s="63"/>
      <c r="N45" s="63" t="s">
        <v>3284</v>
      </c>
      <c r="O45" s="62">
        <v>6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2">
      <c r="A46" s="61">
        <v>23</v>
      </c>
      <c r="B46" s="61" t="s">
        <v>3027</v>
      </c>
      <c r="C46" s="62" t="s">
        <v>356</v>
      </c>
      <c r="D46" s="62" t="str">
        <f t="shared" si="0"/>
        <v>2310045</v>
      </c>
      <c r="E46" s="63" t="s">
        <v>3285</v>
      </c>
      <c r="F46" s="63" t="s">
        <v>3286</v>
      </c>
      <c r="G46" s="63" t="s">
        <v>3043</v>
      </c>
      <c r="H46" s="63" t="s">
        <v>3287</v>
      </c>
      <c r="I46" s="63" t="s">
        <v>3288</v>
      </c>
      <c r="J46" s="63"/>
      <c r="K46" s="62" t="s">
        <v>3289</v>
      </c>
      <c r="L46" s="62"/>
      <c r="M46" s="63"/>
      <c r="N46" s="63" t="s">
        <v>3290</v>
      </c>
      <c r="O46" s="62">
        <v>2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2">
      <c r="A47" s="61">
        <v>23</v>
      </c>
      <c r="B47" s="61" t="s">
        <v>3027</v>
      </c>
      <c r="C47" s="62" t="s">
        <v>362</v>
      </c>
      <c r="D47" s="62" t="str">
        <f t="shared" si="0"/>
        <v>2310046</v>
      </c>
      <c r="E47" s="63" t="s">
        <v>3291</v>
      </c>
      <c r="F47" s="63" t="s">
        <v>3292</v>
      </c>
      <c r="G47" s="63" t="s">
        <v>3030</v>
      </c>
      <c r="H47" s="63" t="s">
        <v>3293</v>
      </c>
      <c r="I47" s="63" t="s">
        <v>1623</v>
      </c>
      <c r="J47" s="63"/>
      <c r="K47" s="62" t="s">
        <v>3294</v>
      </c>
      <c r="L47" s="62"/>
      <c r="M47" s="63"/>
      <c r="N47" s="63" t="s">
        <v>3295</v>
      </c>
      <c r="O47" s="62">
        <v>3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2">
      <c r="A48" s="61">
        <v>23</v>
      </c>
      <c r="B48" s="61" t="s">
        <v>3027</v>
      </c>
      <c r="C48" s="62" t="s">
        <v>368</v>
      </c>
      <c r="D48" s="62" t="str">
        <f t="shared" si="0"/>
        <v>2310047</v>
      </c>
      <c r="E48" s="63" t="s">
        <v>3296</v>
      </c>
      <c r="F48" s="63" t="s">
        <v>3297</v>
      </c>
      <c r="G48" s="63" t="s">
        <v>3043</v>
      </c>
      <c r="H48" s="63" t="s">
        <v>3298</v>
      </c>
      <c r="I48" s="63" t="s">
        <v>3299</v>
      </c>
      <c r="J48" s="63"/>
      <c r="K48" s="62" t="s">
        <v>3300</v>
      </c>
      <c r="L48" s="62"/>
      <c r="M48" s="63"/>
      <c r="N48" s="63" t="s">
        <v>3301</v>
      </c>
      <c r="O48" s="62">
        <v>10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2">
      <c r="A49" s="61">
        <v>23</v>
      </c>
      <c r="B49" s="61" t="s">
        <v>3027</v>
      </c>
      <c r="C49" s="62" t="s">
        <v>374</v>
      </c>
      <c r="D49" s="62" t="str">
        <f t="shared" si="0"/>
        <v>2310048</v>
      </c>
      <c r="E49" s="63" t="s">
        <v>3077</v>
      </c>
      <c r="F49" s="63" t="s">
        <v>3302</v>
      </c>
      <c r="G49" s="63" t="s">
        <v>3030</v>
      </c>
      <c r="H49" s="63" t="s">
        <v>3303</v>
      </c>
      <c r="I49" s="63" t="s">
        <v>3081</v>
      </c>
      <c r="J49" s="63"/>
      <c r="K49" s="62" t="s">
        <v>3304</v>
      </c>
      <c r="L49" s="62"/>
      <c r="M49" s="63"/>
      <c r="N49" s="63" t="s">
        <v>3083</v>
      </c>
      <c r="O49" s="62">
        <v>5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2">
      <c r="A50" s="61">
        <v>23</v>
      </c>
      <c r="B50" s="61" t="s">
        <v>3027</v>
      </c>
      <c r="C50" s="62" t="s">
        <v>380</v>
      </c>
      <c r="D50" s="62" t="str">
        <f t="shared" si="0"/>
        <v>2310049</v>
      </c>
      <c r="E50" s="63" t="s">
        <v>3305</v>
      </c>
      <c r="F50" s="63" t="s">
        <v>3306</v>
      </c>
      <c r="G50" s="63" t="s">
        <v>3030</v>
      </c>
      <c r="H50" s="63" t="s">
        <v>3307</v>
      </c>
      <c r="I50" s="63" t="s">
        <v>3308</v>
      </c>
      <c r="J50" s="63"/>
      <c r="K50" s="62" t="s">
        <v>3309</v>
      </c>
      <c r="L50" s="62"/>
      <c r="M50" s="63"/>
      <c r="N50" s="63" t="s">
        <v>3310</v>
      </c>
      <c r="O50" s="62">
        <v>4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2">
      <c r="A51" s="61">
        <v>23</v>
      </c>
      <c r="B51" s="61" t="s">
        <v>3027</v>
      </c>
      <c r="C51" s="62" t="s">
        <v>386</v>
      </c>
      <c r="D51" s="62" t="str">
        <f t="shared" si="0"/>
        <v>2310050</v>
      </c>
      <c r="E51" s="63" t="s">
        <v>3311</v>
      </c>
      <c r="F51" s="63" t="s">
        <v>3312</v>
      </c>
      <c r="G51" s="63" t="s">
        <v>3043</v>
      </c>
      <c r="H51" s="63" t="s">
        <v>3313</v>
      </c>
      <c r="I51" s="63" t="s">
        <v>3314</v>
      </c>
      <c r="J51" s="63"/>
      <c r="K51" s="62" t="s">
        <v>3315</v>
      </c>
      <c r="L51" s="62"/>
      <c r="M51" s="63"/>
      <c r="N51" s="63" t="s">
        <v>3316</v>
      </c>
      <c r="O51" s="62">
        <v>7</v>
      </c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2">
      <c r="A52" s="61">
        <v>23</v>
      </c>
      <c r="B52" s="61" t="s">
        <v>3027</v>
      </c>
      <c r="C52" s="62" t="s">
        <v>392</v>
      </c>
      <c r="D52" s="62" t="str">
        <f t="shared" si="0"/>
        <v>2310051</v>
      </c>
      <c r="E52" s="63" t="s">
        <v>3317</v>
      </c>
      <c r="F52" s="63" t="s">
        <v>3318</v>
      </c>
      <c r="G52" s="63" t="s">
        <v>3030</v>
      </c>
      <c r="H52" s="63" t="s">
        <v>3319</v>
      </c>
      <c r="I52" s="63" t="s">
        <v>3320</v>
      </c>
      <c r="J52" s="63"/>
      <c r="K52" s="62" t="s">
        <v>3321</v>
      </c>
      <c r="L52" s="62"/>
      <c r="M52" s="63"/>
      <c r="N52" s="63" t="s">
        <v>3322</v>
      </c>
      <c r="O52" s="62">
        <v>2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2">
      <c r="A53" s="61">
        <v>23</v>
      </c>
      <c r="B53" s="61" t="s">
        <v>3027</v>
      </c>
      <c r="C53" s="62" t="s">
        <v>400</v>
      </c>
      <c r="D53" s="62" t="str">
        <f t="shared" si="0"/>
        <v>2310052</v>
      </c>
      <c r="E53" s="63" t="s">
        <v>3323</v>
      </c>
      <c r="F53" s="63" t="s">
        <v>3324</v>
      </c>
      <c r="G53" s="63" t="s">
        <v>3030</v>
      </c>
      <c r="H53" s="63" t="s">
        <v>3325</v>
      </c>
      <c r="I53" s="63" t="s">
        <v>3326</v>
      </c>
      <c r="J53" s="63"/>
      <c r="K53" s="62" t="s">
        <v>3327</v>
      </c>
      <c r="L53" s="62"/>
      <c r="M53" s="63"/>
      <c r="N53" s="63" t="s">
        <v>3328</v>
      </c>
      <c r="O53" s="62">
        <v>5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2">
      <c r="A54" s="61">
        <v>23</v>
      </c>
      <c r="B54" s="61" t="s">
        <v>3027</v>
      </c>
      <c r="C54" s="62" t="s">
        <v>406</v>
      </c>
      <c r="D54" s="62" t="str">
        <f t="shared" si="0"/>
        <v>2310053</v>
      </c>
      <c r="E54" s="63" t="s">
        <v>3329</v>
      </c>
      <c r="F54" s="63" t="s">
        <v>3330</v>
      </c>
      <c r="G54" s="63" t="s">
        <v>3030</v>
      </c>
      <c r="H54" s="63" t="s">
        <v>3331</v>
      </c>
      <c r="I54" s="63" t="s">
        <v>3332</v>
      </c>
      <c r="J54" s="63"/>
      <c r="K54" s="62" t="s">
        <v>3333</v>
      </c>
      <c r="L54" s="62"/>
      <c r="M54" s="63"/>
      <c r="N54" s="63" t="s">
        <v>3334</v>
      </c>
      <c r="O54" s="62">
        <v>5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2">
      <c r="A55" s="61">
        <v>23</v>
      </c>
      <c r="B55" s="61" t="s">
        <v>3027</v>
      </c>
      <c r="C55" s="62" t="s">
        <v>412</v>
      </c>
      <c r="D55" s="62" t="str">
        <f t="shared" si="0"/>
        <v>2310054</v>
      </c>
      <c r="E55" s="63" t="s">
        <v>3335</v>
      </c>
      <c r="F55" s="63" t="s">
        <v>3336</v>
      </c>
      <c r="G55" s="63" t="s">
        <v>3030</v>
      </c>
      <c r="H55" s="63" t="s">
        <v>3337</v>
      </c>
      <c r="I55" s="63" t="s">
        <v>3338</v>
      </c>
      <c r="J55" s="63"/>
      <c r="K55" s="62" t="s">
        <v>3339</v>
      </c>
      <c r="L55" s="62"/>
      <c r="M55" s="63"/>
      <c r="N55" s="63" t="s">
        <v>3340</v>
      </c>
      <c r="O55" s="62">
        <v>10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2">
      <c r="A56" s="61">
        <v>23</v>
      </c>
      <c r="B56" s="61" t="s">
        <v>3027</v>
      </c>
      <c r="C56" s="62" t="s">
        <v>418</v>
      </c>
      <c r="D56" s="62" t="str">
        <f t="shared" si="0"/>
        <v>2310055</v>
      </c>
      <c r="E56" s="63" t="s">
        <v>3341</v>
      </c>
      <c r="F56" s="63" t="s">
        <v>3342</v>
      </c>
      <c r="G56" s="63" t="s">
        <v>3030</v>
      </c>
      <c r="H56" s="63" t="s">
        <v>3343</v>
      </c>
      <c r="I56" s="63" t="s">
        <v>3344</v>
      </c>
      <c r="J56" s="63"/>
      <c r="K56" s="62" t="s">
        <v>3345</v>
      </c>
      <c r="L56" s="62"/>
      <c r="M56" s="63"/>
      <c r="N56" s="63" t="s">
        <v>3346</v>
      </c>
      <c r="O56" s="62">
        <v>5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2">
      <c r="A57" s="61">
        <v>23</v>
      </c>
      <c r="B57" s="61" t="s">
        <v>3027</v>
      </c>
      <c r="C57" s="62" t="s">
        <v>424</v>
      </c>
      <c r="D57" s="62" t="str">
        <f t="shared" si="0"/>
        <v>2310056</v>
      </c>
      <c r="E57" s="63" t="s">
        <v>3347</v>
      </c>
      <c r="F57" s="63" t="s">
        <v>3348</v>
      </c>
      <c r="G57" s="63" t="s">
        <v>3030</v>
      </c>
      <c r="H57" s="63" t="s">
        <v>3349</v>
      </c>
      <c r="I57" s="63" t="s">
        <v>3350</v>
      </c>
      <c r="J57" s="63"/>
      <c r="K57" s="62" t="s">
        <v>3188</v>
      </c>
      <c r="L57" s="62"/>
      <c r="M57" s="63"/>
      <c r="N57" s="63" t="s">
        <v>3351</v>
      </c>
      <c r="O57" s="62">
        <v>4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2">
      <c r="A58" s="61">
        <v>23</v>
      </c>
      <c r="B58" s="61" t="s">
        <v>3027</v>
      </c>
      <c r="C58" s="62" t="s">
        <v>430</v>
      </c>
      <c r="D58" s="62" t="str">
        <f t="shared" si="0"/>
        <v>2310057</v>
      </c>
      <c r="E58" s="63" t="s">
        <v>3352</v>
      </c>
      <c r="F58" s="63" t="s">
        <v>3353</v>
      </c>
      <c r="G58" s="63" t="s">
        <v>3030</v>
      </c>
      <c r="H58" s="63" t="s">
        <v>3354</v>
      </c>
      <c r="I58" s="63" t="s">
        <v>3355</v>
      </c>
      <c r="J58" s="63"/>
      <c r="K58" s="62" t="s">
        <v>3356</v>
      </c>
      <c r="L58" s="62"/>
      <c r="M58" s="63"/>
      <c r="N58" s="63" t="s">
        <v>3357</v>
      </c>
      <c r="O58" s="62">
        <v>10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2">
      <c r="A59" s="61">
        <v>23</v>
      </c>
      <c r="B59" s="61" t="s">
        <v>3027</v>
      </c>
      <c r="C59" s="62" t="s">
        <v>436</v>
      </c>
      <c r="D59" s="62" t="str">
        <f t="shared" si="0"/>
        <v>2310058</v>
      </c>
      <c r="E59" s="63" t="s">
        <v>3358</v>
      </c>
      <c r="F59" s="63" t="s">
        <v>3359</v>
      </c>
      <c r="G59" s="63" t="s">
        <v>3030</v>
      </c>
      <c r="H59" s="63" t="s">
        <v>3360</v>
      </c>
      <c r="I59" s="63" t="s">
        <v>3361</v>
      </c>
      <c r="J59" s="63"/>
      <c r="K59" s="62" t="s">
        <v>3362</v>
      </c>
      <c r="L59" s="62"/>
      <c r="M59" s="63"/>
      <c r="N59" s="63" t="s">
        <v>3363</v>
      </c>
      <c r="O59" s="62">
        <v>4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2">
      <c r="A60" s="61">
        <v>23</v>
      </c>
      <c r="B60" s="61" t="s">
        <v>3027</v>
      </c>
      <c r="C60" s="62" t="s">
        <v>444</v>
      </c>
      <c r="D60" s="62" t="str">
        <f t="shared" si="0"/>
        <v>2310059</v>
      </c>
      <c r="E60" s="63" t="s">
        <v>3364</v>
      </c>
      <c r="F60" s="63" t="s">
        <v>3365</v>
      </c>
      <c r="G60" s="63" t="s">
        <v>3030</v>
      </c>
      <c r="H60" s="63" t="s">
        <v>3366</v>
      </c>
      <c r="I60" s="63" t="s">
        <v>3367</v>
      </c>
      <c r="J60" s="63"/>
      <c r="K60" s="62" t="s">
        <v>3368</v>
      </c>
      <c r="L60" s="62"/>
      <c r="M60" s="63"/>
      <c r="N60" s="63"/>
      <c r="O60" s="62">
        <v>8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2">
      <c r="A61" s="61">
        <v>23</v>
      </c>
      <c r="B61" s="61" t="s">
        <v>3027</v>
      </c>
      <c r="C61" s="62" t="s">
        <v>450</v>
      </c>
      <c r="D61" s="62" t="str">
        <f t="shared" si="0"/>
        <v>2310060</v>
      </c>
      <c r="E61" s="63" t="s">
        <v>3369</v>
      </c>
      <c r="F61" s="63" t="s">
        <v>3370</v>
      </c>
      <c r="G61" s="63" t="s">
        <v>3030</v>
      </c>
      <c r="H61" s="63" t="s">
        <v>3371</v>
      </c>
      <c r="I61" s="63" t="s">
        <v>3372</v>
      </c>
      <c r="J61" s="63"/>
      <c r="K61" s="62" t="s">
        <v>3373</v>
      </c>
      <c r="L61" s="62"/>
      <c r="M61" s="63"/>
      <c r="N61" s="63" t="s">
        <v>3374</v>
      </c>
      <c r="O61" s="62">
        <v>3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2">
      <c r="A62" s="61">
        <v>23</v>
      </c>
      <c r="B62" s="61" t="s">
        <v>3027</v>
      </c>
      <c r="C62" s="62" t="s">
        <v>456</v>
      </c>
      <c r="D62" s="62" t="str">
        <f t="shared" si="0"/>
        <v>2310061</v>
      </c>
      <c r="E62" s="63" t="s">
        <v>3375</v>
      </c>
      <c r="F62" s="63" t="s">
        <v>3376</v>
      </c>
      <c r="G62" s="63" t="s">
        <v>3043</v>
      </c>
      <c r="H62" s="63" t="s">
        <v>3377</v>
      </c>
      <c r="I62" s="63" t="s">
        <v>3378</v>
      </c>
      <c r="J62" s="63"/>
      <c r="K62" s="62" t="s">
        <v>3379</v>
      </c>
      <c r="L62" s="62"/>
      <c r="M62" s="63"/>
      <c r="N62" s="63" t="s">
        <v>3380</v>
      </c>
      <c r="O62" s="62">
        <v>2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2">
      <c r="A63" s="61">
        <v>23</v>
      </c>
      <c r="B63" s="61" t="s">
        <v>3027</v>
      </c>
      <c r="C63" s="62" t="s">
        <v>462</v>
      </c>
      <c r="D63" s="62" t="str">
        <f t="shared" si="0"/>
        <v>2310062</v>
      </c>
      <c r="E63" s="63" t="s">
        <v>3381</v>
      </c>
      <c r="F63" s="63" t="s">
        <v>3382</v>
      </c>
      <c r="G63" s="63" t="s">
        <v>3043</v>
      </c>
      <c r="H63" s="63" t="s">
        <v>3383</v>
      </c>
      <c r="I63" s="63" t="s">
        <v>3384</v>
      </c>
      <c r="J63" s="63"/>
      <c r="K63" s="62" t="s">
        <v>3385</v>
      </c>
      <c r="L63" s="62"/>
      <c r="M63" s="63"/>
      <c r="N63" s="63" t="s">
        <v>3386</v>
      </c>
      <c r="O63" s="62">
        <v>5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2">
      <c r="A64" s="61">
        <v>23</v>
      </c>
      <c r="B64" s="61" t="s">
        <v>3027</v>
      </c>
      <c r="C64" s="62" t="s">
        <v>468</v>
      </c>
      <c r="D64" s="62" t="str">
        <f t="shared" si="0"/>
        <v>2310063</v>
      </c>
      <c r="E64" s="63" t="s">
        <v>3387</v>
      </c>
      <c r="F64" s="63" t="s">
        <v>3388</v>
      </c>
      <c r="G64" s="63" t="s">
        <v>3030</v>
      </c>
      <c r="H64" s="63" t="s">
        <v>3389</v>
      </c>
      <c r="I64" s="63" t="s">
        <v>3390</v>
      </c>
      <c r="J64" s="63"/>
      <c r="K64" s="62" t="s">
        <v>3391</v>
      </c>
      <c r="L64" s="62"/>
      <c r="M64" s="63"/>
      <c r="N64" s="63" t="s">
        <v>3392</v>
      </c>
      <c r="O64" s="62">
        <v>3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2">
      <c r="A65" s="61">
        <v>23</v>
      </c>
      <c r="B65" s="61" t="s">
        <v>3027</v>
      </c>
      <c r="C65" s="62" t="s">
        <v>474</v>
      </c>
      <c r="D65" s="62" t="str">
        <f t="shared" si="0"/>
        <v>2310064</v>
      </c>
      <c r="E65" s="63" t="s">
        <v>3393</v>
      </c>
      <c r="F65" s="63" t="s">
        <v>3394</v>
      </c>
      <c r="G65" s="63" t="s">
        <v>3030</v>
      </c>
      <c r="H65" s="63" t="s">
        <v>3395</v>
      </c>
      <c r="I65" s="63" t="s">
        <v>3396</v>
      </c>
      <c r="J65" s="63"/>
      <c r="K65" s="62" t="s">
        <v>3397</v>
      </c>
      <c r="L65" s="62"/>
      <c r="M65" s="63"/>
      <c r="N65" s="63"/>
      <c r="O65" s="62">
        <v>2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2">
      <c r="A66" s="61">
        <v>23</v>
      </c>
      <c r="B66" s="61" t="s">
        <v>3027</v>
      </c>
      <c r="C66" s="62" t="s">
        <v>480</v>
      </c>
      <c r="D66" s="62" t="str">
        <f t="shared" si="0"/>
        <v>2310065</v>
      </c>
      <c r="E66" s="63" t="s">
        <v>3398</v>
      </c>
      <c r="F66" s="63" t="s">
        <v>3399</v>
      </c>
      <c r="G66" s="63" t="s">
        <v>3043</v>
      </c>
      <c r="H66" s="63" t="s">
        <v>3400</v>
      </c>
      <c r="I66" s="63" t="s">
        <v>3401</v>
      </c>
      <c r="J66" s="63"/>
      <c r="K66" s="62" t="s">
        <v>3402</v>
      </c>
      <c r="L66" s="62"/>
      <c r="M66" s="63"/>
      <c r="N66" s="63" t="s">
        <v>3403</v>
      </c>
      <c r="O66" s="62">
        <v>4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2">
      <c r="A67" s="61">
        <v>23</v>
      </c>
      <c r="B67" s="61" t="s">
        <v>3027</v>
      </c>
      <c r="C67" s="62" t="s">
        <v>486</v>
      </c>
      <c r="D67" s="62" t="str">
        <f t="shared" si="0"/>
        <v>2310066</v>
      </c>
      <c r="E67" s="63" t="s">
        <v>3404</v>
      </c>
      <c r="F67" s="63" t="s">
        <v>3405</v>
      </c>
      <c r="G67" s="63" t="s">
        <v>3043</v>
      </c>
      <c r="H67" s="63" t="s">
        <v>3406</v>
      </c>
      <c r="I67" s="63" t="s">
        <v>3407</v>
      </c>
      <c r="J67" s="63"/>
      <c r="K67" s="62" t="s">
        <v>3408</v>
      </c>
      <c r="L67" s="62"/>
      <c r="M67" s="63"/>
      <c r="N67" s="63" t="s">
        <v>3409</v>
      </c>
      <c r="O67" s="62">
        <v>8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2">
      <c r="A68" s="61">
        <v>23</v>
      </c>
      <c r="B68" s="61" t="s">
        <v>3027</v>
      </c>
      <c r="C68" s="62" t="s">
        <v>492</v>
      </c>
      <c r="D68" s="62" t="str">
        <f t="shared" si="0"/>
        <v>2310067</v>
      </c>
      <c r="E68" s="63" t="s">
        <v>3410</v>
      </c>
      <c r="F68" s="63" t="s">
        <v>3411</v>
      </c>
      <c r="G68" s="63" t="s">
        <v>3030</v>
      </c>
      <c r="H68" s="63" t="s">
        <v>3412</v>
      </c>
      <c r="I68" s="63" t="s">
        <v>3413</v>
      </c>
      <c r="J68" s="63"/>
      <c r="K68" s="62" t="s">
        <v>3414</v>
      </c>
      <c r="L68" s="62"/>
      <c r="M68" s="63"/>
      <c r="N68" s="63"/>
      <c r="O68" s="62">
        <v>2</v>
      </c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2">
      <c r="A69" s="61">
        <v>23</v>
      </c>
      <c r="B69" s="61" t="s">
        <v>3027</v>
      </c>
      <c r="C69" s="62" t="s">
        <v>498</v>
      </c>
      <c r="D69" s="62" t="str">
        <f t="shared" si="0"/>
        <v>2310068</v>
      </c>
      <c r="E69" s="63" t="s">
        <v>3415</v>
      </c>
      <c r="F69" s="63" t="s">
        <v>3416</v>
      </c>
      <c r="G69" s="63" t="s">
        <v>3030</v>
      </c>
      <c r="H69" s="63" t="s">
        <v>3417</v>
      </c>
      <c r="I69" s="63" t="s">
        <v>3418</v>
      </c>
      <c r="J69" s="63"/>
      <c r="K69" s="62" t="s">
        <v>3419</v>
      </c>
      <c r="L69" s="62"/>
      <c r="M69" s="63"/>
      <c r="N69" s="63" t="s">
        <v>3420</v>
      </c>
      <c r="O69" s="62">
        <v>3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2">
      <c r="A70" s="61">
        <v>24</v>
      </c>
      <c r="B70" s="61" t="s">
        <v>3027</v>
      </c>
      <c r="C70" s="62" t="s">
        <v>504</v>
      </c>
      <c r="D70" s="62" t="str">
        <f t="shared" si="0"/>
        <v>2410069</v>
      </c>
      <c r="E70" s="63" t="s">
        <v>3421</v>
      </c>
      <c r="F70" s="63" t="s">
        <v>3422</v>
      </c>
      <c r="G70" s="63" t="s">
        <v>3030</v>
      </c>
      <c r="H70" s="63" t="s">
        <v>3423</v>
      </c>
      <c r="I70" s="63" t="s">
        <v>3424</v>
      </c>
      <c r="J70" s="63" t="s">
        <v>3425</v>
      </c>
      <c r="K70" s="62">
        <v>82131913795</v>
      </c>
      <c r="L70" s="62" t="s">
        <v>3426</v>
      </c>
      <c r="M70" s="63"/>
      <c r="N70" s="63"/>
      <c r="O70" s="62">
        <v>6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2">
      <c r="A71" s="61">
        <v>24</v>
      </c>
      <c r="B71" s="61" t="s">
        <v>3027</v>
      </c>
      <c r="C71" s="62" t="s">
        <v>510</v>
      </c>
      <c r="D71" s="62" t="str">
        <f t="shared" si="0"/>
        <v>2410070</v>
      </c>
      <c r="E71" s="63" t="s">
        <v>3427</v>
      </c>
      <c r="F71" s="63" t="s">
        <v>3428</v>
      </c>
      <c r="G71" s="63" t="s">
        <v>3030</v>
      </c>
      <c r="H71" s="63" t="s">
        <v>3429</v>
      </c>
      <c r="I71" s="63" t="s">
        <v>3430</v>
      </c>
      <c r="J71" s="63"/>
      <c r="K71" s="62">
        <v>895362620002</v>
      </c>
      <c r="L71" s="62"/>
      <c r="M71" s="63"/>
      <c r="N71" s="63" t="s">
        <v>3431</v>
      </c>
      <c r="O71" s="62">
        <v>3</v>
      </c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2">
      <c r="A72" s="61">
        <v>24</v>
      </c>
      <c r="B72" s="61" t="s">
        <v>3027</v>
      </c>
      <c r="C72" s="62" t="s">
        <v>516</v>
      </c>
      <c r="D72" s="62" t="str">
        <f t="shared" si="0"/>
        <v>2410071</v>
      </c>
      <c r="E72" s="63" t="s">
        <v>3432</v>
      </c>
      <c r="F72" s="63" t="s">
        <v>3433</v>
      </c>
      <c r="G72" s="63" t="s">
        <v>3030</v>
      </c>
      <c r="H72" s="63" t="s">
        <v>3434</v>
      </c>
      <c r="I72" s="63" t="s">
        <v>3435</v>
      </c>
      <c r="J72" s="63"/>
      <c r="K72" s="62">
        <v>8819792190</v>
      </c>
      <c r="L72" s="62"/>
      <c r="M72" s="63"/>
      <c r="N72" s="63" t="s">
        <v>3436</v>
      </c>
      <c r="O72" s="62">
        <v>7</v>
      </c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2">
      <c r="A73" s="61">
        <v>24</v>
      </c>
      <c r="B73" s="61" t="s">
        <v>3027</v>
      </c>
      <c r="C73" s="62" t="s">
        <v>522</v>
      </c>
      <c r="D73" s="62" t="str">
        <f t="shared" si="0"/>
        <v>2410072</v>
      </c>
      <c r="E73" s="63" t="s">
        <v>3437</v>
      </c>
      <c r="F73" s="63" t="s">
        <v>3438</v>
      </c>
      <c r="G73" s="63" t="s">
        <v>3030</v>
      </c>
      <c r="H73" s="63" t="s">
        <v>3439</v>
      </c>
      <c r="I73" s="63" t="s">
        <v>3440</v>
      </c>
      <c r="J73" s="63"/>
      <c r="K73" s="62">
        <v>82334552565</v>
      </c>
      <c r="L73" s="62"/>
      <c r="M73" s="63"/>
      <c r="N73" s="63" t="s">
        <v>3441</v>
      </c>
      <c r="O73" s="62">
        <v>3</v>
      </c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2">
      <c r="A74" s="61">
        <v>24</v>
      </c>
      <c r="B74" s="61" t="s">
        <v>3027</v>
      </c>
      <c r="C74" s="62" t="s">
        <v>528</v>
      </c>
      <c r="D74" s="62" t="str">
        <f t="shared" si="0"/>
        <v>2410073</v>
      </c>
      <c r="E74" s="63" t="s">
        <v>3442</v>
      </c>
      <c r="F74" s="63" t="s">
        <v>3443</v>
      </c>
      <c r="G74" s="63" t="s">
        <v>3030</v>
      </c>
      <c r="H74" s="63" t="s">
        <v>3444</v>
      </c>
      <c r="I74" s="63" t="s">
        <v>3445</v>
      </c>
      <c r="J74" s="63"/>
      <c r="K74" s="198" t="s">
        <v>3446</v>
      </c>
      <c r="L74" s="62"/>
      <c r="M74" s="63"/>
      <c r="N74" s="63" t="s">
        <v>3447</v>
      </c>
      <c r="O74" s="62">
        <v>12</v>
      </c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2">
      <c r="A75" s="61">
        <v>24</v>
      </c>
      <c r="B75" s="61" t="s">
        <v>3027</v>
      </c>
      <c r="C75" s="62" t="s">
        <v>534</v>
      </c>
      <c r="D75" s="62" t="str">
        <f t="shared" si="0"/>
        <v>2410074</v>
      </c>
      <c r="E75" s="63" t="s">
        <v>3448</v>
      </c>
      <c r="F75" s="63" t="s">
        <v>3449</v>
      </c>
      <c r="G75" s="63" t="s">
        <v>3030</v>
      </c>
      <c r="H75" s="63" t="s">
        <v>3450</v>
      </c>
      <c r="I75" s="63" t="s">
        <v>3451</v>
      </c>
      <c r="J75" s="63"/>
      <c r="K75" s="62" t="s">
        <v>3452</v>
      </c>
      <c r="L75" s="62"/>
      <c r="M75" s="63"/>
      <c r="N75" s="63" t="s">
        <v>3453</v>
      </c>
      <c r="O75" s="62">
        <v>4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2">
      <c r="A76" s="61">
        <v>24</v>
      </c>
      <c r="B76" s="61" t="s">
        <v>3027</v>
      </c>
      <c r="C76" s="62" t="s">
        <v>541</v>
      </c>
      <c r="D76" s="62" t="str">
        <f t="shared" si="0"/>
        <v>2410075</v>
      </c>
      <c r="E76" s="63" t="s">
        <v>3454</v>
      </c>
      <c r="F76" s="63" t="s">
        <v>3455</v>
      </c>
      <c r="G76" s="63" t="s">
        <v>3043</v>
      </c>
      <c r="H76" s="63" t="s">
        <v>3456</v>
      </c>
      <c r="I76" s="63" t="s">
        <v>3457</v>
      </c>
      <c r="J76" s="63" t="s">
        <v>3458</v>
      </c>
      <c r="K76" s="198" t="s">
        <v>3459</v>
      </c>
      <c r="L76" s="198" t="s">
        <v>3460</v>
      </c>
      <c r="M76" s="63"/>
      <c r="N76" s="63" t="s">
        <v>3461</v>
      </c>
      <c r="O76" s="62">
        <v>12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2">
      <c r="A77" s="61">
        <v>24</v>
      </c>
      <c r="B77" s="61" t="s">
        <v>3027</v>
      </c>
      <c r="C77" s="62" t="s">
        <v>548</v>
      </c>
      <c r="D77" s="62" t="str">
        <f t="shared" si="0"/>
        <v>2410076</v>
      </c>
      <c r="E77" s="63" t="s">
        <v>3462</v>
      </c>
      <c r="F77" s="63" t="s">
        <v>3463</v>
      </c>
      <c r="G77" s="63" t="s">
        <v>3030</v>
      </c>
      <c r="H77" s="63" t="s">
        <v>3464</v>
      </c>
      <c r="I77" s="63" t="s">
        <v>3465</v>
      </c>
      <c r="J77" s="63"/>
      <c r="K77" s="62">
        <v>82234219801</v>
      </c>
      <c r="L77" s="62"/>
      <c r="M77" s="63"/>
      <c r="N77" s="63" t="s">
        <v>3466</v>
      </c>
      <c r="O77" s="62">
        <v>3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2">
      <c r="A78" s="61">
        <v>24</v>
      </c>
      <c r="B78" s="61" t="s">
        <v>3027</v>
      </c>
      <c r="C78" s="62" t="s">
        <v>554</v>
      </c>
      <c r="D78" s="62" t="str">
        <f t="shared" si="0"/>
        <v>2410077</v>
      </c>
      <c r="E78" s="63" t="s">
        <v>3467</v>
      </c>
      <c r="F78" s="63" t="s">
        <v>3468</v>
      </c>
      <c r="G78" s="63" t="s">
        <v>3030</v>
      </c>
      <c r="H78" s="63" t="s">
        <v>3469</v>
      </c>
      <c r="I78" s="63" t="s">
        <v>3470</v>
      </c>
      <c r="J78" s="63"/>
      <c r="K78" s="62">
        <v>85233215410</v>
      </c>
      <c r="L78" s="62"/>
      <c r="M78" s="63"/>
      <c r="N78" s="63" t="s">
        <v>3471</v>
      </c>
      <c r="O78" s="62">
        <v>4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2">
      <c r="A79" s="61">
        <v>24</v>
      </c>
      <c r="B79" s="61" t="s">
        <v>3027</v>
      </c>
      <c r="C79" s="62" t="s">
        <v>561</v>
      </c>
      <c r="D79" s="62" t="str">
        <f t="shared" si="0"/>
        <v>2410078</v>
      </c>
      <c r="E79" s="63" t="s">
        <v>3472</v>
      </c>
      <c r="F79" s="63" t="s">
        <v>3472</v>
      </c>
      <c r="G79" s="63" t="s">
        <v>3030</v>
      </c>
      <c r="H79" s="63" t="s">
        <v>3473</v>
      </c>
      <c r="I79" s="63" t="s">
        <v>3474</v>
      </c>
      <c r="J79" s="63"/>
      <c r="K79" s="62">
        <v>85808758592</v>
      </c>
      <c r="L79" s="62"/>
      <c r="M79" s="63"/>
      <c r="N79" s="63"/>
      <c r="O79" s="62">
        <v>2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2">
      <c r="A80" s="61">
        <v>24</v>
      </c>
      <c r="B80" s="61" t="s">
        <v>3027</v>
      </c>
      <c r="C80" s="62" t="s">
        <v>568</v>
      </c>
      <c r="D80" s="62" t="str">
        <f t="shared" si="0"/>
        <v>2410079</v>
      </c>
      <c r="E80" s="63" t="s">
        <v>3475</v>
      </c>
      <c r="F80" s="63" t="s">
        <v>3476</v>
      </c>
      <c r="G80" s="63" t="s">
        <v>3043</v>
      </c>
      <c r="H80" s="63" t="s">
        <v>3477</v>
      </c>
      <c r="I80" s="63" t="s">
        <v>3478</v>
      </c>
      <c r="J80" s="63" t="s">
        <v>3479</v>
      </c>
      <c r="K80" s="62">
        <v>85851243185</v>
      </c>
      <c r="L80" s="198" t="s">
        <v>3480</v>
      </c>
      <c r="M80" s="63"/>
      <c r="N80" s="63" t="s">
        <v>3481</v>
      </c>
      <c r="O80" s="62">
        <v>3</v>
      </c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2">
      <c r="A81" s="61">
        <v>24</v>
      </c>
      <c r="B81" s="61" t="s">
        <v>3027</v>
      </c>
      <c r="C81" s="62" t="s">
        <v>575</v>
      </c>
      <c r="D81" s="62" t="str">
        <f t="shared" si="0"/>
        <v>2410080</v>
      </c>
      <c r="E81" s="63" t="s">
        <v>3482</v>
      </c>
      <c r="F81" s="63" t="s">
        <v>3483</v>
      </c>
      <c r="G81" s="63" t="s">
        <v>3043</v>
      </c>
      <c r="H81" s="63" t="s">
        <v>3484</v>
      </c>
      <c r="I81" s="63" t="s">
        <v>3485</v>
      </c>
      <c r="J81" s="63"/>
      <c r="K81" s="62">
        <v>85704857272</v>
      </c>
      <c r="L81" s="62"/>
      <c r="M81" s="63"/>
      <c r="N81" s="63" t="s">
        <v>3486</v>
      </c>
      <c r="O81" s="62">
        <v>10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2">
      <c r="A82" s="61">
        <v>24</v>
      </c>
      <c r="B82" s="61" t="s">
        <v>3027</v>
      </c>
      <c r="C82" s="62" t="s">
        <v>581</v>
      </c>
      <c r="D82" s="62" t="str">
        <f t="shared" si="0"/>
        <v>2410081</v>
      </c>
      <c r="E82" s="63" t="s">
        <v>3487</v>
      </c>
      <c r="F82" s="63" t="s">
        <v>3488</v>
      </c>
      <c r="G82" s="63" t="s">
        <v>3030</v>
      </c>
      <c r="H82" s="63" t="s">
        <v>3489</v>
      </c>
      <c r="I82" s="63" t="s">
        <v>3490</v>
      </c>
      <c r="J82" s="63"/>
      <c r="K82" s="62" t="s">
        <v>3491</v>
      </c>
      <c r="L82" s="62"/>
      <c r="M82" s="63"/>
      <c r="N82" s="63" t="s">
        <v>3492</v>
      </c>
      <c r="O82" s="62">
        <v>3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2">
      <c r="A83" s="61">
        <v>24</v>
      </c>
      <c r="B83" s="61" t="s">
        <v>3027</v>
      </c>
      <c r="C83" s="62" t="s">
        <v>587</v>
      </c>
      <c r="D83" s="62" t="str">
        <f t="shared" si="0"/>
        <v>2410082</v>
      </c>
      <c r="E83" s="63" t="s">
        <v>3493</v>
      </c>
      <c r="F83" s="63" t="s">
        <v>3494</v>
      </c>
      <c r="G83" s="63" t="s">
        <v>3030</v>
      </c>
      <c r="H83" s="63" t="s">
        <v>3495</v>
      </c>
      <c r="I83" s="63" t="s">
        <v>3496</v>
      </c>
      <c r="J83" s="63"/>
      <c r="K83" s="62">
        <v>6283831259388</v>
      </c>
      <c r="L83" s="62"/>
      <c r="M83" s="63"/>
      <c r="N83" s="63" t="s">
        <v>3497</v>
      </c>
      <c r="O83" s="62">
        <v>4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2">
      <c r="A84" s="61">
        <v>24</v>
      </c>
      <c r="B84" s="61" t="s">
        <v>3027</v>
      </c>
      <c r="C84" s="62" t="s">
        <v>592</v>
      </c>
      <c r="D84" s="62" t="str">
        <f t="shared" si="0"/>
        <v>2410083</v>
      </c>
      <c r="E84" s="63" t="s">
        <v>3498</v>
      </c>
      <c r="F84" s="63" t="s">
        <v>3499</v>
      </c>
      <c r="G84" s="63" t="s">
        <v>3030</v>
      </c>
      <c r="H84" s="63" t="s">
        <v>3500</v>
      </c>
      <c r="I84" s="63" t="s">
        <v>3501</v>
      </c>
      <c r="J84" s="63"/>
      <c r="K84" s="62">
        <v>82336717968</v>
      </c>
      <c r="L84" s="62"/>
      <c r="M84" s="63"/>
      <c r="N84" s="63"/>
      <c r="O84" s="62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2">
      <c r="A85" s="61">
        <v>24</v>
      </c>
      <c r="B85" s="61" t="s">
        <v>3027</v>
      </c>
      <c r="C85" s="62" t="s">
        <v>598</v>
      </c>
      <c r="D85" s="62" t="str">
        <f t="shared" si="0"/>
        <v>2410084</v>
      </c>
      <c r="E85" s="63" t="s">
        <v>3502</v>
      </c>
      <c r="F85" s="63" t="s">
        <v>3503</v>
      </c>
      <c r="G85" s="63" t="s">
        <v>3030</v>
      </c>
      <c r="H85" s="63" t="s">
        <v>3504</v>
      </c>
      <c r="I85" s="63" t="s">
        <v>3505</v>
      </c>
      <c r="J85" s="63"/>
      <c r="K85" s="62">
        <v>85259995291</v>
      </c>
      <c r="L85" s="62"/>
      <c r="M85" s="63"/>
      <c r="N85" s="63" t="s">
        <v>3506</v>
      </c>
      <c r="O85" s="62">
        <v>4</v>
      </c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2">
      <c r="A86" s="61">
        <v>24</v>
      </c>
      <c r="B86" s="61" t="s">
        <v>3027</v>
      </c>
      <c r="C86" s="62" t="s">
        <v>605</v>
      </c>
      <c r="D86" s="62" t="str">
        <f t="shared" si="0"/>
        <v>2410085</v>
      </c>
      <c r="E86" s="63" t="s">
        <v>3507</v>
      </c>
      <c r="F86" s="63" t="s">
        <v>3508</v>
      </c>
      <c r="G86" s="63" t="s">
        <v>3030</v>
      </c>
      <c r="H86" s="63" t="s">
        <v>3509</v>
      </c>
      <c r="I86" s="63" t="s">
        <v>2297</v>
      </c>
      <c r="J86" s="63"/>
      <c r="K86" s="62">
        <v>85331243740</v>
      </c>
      <c r="L86" s="62"/>
      <c r="M86" s="63"/>
      <c r="N86" s="151" t="s">
        <v>3510</v>
      </c>
      <c r="O86" s="62">
        <v>4</v>
      </c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2">
      <c r="A87" s="61">
        <v>24</v>
      </c>
      <c r="B87" s="61" t="s">
        <v>3027</v>
      </c>
      <c r="C87" s="62" t="s">
        <v>612</v>
      </c>
      <c r="D87" s="62" t="str">
        <f t="shared" si="0"/>
        <v>2410086</v>
      </c>
      <c r="E87" s="63" t="s">
        <v>3511</v>
      </c>
      <c r="F87" s="63" t="s">
        <v>3512</v>
      </c>
      <c r="G87" s="63" t="s">
        <v>3043</v>
      </c>
      <c r="H87" s="63" t="s">
        <v>3513</v>
      </c>
      <c r="I87" s="63" t="s">
        <v>3514</v>
      </c>
      <c r="J87" s="63"/>
      <c r="K87" s="62">
        <v>83863014653</v>
      </c>
      <c r="L87" s="62"/>
      <c r="M87" s="63"/>
      <c r="N87" s="63" t="s">
        <v>3515</v>
      </c>
      <c r="O87" s="62">
        <v>8</v>
      </c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2">
      <c r="A88" s="61">
        <v>24</v>
      </c>
      <c r="B88" s="61" t="s">
        <v>3027</v>
      </c>
      <c r="C88" s="62" t="s">
        <v>618</v>
      </c>
      <c r="D88" s="62" t="str">
        <f t="shared" si="0"/>
        <v>2410087</v>
      </c>
      <c r="E88" s="63" t="s">
        <v>3516</v>
      </c>
      <c r="F88" s="63" t="s">
        <v>3517</v>
      </c>
      <c r="G88" s="63" t="s">
        <v>3030</v>
      </c>
      <c r="H88" s="63" t="s">
        <v>3518</v>
      </c>
      <c r="I88" s="63" t="s">
        <v>3519</v>
      </c>
      <c r="J88" s="63"/>
      <c r="K88" s="62">
        <v>82228655502</v>
      </c>
      <c r="L88" s="62"/>
      <c r="M88" s="63"/>
      <c r="N88" s="63" t="s">
        <v>3520</v>
      </c>
      <c r="O88" s="62">
        <v>10</v>
      </c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2">
      <c r="A89" s="61">
        <v>24</v>
      </c>
      <c r="B89" s="61" t="s">
        <v>3027</v>
      </c>
      <c r="C89" s="62" t="s">
        <v>624</v>
      </c>
      <c r="D89" s="62" t="str">
        <f t="shared" si="0"/>
        <v>2410088</v>
      </c>
      <c r="E89" s="63" t="s">
        <v>3521</v>
      </c>
      <c r="F89" s="63" t="s">
        <v>3522</v>
      </c>
      <c r="G89" s="63" t="s">
        <v>3030</v>
      </c>
      <c r="H89" s="63" t="s">
        <v>3523</v>
      </c>
      <c r="I89" s="63" t="s">
        <v>3524</v>
      </c>
      <c r="J89" s="63"/>
      <c r="K89" s="62">
        <v>81353744332</v>
      </c>
      <c r="L89" s="62"/>
      <c r="M89" s="63"/>
      <c r="N89" s="63" t="s">
        <v>3525</v>
      </c>
      <c r="O89" s="62">
        <v>4</v>
      </c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2">
      <c r="A90" s="61">
        <v>24</v>
      </c>
      <c r="B90" s="61" t="s">
        <v>3027</v>
      </c>
      <c r="C90" s="62" t="s">
        <v>630</v>
      </c>
      <c r="D90" s="62" t="str">
        <f t="shared" si="0"/>
        <v>2410089</v>
      </c>
      <c r="E90" s="63" t="s">
        <v>3526</v>
      </c>
      <c r="F90" s="63" t="s">
        <v>3527</v>
      </c>
      <c r="G90" s="63" t="s">
        <v>3030</v>
      </c>
      <c r="H90" s="63" t="s">
        <v>3528</v>
      </c>
      <c r="I90" s="63" t="s">
        <v>3529</v>
      </c>
      <c r="J90" s="63"/>
      <c r="K90" s="62">
        <v>81515825133</v>
      </c>
      <c r="L90" s="62"/>
      <c r="M90" s="63"/>
      <c r="N90" s="63" t="s">
        <v>3530</v>
      </c>
      <c r="O90" s="62">
        <v>5</v>
      </c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6.5" customHeight="1" x14ac:dyDescent="0.2">
      <c r="A91" s="61">
        <v>24</v>
      </c>
      <c r="B91" s="61" t="s">
        <v>3027</v>
      </c>
      <c r="C91" s="62" t="s">
        <v>636</v>
      </c>
      <c r="D91" s="62" t="str">
        <f t="shared" si="0"/>
        <v>2410090</v>
      </c>
      <c r="E91" s="63" t="s">
        <v>3531</v>
      </c>
      <c r="F91" s="199" t="s">
        <v>3532</v>
      </c>
      <c r="G91" s="63" t="s">
        <v>3030</v>
      </c>
      <c r="H91" s="63" t="s">
        <v>3533</v>
      </c>
      <c r="I91" s="63" t="s">
        <v>3534</v>
      </c>
      <c r="J91" s="63"/>
      <c r="K91" s="62">
        <v>85334519560</v>
      </c>
      <c r="L91" s="62"/>
      <c r="M91" s="63"/>
      <c r="N91" s="63" t="s">
        <v>3535</v>
      </c>
      <c r="O91" s="62">
        <v>3</v>
      </c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2">
      <c r="A92" s="61">
        <v>24</v>
      </c>
      <c r="B92" s="61" t="s">
        <v>3027</v>
      </c>
      <c r="C92" s="62" t="s">
        <v>642</v>
      </c>
      <c r="D92" s="62" t="str">
        <f t="shared" si="0"/>
        <v>2410091</v>
      </c>
      <c r="E92" s="63" t="s">
        <v>1536</v>
      </c>
      <c r="F92" s="43" t="s">
        <v>3536</v>
      </c>
      <c r="G92" s="63" t="s">
        <v>3043</v>
      </c>
      <c r="H92" s="63" t="s">
        <v>3537</v>
      </c>
      <c r="I92" s="63" t="s">
        <v>3538</v>
      </c>
      <c r="J92" s="63"/>
      <c r="K92" s="62">
        <v>82144298822</v>
      </c>
      <c r="L92" s="62"/>
      <c r="M92" s="63"/>
      <c r="N92" s="63"/>
      <c r="O92" s="62">
        <v>5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2">
      <c r="A93" s="61">
        <v>24</v>
      </c>
      <c r="B93" s="61" t="s">
        <v>3027</v>
      </c>
      <c r="C93" s="62" t="s">
        <v>648</v>
      </c>
      <c r="D93" s="62" t="str">
        <f t="shared" si="0"/>
        <v>2410092</v>
      </c>
      <c r="E93" s="63" t="s">
        <v>3539</v>
      </c>
      <c r="F93" s="63" t="s">
        <v>3540</v>
      </c>
      <c r="G93" s="63" t="s">
        <v>3043</v>
      </c>
      <c r="H93" s="63" t="s">
        <v>3541</v>
      </c>
      <c r="I93" s="63" t="s">
        <v>3542</v>
      </c>
      <c r="J93" s="63"/>
      <c r="K93" s="62">
        <v>0</v>
      </c>
      <c r="L93" s="62"/>
      <c r="M93" s="63"/>
      <c r="N93" s="63">
        <v>0</v>
      </c>
      <c r="O93" s="62">
        <v>15</v>
      </c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2">
      <c r="A94" s="61">
        <v>24</v>
      </c>
      <c r="B94" s="61" t="s">
        <v>3027</v>
      </c>
      <c r="C94" s="62" t="s">
        <v>654</v>
      </c>
      <c r="D94" s="62" t="str">
        <f t="shared" si="0"/>
        <v>2410093</v>
      </c>
      <c r="E94" s="63" t="s">
        <v>3543</v>
      </c>
      <c r="F94" s="63" t="s">
        <v>3544</v>
      </c>
      <c r="G94" s="63" t="s">
        <v>3043</v>
      </c>
      <c r="H94" s="63" t="s">
        <v>3545</v>
      </c>
      <c r="I94" s="63" t="s">
        <v>3546</v>
      </c>
      <c r="J94" s="63" t="s">
        <v>3547</v>
      </c>
      <c r="K94" s="62">
        <v>82141451478</v>
      </c>
      <c r="L94" s="198" t="s">
        <v>3548</v>
      </c>
      <c r="M94" s="63"/>
      <c r="N94" s="63" t="s">
        <v>3549</v>
      </c>
      <c r="O94" s="62">
        <v>4</v>
      </c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2">
      <c r="A95" s="61">
        <v>24</v>
      </c>
      <c r="B95" s="61" t="s">
        <v>3027</v>
      </c>
      <c r="C95" s="62" t="s">
        <v>658</v>
      </c>
      <c r="D95" s="62" t="str">
        <f t="shared" si="0"/>
        <v>2410094</v>
      </c>
      <c r="E95" s="63" t="s">
        <v>3550</v>
      </c>
      <c r="F95" s="63" t="s">
        <v>3551</v>
      </c>
      <c r="G95" s="63" t="s">
        <v>3043</v>
      </c>
      <c r="H95" s="63" t="s">
        <v>3552</v>
      </c>
      <c r="I95" s="63" t="s">
        <v>3553</v>
      </c>
      <c r="J95" s="63"/>
      <c r="K95" s="62">
        <v>83170249356</v>
      </c>
      <c r="L95" s="62"/>
      <c r="M95" s="63"/>
      <c r="N95" s="63" t="s">
        <v>3554</v>
      </c>
      <c r="O95" s="79">
        <v>4</v>
      </c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2">
      <c r="A96" s="61">
        <v>24</v>
      </c>
      <c r="B96" s="61" t="s">
        <v>3027</v>
      </c>
      <c r="C96" s="62" t="s">
        <v>664</v>
      </c>
      <c r="D96" s="62" t="str">
        <f t="shared" si="0"/>
        <v>2410095</v>
      </c>
      <c r="E96" s="63" t="s">
        <v>3555</v>
      </c>
      <c r="F96" s="63" t="s">
        <v>3556</v>
      </c>
      <c r="G96" s="63" t="s">
        <v>3043</v>
      </c>
      <c r="H96" s="63" t="s">
        <v>3509</v>
      </c>
      <c r="I96" s="63" t="s">
        <v>3557</v>
      </c>
      <c r="J96" s="63"/>
      <c r="K96" s="62">
        <v>82324676680</v>
      </c>
      <c r="L96" s="62"/>
      <c r="M96" s="63"/>
      <c r="N96" s="63" t="s">
        <v>3558</v>
      </c>
      <c r="O96" s="62">
        <v>5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2">
      <c r="A97" s="61">
        <v>24</v>
      </c>
      <c r="B97" s="61">
        <v>10</v>
      </c>
      <c r="C97" s="62" t="s">
        <v>670</v>
      </c>
      <c r="D97" s="62" t="str">
        <f t="shared" si="0"/>
        <v>2410096</v>
      </c>
      <c r="E97" s="54" t="s">
        <v>3559</v>
      </c>
      <c r="F97" s="54" t="s">
        <v>3560</v>
      </c>
      <c r="G97" s="54" t="s">
        <v>3030</v>
      </c>
      <c r="H97" s="54" t="s">
        <v>3561</v>
      </c>
      <c r="I97" s="54" t="s">
        <v>3562</v>
      </c>
      <c r="J97" s="54"/>
      <c r="K97" s="93" t="s">
        <v>3563</v>
      </c>
      <c r="L97" s="96"/>
      <c r="M97" s="154"/>
      <c r="N97" s="54" t="s">
        <v>3564</v>
      </c>
      <c r="O97" s="96">
        <v>5</v>
      </c>
      <c r="R97" s="43"/>
      <c r="T97" s="43"/>
      <c r="V97" s="43"/>
      <c r="W97" s="43"/>
      <c r="X97" s="43"/>
      <c r="Y97" s="43"/>
      <c r="Z97" s="43"/>
      <c r="AA97" s="43"/>
    </row>
    <row r="98" spans="1:27" ht="15.75" customHeight="1" x14ac:dyDescent="0.2">
      <c r="A98" s="61">
        <v>24</v>
      </c>
      <c r="B98" s="61">
        <v>10</v>
      </c>
      <c r="C98" s="62" t="s">
        <v>676</v>
      </c>
      <c r="D98" s="62" t="str">
        <f t="shared" si="0"/>
        <v>2410097</v>
      </c>
      <c r="E98" s="54" t="s">
        <v>3565</v>
      </c>
      <c r="F98" s="54" t="s">
        <v>3566</v>
      </c>
      <c r="G98" s="54" t="s">
        <v>3030</v>
      </c>
      <c r="H98" s="54" t="s">
        <v>3567</v>
      </c>
      <c r="I98" s="54" t="s">
        <v>3568</v>
      </c>
      <c r="J98" s="54"/>
      <c r="K98" s="96" t="s">
        <v>3569</v>
      </c>
      <c r="L98" s="96"/>
      <c r="M98" s="54"/>
      <c r="N98" s="54" t="s">
        <v>3570</v>
      </c>
      <c r="O98" s="96">
        <v>6</v>
      </c>
      <c r="R98" s="43"/>
      <c r="T98" s="43"/>
      <c r="V98" s="43"/>
      <c r="W98" s="43"/>
      <c r="X98" s="43"/>
      <c r="Y98" s="43"/>
      <c r="Z98" s="43"/>
      <c r="AA98" s="43"/>
    </row>
    <row r="99" spans="1:27" ht="15.75" customHeight="1" x14ac:dyDescent="0.2">
      <c r="A99" s="61">
        <v>24</v>
      </c>
      <c r="B99" s="61">
        <v>10</v>
      </c>
      <c r="C99" s="62" t="s">
        <v>682</v>
      </c>
      <c r="D99" s="62" t="str">
        <f t="shared" si="0"/>
        <v>2410098</v>
      </c>
      <c r="E99" s="54" t="s">
        <v>3571</v>
      </c>
      <c r="F99" s="54" t="s">
        <v>3572</v>
      </c>
      <c r="G99" s="54" t="s">
        <v>3030</v>
      </c>
      <c r="H99" s="54" t="s">
        <v>3573</v>
      </c>
      <c r="I99" s="54" t="s">
        <v>3574</v>
      </c>
      <c r="J99" s="54"/>
      <c r="K99" s="96" t="s">
        <v>3575</v>
      </c>
      <c r="L99" s="96"/>
      <c r="M99" s="54"/>
      <c r="N99" s="54" t="s">
        <v>3576</v>
      </c>
      <c r="O99" s="96">
        <v>3</v>
      </c>
      <c r="R99" s="43"/>
      <c r="T99" s="43"/>
      <c r="V99" s="43"/>
      <c r="W99" s="43"/>
      <c r="X99" s="43"/>
      <c r="Y99" s="43"/>
      <c r="Z99" s="43"/>
      <c r="AA99" s="43"/>
    </row>
    <row r="100" spans="1:27" ht="15.75" customHeight="1" x14ac:dyDescent="0.2">
      <c r="A100" s="61">
        <v>25</v>
      </c>
      <c r="B100" s="61">
        <v>10</v>
      </c>
      <c r="C100" s="62" t="s">
        <v>689</v>
      </c>
      <c r="D100" s="62" t="str">
        <f t="shared" si="0"/>
        <v>2510099</v>
      </c>
      <c r="E100" s="54" t="s">
        <v>3577</v>
      </c>
      <c r="F100" s="54" t="s">
        <v>3578</v>
      </c>
      <c r="G100" s="54" t="s">
        <v>3030</v>
      </c>
      <c r="H100" s="54" t="s">
        <v>3579</v>
      </c>
      <c r="I100" s="54" t="s">
        <v>3580</v>
      </c>
      <c r="J100" s="54"/>
      <c r="K100" s="93" t="s">
        <v>3581</v>
      </c>
      <c r="L100" s="96"/>
      <c r="M100" s="54"/>
      <c r="N100" s="54" t="s">
        <v>3582</v>
      </c>
      <c r="O100" s="96">
        <v>5</v>
      </c>
      <c r="R100" s="43"/>
      <c r="T100" s="43"/>
      <c r="V100" s="43"/>
      <c r="W100" s="43"/>
      <c r="X100" s="43"/>
      <c r="Y100" s="43"/>
      <c r="Z100" s="43"/>
      <c r="AA100" s="43"/>
    </row>
    <row r="101" spans="1:27" ht="15.75" customHeight="1" x14ac:dyDescent="0.2">
      <c r="A101" s="61">
        <v>25</v>
      </c>
      <c r="B101" s="61">
        <v>10</v>
      </c>
      <c r="C101" s="62" t="s">
        <v>695</v>
      </c>
      <c r="D101" s="62" t="str">
        <f t="shared" si="0"/>
        <v>2510100</v>
      </c>
      <c r="E101" s="54" t="s">
        <v>3583</v>
      </c>
      <c r="F101" s="54" t="s">
        <v>3584</v>
      </c>
      <c r="G101" s="54" t="s">
        <v>3043</v>
      </c>
      <c r="H101" s="54" t="s">
        <v>3585</v>
      </c>
      <c r="I101" s="54" t="s">
        <v>3586</v>
      </c>
      <c r="J101" s="54"/>
      <c r="K101" s="93" t="s">
        <v>3587</v>
      </c>
      <c r="L101" s="96"/>
      <c r="M101" s="154"/>
      <c r="N101" s="54" t="s">
        <v>3588</v>
      </c>
      <c r="O101" s="96">
        <v>5</v>
      </c>
      <c r="R101" s="43"/>
      <c r="T101" s="43"/>
      <c r="V101" s="43"/>
      <c r="W101" s="43"/>
      <c r="X101" s="43"/>
      <c r="Y101" s="43"/>
      <c r="Z101" s="43"/>
      <c r="AA101" s="43"/>
    </row>
    <row r="102" spans="1:27" ht="15.75" customHeight="1" x14ac:dyDescent="0.2">
      <c r="A102" s="61">
        <v>25</v>
      </c>
      <c r="B102" s="61">
        <v>10</v>
      </c>
      <c r="C102" s="62" t="s">
        <v>701</v>
      </c>
      <c r="D102" s="62" t="str">
        <f t="shared" si="0"/>
        <v>2510101</v>
      </c>
      <c r="E102" s="54" t="s">
        <v>3589</v>
      </c>
      <c r="F102" s="54" t="s">
        <v>3590</v>
      </c>
      <c r="G102" s="54" t="s">
        <v>3030</v>
      </c>
      <c r="H102" s="54" t="s">
        <v>3591</v>
      </c>
      <c r="I102" s="54" t="s">
        <v>3592</v>
      </c>
      <c r="J102" s="54"/>
      <c r="K102" s="93" t="s">
        <v>3593</v>
      </c>
      <c r="L102" s="96"/>
      <c r="M102" s="54"/>
      <c r="N102" s="54" t="s">
        <v>3594</v>
      </c>
      <c r="O102" s="96">
        <v>5</v>
      </c>
      <c r="R102" s="43"/>
      <c r="T102" s="43"/>
      <c r="V102" s="43"/>
      <c r="W102" s="43"/>
      <c r="X102" s="43"/>
      <c r="Y102" s="43"/>
      <c r="Z102" s="43"/>
      <c r="AA102" s="43"/>
    </row>
    <row r="103" spans="1:27" ht="15.75" customHeight="1" x14ac:dyDescent="0.2">
      <c r="A103" s="61">
        <v>25</v>
      </c>
      <c r="B103" s="61">
        <v>10</v>
      </c>
      <c r="C103" s="62" t="s">
        <v>707</v>
      </c>
      <c r="D103" s="62" t="str">
        <f t="shared" si="0"/>
        <v>2510102</v>
      </c>
      <c r="E103" s="54" t="s">
        <v>3595</v>
      </c>
      <c r="F103" s="54" t="s">
        <v>3596</v>
      </c>
      <c r="G103" s="54" t="s">
        <v>3030</v>
      </c>
      <c r="H103" s="54" t="s">
        <v>3597</v>
      </c>
      <c r="I103" s="54" t="s">
        <v>3598</v>
      </c>
      <c r="J103" s="54"/>
      <c r="K103" s="93" t="s">
        <v>3599</v>
      </c>
      <c r="L103" s="96"/>
      <c r="M103" s="54"/>
      <c r="N103" s="54" t="s">
        <v>3600</v>
      </c>
      <c r="O103" s="96">
        <v>4</v>
      </c>
      <c r="R103" s="43"/>
      <c r="T103" s="43"/>
      <c r="V103" s="43"/>
      <c r="W103" s="43"/>
      <c r="X103" s="43"/>
      <c r="Y103" s="43"/>
      <c r="Z103" s="43"/>
      <c r="AA103" s="43"/>
    </row>
    <row r="104" spans="1:27" ht="15.75" customHeight="1" x14ac:dyDescent="0.2">
      <c r="A104" s="61">
        <v>25</v>
      </c>
      <c r="B104" s="61">
        <v>10</v>
      </c>
      <c r="C104" s="62" t="s">
        <v>714</v>
      </c>
      <c r="D104" s="62" t="str">
        <f t="shared" si="0"/>
        <v>2510103</v>
      </c>
      <c r="E104" s="54" t="s">
        <v>3601</v>
      </c>
      <c r="F104" s="54" t="s">
        <v>3602</v>
      </c>
      <c r="G104" s="54" t="s">
        <v>3030</v>
      </c>
      <c r="H104" s="54" t="s">
        <v>3603</v>
      </c>
      <c r="I104" s="54" t="s">
        <v>3604</v>
      </c>
      <c r="J104" s="54"/>
      <c r="K104" s="93" t="s">
        <v>3605</v>
      </c>
      <c r="L104" s="96"/>
      <c r="M104" s="54"/>
      <c r="N104" s="54" t="s">
        <v>3606</v>
      </c>
      <c r="O104" s="96">
        <v>3</v>
      </c>
      <c r="R104" s="43"/>
      <c r="T104" s="43"/>
      <c r="V104" s="43"/>
      <c r="W104" s="43"/>
      <c r="X104" s="43"/>
      <c r="Y104" s="43"/>
      <c r="Z104" s="43"/>
      <c r="AA104" s="43"/>
    </row>
    <row r="105" spans="1:27" ht="15.75" customHeight="1" x14ac:dyDescent="0.2">
      <c r="A105" s="61">
        <v>25</v>
      </c>
      <c r="B105" s="61">
        <v>10</v>
      </c>
      <c r="C105" s="62" t="s">
        <v>721</v>
      </c>
      <c r="D105" s="62" t="str">
        <f t="shared" si="0"/>
        <v>2510104</v>
      </c>
      <c r="E105" s="54" t="s">
        <v>3607</v>
      </c>
      <c r="F105" s="54" t="s">
        <v>3608</v>
      </c>
      <c r="G105" s="54" t="s">
        <v>3043</v>
      </c>
      <c r="H105" s="54" t="s">
        <v>3609</v>
      </c>
      <c r="I105" s="54" t="s">
        <v>3610</v>
      </c>
      <c r="J105" s="54"/>
      <c r="K105" s="96" t="s">
        <v>3611</v>
      </c>
      <c r="L105" s="96"/>
      <c r="M105" s="54"/>
      <c r="N105" s="54"/>
      <c r="O105" s="96">
        <v>1</v>
      </c>
      <c r="R105" s="43"/>
      <c r="T105" s="43"/>
      <c r="V105" s="43"/>
      <c r="W105" s="43"/>
      <c r="X105" s="43"/>
      <c r="Y105" s="43"/>
      <c r="Z105" s="43"/>
      <c r="AA105" s="43"/>
    </row>
    <row r="106" spans="1:27" ht="16" x14ac:dyDescent="0.2">
      <c r="A106" s="61">
        <v>25</v>
      </c>
      <c r="B106" s="61">
        <v>10</v>
      </c>
      <c r="C106" s="62" t="s">
        <v>727</v>
      </c>
      <c r="D106" s="62" t="str">
        <f t="shared" si="0"/>
        <v>2510105</v>
      </c>
      <c r="E106" s="54" t="s">
        <v>3101</v>
      </c>
      <c r="F106" s="54" t="s">
        <v>3102</v>
      </c>
      <c r="G106" s="54" t="s">
        <v>3030</v>
      </c>
      <c r="H106" s="54" t="s">
        <v>3103</v>
      </c>
      <c r="I106" s="54" t="s">
        <v>3104</v>
      </c>
      <c r="J106" s="54"/>
      <c r="K106" s="93" t="s">
        <v>3105</v>
      </c>
      <c r="L106" s="96"/>
      <c r="M106" s="54"/>
      <c r="N106" s="54" t="s">
        <v>3106</v>
      </c>
      <c r="O106" s="96">
        <v>6</v>
      </c>
      <c r="R106" s="43"/>
      <c r="T106" s="44"/>
      <c r="V106" s="43"/>
      <c r="W106" s="43"/>
      <c r="X106" s="43"/>
      <c r="Y106" s="43"/>
      <c r="Z106" s="43"/>
      <c r="AA106" s="43"/>
    </row>
    <row r="107" spans="1:27" ht="15.75" customHeight="1" x14ac:dyDescent="0.2">
      <c r="A107" s="61">
        <v>25</v>
      </c>
      <c r="B107" s="61">
        <v>10</v>
      </c>
      <c r="C107" s="62" t="s">
        <v>735</v>
      </c>
      <c r="D107" s="62" t="str">
        <f t="shared" si="0"/>
        <v>2510106</v>
      </c>
      <c r="E107" s="54" t="s">
        <v>3612</v>
      </c>
      <c r="F107" s="54" t="s">
        <v>3613</v>
      </c>
      <c r="G107" s="54" t="s">
        <v>3043</v>
      </c>
      <c r="H107" s="54" t="s">
        <v>3614</v>
      </c>
      <c r="I107" s="54" t="s">
        <v>3615</v>
      </c>
      <c r="J107" s="54"/>
      <c r="K107" s="93" t="s">
        <v>3616</v>
      </c>
      <c r="L107" s="96"/>
      <c r="M107" s="54"/>
      <c r="N107" s="54"/>
      <c r="O107" s="96">
        <v>3</v>
      </c>
      <c r="R107" s="43"/>
      <c r="T107" s="43"/>
      <c r="V107" s="43"/>
      <c r="W107" s="43"/>
      <c r="X107" s="43"/>
      <c r="Y107" s="43"/>
      <c r="Z107" s="43"/>
      <c r="AA107" s="43"/>
    </row>
    <row r="108" spans="1:27" ht="15.75" customHeight="1" x14ac:dyDescent="0.2">
      <c r="A108" s="61">
        <v>25</v>
      </c>
      <c r="B108" s="61">
        <v>10</v>
      </c>
      <c r="C108" s="62" t="s">
        <v>746</v>
      </c>
      <c r="D108" s="62" t="str">
        <f t="shared" si="0"/>
        <v>2510107</v>
      </c>
      <c r="E108" s="54" t="s">
        <v>3617</v>
      </c>
      <c r="F108" s="54" t="s">
        <v>3618</v>
      </c>
      <c r="G108" s="54" t="s">
        <v>3030</v>
      </c>
      <c r="H108" s="54" t="s">
        <v>3619</v>
      </c>
      <c r="I108" s="54" t="s">
        <v>3620</v>
      </c>
      <c r="J108" s="54"/>
      <c r="K108" s="93" t="s">
        <v>3621</v>
      </c>
      <c r="L108" s="96"/>
      <c r="M108" s="54"/>
      <c r="N108" s="54" t="s">
        <v>3622</v>
      </c>
      <c r="O108" s="96">
        <v>8</v>
      </c>
      <c r="R108" s="43"/>
      <c r="T108" s="43"/>
      <c r="V108" s="43"/>
      <c r="W108" s="43"/>
      <c r="X108" s="43"/>
      <c r="Y108" s="43"/>
      <c r="Z108" s="43"/>
      <c r="AA108" s="43"/>
    </row>
    <row r="109" spans="1:27" ht="15.75" customHeight="1" x14ac:dyDescent="0.2">
      <c r="A109" s="61">
        <v>25</v>
      </c>
      <c r="B109" s="61">
        <v>10</v>
      </c>
      <c r="C109" s="62" t="s">
        <v>755</v>
      </c>
      <c r="D109" s="62" t="str">
        <f t="shared" si="0"/>
        <v>2510108</v>
      </c>
      <c r="E109" s="54" t="s">
        <v>3623</v>
      </c>
      <c r="F109" s="54" t="s">
        <v>3624</v>
      </c>
      <c r="G109" s="54" t="s">
        <v>3030</v>
      </c>
      <c r="H109" s="54" t="s">
        <v>3625</v>
      </c>
      <c r="I109" s="54" t="s">
        <v>3626</v>
      </c>
      <c r="J109" s="54"/>
      <c r="K109" s="93" t="s">
        <v>3627</v>
      </c>
      <c r="L109" s="96"/>
      <c r="M109" s="54"/>
      <c r="N109" s="54" t="s">
        <v>3628</v>
      </c>
      <c r="O109" s="96">
        <v>4</v>
      </c>
      <c r="R109" s="43"/>
      <c r="T109" s="44"/>
      <c r="V109" s="43"/>
      <c r="W109" s="43"/>
      <c r="X109" s="43"/>
      <c r="Y109" s="43"/>
      <c r="Z109" s="43"/>
      <c r="AA109" s="43"/>
    </row>
    <row r="110" spans="1:27" ht="15.75" customHeight="1" x14ac:dyDescent="0.2">
      <c r="A110" s="61">
        <v>25</v>
      </c>
      <c r="B110" s="61">
        <v>10</v>
      </c>
      <c r="C110" s="62" t="s">
        <v>764</v>
      </c>
      <c r="D110" s="62" t="str">
        <f t="shared" si="0"/>
        <v>2510109</v>
      </c>
      <c r="E110" s="54" t="s">
        <v>3629</v>
      </c>
      <c r="F110" s="54" t="s">
        <v>3630</v>
      </c>
      <c r="G110" s="54" t="s">
        <v>3030</v>
      </c>
      <c r="H110" s="54" t="s">
        <v>3631</v>
      </c>
      <c r="I110" s="54" t="s">
        <v>3632</v>
      </c>
      <c r="J110" s="54"/>
      <c r="K110" s="93" t="s">
        <v>3633</v>
      </c>
      <c r="L110" s="96"/>
      <c r="M110" s="154"/>
      <c r="N110" s="54" t="s">
        <v>3634</v>
      </c>
      <c r="O110" s="96">
        <v>7</v>
      </c>
      <c r="R110" s="43"/>
      <c r="T110" s="43"/>
      <c r="V110" s="43"/>
      <c r="W110" s="43"/>
      <c r="X110" s="43"/>
      <c r="Y110" s="43"/>
      <c r="Z110" s="43"/>
      <c r="AA110" s="43"/>
    </row>
    <row r="111" spans="1:27" ht="15.75" customHeight="1" x14ac:dyDescent="0.2">
      <c r="A111" s="61">
        <v>25</v>
      </c>
      <c r="B111" s="61">
        <v>10</v>
      </c>
      <c r="C111" s="62" t="s">
        <v>775</v>
      </c>
      <c r="D111" s="62" t="str">
        <f t="shared" si="0"/>
        <v>2510110</v>
      </c>
      <c r="E111" s="54" t="s">
        <v>3635</v>
      </c>
      <c r="F111" s="54" t="s">
        <v>3636</v>
      </c>
      <c r="G111" s="54" t="s">
        <v>3030</v>
      </c>
      <c r="H111" s="54" t="s">
        <v>3637</v>
      </c>
      <c r="I111" s="54" t="s">
        <v>3638</v>
      </c>
      <c r="J111" s="54" t="s">
        <v>3639</v>
      </c>
      <c r="K111" s="93" t="s">
        <v>3640</v>
      </c>
      <c r="L111" s="93" t="s">
        <v>3641</v>
      </c>
      <c r="M111" s="54"/>
      <c r="N111" s="54"/>
      <c r="O111" s="96">
        <v>4</v>
      </c>
      <c r="R111" s="43"/>
      <c r="T111" s="44"/>
      <c r="U111" s="43"/>
      <c r="V111" s="43"/>
      <c r="W111" s="43"/>
      <c r="X111" s="43"/>
      <c r="Y111" s="43"/>
      <c r="Z111" s="43"/>
      <c r="AA111" s="43"/>
    </row>
    <row r="112" spans="1:27" ht="15.75" customHeight="1" x14ac:dyDescent="0.2">
      <c r="A112" s="61">
        <v>25</v>
      </c>
      <c r="B112" s="61">
        <v>10</v>
      </c>
      <c r="C112" s="62" t="s">
        <v>789</v>
      </c>
      <c r="D112" s="62" t="str">
        <f t="shared" si="0"/>
        <v>2510111</v>
      </c>
      <c r="E112" s="54" t="s">
        <v>3642</v>
      </c>
      <c r="F112" s="54" t="s">
        <v>3643</v>
      </c>
      <c r="G112" s="54" t="s">
        <v>3030</v>
      </c>
      <c r="H112" s="54" t="s">
        <v>3644</v>
      </c>
      <c r="I112" s="54" t="s">
        <v>3645</v>
      </c>
      <c r="J112" s="54"/>
      <c r="K112" s="93" t="s">
        <v>3646</v>
      </c>
      <c r="L112" s="96"/>
      <c r="M112" s="54"/>
      <c r="N112" s="54"/>
      <c r="O112" s="96">
        <v>5</v>
      </c>
      <c r="R112" s="43"/>
      <c r="T112" s="44"/>
      <c r="U112" s="43"/>
      <c r="V112" s="43"/>
      <c r="W112" s="43"/>
      <c r="X112" s="43"/>
      <c r="Y112" s="43"/>
      <c r="Z112" s="43"/>
      <c r="AA112" s="43"/>
    </row>
    <row r="113" spans="1:27" ht="15.75" customHeight="1" x14ac:dyDescent="0.2">
      <c r="A113" s="156">
        <v>25</v>
      </c>
      <c r="B113" s="156">
        <v>10</v>
      </c>
      <c r="C113" s="156">
        <v>112</v>
      </c>
      <c r="D113" s="157" t="str">
        <f t="shared" si="0"/>
        <v>2510112</v>
      </c>
      <c r="E113" s="158" t="s">
        <v>3647</v>
      </c>
      <c r="F113" s="158" t="s">
        <v>3648</v>
      </c>
      <c r="G113" s="158" t="s">
        <v>3043</v>
      </c>
      <c r="H113" s="158" t="s">
        <v>3649</v>
      </c>
      <c r="I113" s="158" t="s">
        <v>3650</v>
      </c>
      <c r="J113" s="158" t="s">
        <v>3651</v>
      </c>
      <c r="K113" s="159" t="s">
        <v>3652</v>
      </c>
      <c r="L113" s="159" t="s">
        <v>3653</v>
      </c>
      <c r="M113" s="158"/>
      <c r="N113" s="158" t="s">
        <v>3654</v>
      </c>
      <c r="O113" s="160">
        <v>4</v>
      </c>
      <c r="P113" s="162"/>
      <c r="Q113" s="162"/>
      <c r="R113" s="163"/>
      <c r="S113" s="162"/>
      <c r="T113" s="163"/>
      <c r="U113" s="162"/>
      <c r="V113" s="163"/>
      <c r="W113" s="163"/>
      <c r="X113" s="163"/>
      <c r="Y113" s="163"/>
      <c r="Z113" s="163"/>
      <c r="AA113" s="163"/>
    </row>
    <row r="114" spans="1:27" ht="15.75" customHeight="1" x14ac:dyDescent="0.2">
      <c r="A114" s="61">
        <v>25</v>
      </c>
      <c r="B114" s="61">
        <v>10</v>
      </c>
      <c r="C114" s="61">
        <v>113</v>
      </c>
      <c r="D114" s="62" t="str">
        <f t="shared" si="0"/>
        <v>2510113</v>
      </c>
      <c r="E114" s="54" t="s">
        <v>3655</v>
      </c>
      <c r="F114" s="54" t="s">
        <v>3656</v>
      </c>
      <c r="G114" s="54" t="s">
        <v>3043</v>
      </c>
      <c r="H114" s="54" t="s">
        <v>3657</v>
      </c>
      <c r="I114" s="54" t="s">
        <v>3658</v>
      </c>
      <c r="J114" s="54"/>
      <c r="K114" s="93" t="s">
        <v>3659</v>
      </c>
      <c r="L114" s="96"/>
      <c r="M114" s="54"/>
      <c r="N114" s="54" t="s">
        <v>3660</v>
      </c>
      <c r="O114" s="96">
        <v>4</v>
      </c>
      <c r="R114" s="43"/>
      <c r="T114" s="43"/>
      <c r="V114" s="43"/>
      <c r="W114" s="43"/>
      <c r="X114" s="43"/>
      <c r="Y114" s="43"/>
      <c r="Z114" s="43"/>
      <c r="AA114" s="43"/>
    </row>
    <row r="115" spans="1:27" ht="15.75" customHeight="1" x14ac:dyDescent="0.2">
      <c r="A115" s="61">
        <v>25</v>
      </c>
      <c r="B115" s="61">
        <v>10</v>
      </c>
      <c r="C115" s="61">
        <v>114</v>
      </c>
      <c r="D115" s="62" t="str">
        <f t="shared" si="0"/>
        <v>2510114</v>
      </c>
      <c r="E115" s="54" t="s">
        <v>3661</v>
      </c>
      <c r="F115" s="54" t="s">
        <v>3662</v>
      </c>
      <c r="G115" s="54" t="s">
        <v>3030</v>
      </c>
      <c r="H115" s="54" t="s">
        <v>3663</v>
      </c>
      <c r="I115" s="54" t="s">
        <v>3664</v>
      </c>
      <c r="J115" s="54"/>
      <c r="K115" s="93" t="s">
        <v>3665</v>
      </c>
      <c r="L115" s="96"/>
      <c r="M115" s="54"/>
      <c r="N115" s="54"/>
      <c r="O115" s="96">
        <v>3</v>
      </c>
      <c r="R115" s="43"/>
      <c r="T115" s="43"/>
      <c r="U115" s="43"/>
      <c r="V115" s="43"/>
      <c r="W115" s="43"/>
      <c r="X115" s="43"/>
      <c r="Y115" s="43"/>
      <c r="Z115" s="43"/>
      <c r="AA115" s="43"/>
    </row>
    <row r="116" spans="1:27" ht="15.75" customHeight="1" x14ac:dyDescent="0.2">
      <c r="A116" s="61">
        <v>25</v>
      </c>
      <c r="B116" s="61">
        <v>10</v>
      </c>
      <c r="C116" s="61">
        <v>115</v>
      </c>
      <c r="D116" s="62" t="str">
        <f t="shared" si="0"/>
        <v>2510115</v>
      </c>
      <c r="E116" s="54" t="s">
        <v>3666</v>
      </c>
      <c r="F116" s="54" t="s">
        <v>3667</v>
      </c>
      <c r="G116" s="54" t="s">
        <v>3043</v>
      </c>
      <c r="H116" s="54" t="s">
        <v>3668</v>
      </c>
      <c r="I116" s="54" t="s">
        <v>3669</v>
      </c>
      <c r="J116" s="54"/>
      <c r="K116" s="93" t="s">
        <v>3670</v>
      </c>
      <c r="L116" s="54"/>
      <c r="M116" s="54"/>
      <c r="N116" s="54" t="s">
        <v>3671</v>
      </c>
      <c r="O116" s="96">
        <v>5</v>
      </c>
      <c r="R116" s="43"/>
      <c r="T116" s="43"/>
      <c r="V116" s="23"/>
      <c r="W116" s="23"/>
      <c r="X116" s="23"/>
      <c r="Y116" s="23"/>
      <c r="Z116" s="23"/>
      <c r="AA116" s="23"/>
    </row>
    <row r="117" spans="1:27" ht="15.75" customHeight="1" x14ac:dyDescent="0.2">
      <c r="A117" s="61">
        <v>25</v>
      </c>
      <c r="B117" s="61">
        <v>10</v>
      </c>
      <c r="C117" s="61">
        <v>116</v>
      </c>
      <c r="D117" s="62" t="str">
        <f t="shared" si="0"/>
        <v>2510116</v>
      </c>
      <c r="E117" s="54" t="s">
        <v>3672</v>
      </c>
      <c r="F117" s="54" t="s">
        <v>3673</v>
      </c>
      <c r="G117" s="54" t="s">
        <v>3043</v>
      </c>
      <c r="H117" s="54" t="s">
        <v>3674</v>
      </c>
      <c r="I117" s="54" t="s">
        <v>3675</v>
      </c>
      <c r="J117" s="54"/>
      <c r="K117" s="93" t="s">
        <v>3676</v>
      </c>
      <c r="L117" s="54"/>
      <c r="M117" s="54"/>
      <c r="N117" s="54"/>
      <c r="O117" s="96">
        <v>4</v>
      </c>
      <c r="R117" s="43"/>
      <c r="T117" s="43"/>
      <c r="V117" s="23"/>
      <c r="W117" s="23"/>
      <c r="X117" s="23"/>
      <c r="Y117" s="23"/>
      <c r="Z117" s="23"/>
      <c r="AA117" s="23"/>
    </row>
    <row r="118" spans="1:27" ht="15.75" customHeight="1" x14ac:dyDescent="0.2">
      <c r="A118" s="61">
        <v>25</v>
      </c>
      <c r="B118" s="61">
        <v>10</v>
      </c>
      <c r="C118" s="61">
        <v>117</v>
      </c>
      <c r="D118" s="62" t="str">
        <f t="shared" si="0"/>
        <v>2510117</v>
      </c>
      <c r="E118" s="54" t="s">
        <v>3677</v>
      </c>
      <c r="F118" s="54" t="s">
        <v>3678</v>
      </c>
      <c r="G118" s="54" t="s">
        <v>3030</v>
      </c>
      <c r="H118" s="54" t="s">
        <v>3679</v>
      </c>
      <c r="I118" s="54" t="s">
        <v>3680</v>
      </c>
      <c r="J118" s="54"/>
      <c r="K118" s="93" t="s">
        <v>3681</v>
      </c>
      <c r="L118" s="54"/>
      <c r="M118" s="54"/>
      <c r="N118" s="54" t="s">
        <v>3682</v>
      </c>
      <c r="O118" s="96">
        <v>4</v>
      </c>
      <c r="R118" s="43"/>
      <c r="T118" s="44"/>
      <c r="V118" s="23"/>
      <c r="W118" s="23"/>
      <c r="X118" s="23"/>
      <c r="Y118" s="23"/>
      <c r="Z118" s="23"/>
      <c r="AA118" s="23"/>
    </row>
    <row r="119" spans="1:27" ht="15.75" customHeight="1" x14ac:dyDescent="0.2">
      <c r="A119" s="61">
        <v>25</v>
      </c>
      <c r="B119" s="61">
        <v>10</v>
      </c>
      <c r="C119" s="61">
        <v>118</v>
      </c>
      <c r="D119" s="62" t="str">
        <f t="shared" si="0"/>
        <v>2510118</v>
      </c>
      <c r="E119" s="54" t="s">
        <v>3683</v>
      </c>
      <c r="F119" s="54" t="s">
        <v>3684</v>
      </c>
      <c r="G119" s="54" t="s">
        <v>3030</v>
      </c>
      <c r="H119" s="54" t="s">
        <v>3685</v>
      </c>
      <c r="I119" s="54" t="s">
        <v>3686</v>
      </c>
      <c r="J119" s="54"/>
      <c r="K119" s="93" t="s">
        <v>3687</v>
      </c>
      <c r="L119" s="54"/>
      <c r="M119" s="54"/>
      <c r="N119" s="54" t="s">
        <v>3688</v>
      </c>
      <c r="O119" s="96">
        <v>5</v>
      </c>
      <c r="R119" s="43"/>
      <c r="T119" s="43"/>
      <c r="V119" s="23"/>
      <c r="W119" s="23"/>
      <c r="X119" s="23"/>
      <c r="Y119" s="23"/>
      <c r="Z119" s="23"/>
      <c r="AA119" s="23"/>
    </row>
    <row r="120" spans="1:27" ht="15.75" customHeight="1" x14ac:dyDescent="0.2">
      <c r="A120" s="61">
        <v>25</v>
      </c>
      <c r="B120" s="61">
        <v>10</v>
      </c>
      <c r="C120" s="61">
        <v>119</v>
      </c>
      <c r="D120" s="62" t="str">
        <f t="shared" si="0"/>
        <v>2510119</v>
      </c>
      <c r="E120" s="54" t="s">
        <v>3689</v>
      </c>
      <c r="F120" s="54" t="s">
        <v>3690</v>
      </c>
      <c r="G120" s="54" t="s">
        <v>3030</v>
      </c>
      <c r="H120" s="54" t="s">
        <v>3691</v>
      </c>
      <c r="I120" s="54" t="s">
        <v>3692</v>
      </c>
      <c r="J120" s="54"/>
      <c r="K120" s="93" t="s">
        <v>3693</v>
      </c>
      <c r="L120" s="54"/>
      <c r="M120" s="154"/>
      <c r="N120" s="54" t="s">
        <v>3694</v>
      </c>
      <c r="O120" s="96">
        <v>4</v>
      </c>
      <c r="R120" s="43"/>
      <c r="T120" s="43"/>
      <c r="V120" s="23"/>
      <c r="W120" s="23"/>
      <c r="X120" s="23"/>
      <c r="Y120" s="23"/>
      <c r="Z120" s="23"/>
      <c r="AA120" s="23"/>
    </row>
    <row r="121" spans="1:27" ht="15.75" customHeight="1" x14ac:dyDescent="0.2">
      <c r="A121" s="61">
        <v>25</v>
      </c>
      <c r="B121" s="61">
        <v>10</v>
      </c>
      <c r="C121" s="61">
        <v>120</v>
      </c>
      <c r="D121" s="62" t="str">
        <f t="shared" si="0"/>
        <v>2510120</v>
      </c>
      <c r="E121" s="43" t="s">
        <v>3695</v>
      </c>
      <c r="F121" s="43" t="s">
        <v>3696</v>
      </c>
      <c r="G121" s="43" t="s">
        <v>3030</v>
      </c>
      <c r="H121" s="43" t="s">
        <v>3697</v>
      </c>
      <c r="I121" s="43" t="s">
        <v>3698</v>
      </c>
      <c r="J121" s="43" t="s">
        <v>3699</v>
      </c>
      <c r="K121" s="43" t="s">
        <v>3700</v>
      </c>
      <c r="L121" s="43" t="s">
        <v>3701</v>
      </c>
      <c r="M121" s="43" t="s">
        <v>3701</v>
      </c>
      <c r="N121" s="43" t="s">
        <v>3701</v>
      </c>
      <c r="O121" s="43" t="s">
        <v>3701</v>
      </c>
      <c r="P121" s="43" t="s">
        <v>3701</v>
      </c>
      <c r="Q121" s="43" t="s">
        <v>3702</v>
      </c>
      <c r="R121" s="43" t="s">
        <v>3703</v>
      </c>
      <c r="S121" s="55" t="s">
        <v>3704</v>
      </c>
      <c r="T121" s="44">
        <v>0</v>
      </c>
      <c r="U121" s="43" t="s">
        <v>3701</v>
      </c>
      <c r="V121" s="43"/>
      <c r="W121" s="43"/>
      <c r="X121" s="43"/>
      <c r="Y121" s="43"/>
      <c r="Z121" s="43"/>
      <c r="AA121" s="43"/>
    </row>
    <row r="122" spans="1:27" ht="15.75" customHeight="1" x14ac:dyDescent="0.2">
      <c r="A122" s="61">
        <v>25</v>
      </c>
      <c r="B122" s="61">
        <v>10</v>
      </c>
      <c r="C122" s="61">
        <v>121</v>
      </c>
      <c r="D122" s="62" t="str">
        <f t="shared" si="0"/>
        <v>2510121</v>
      </c>
      <c r="E122" s="43" t="s">
        <v>3705</v>
      </c>
      <c r="F122" s="43" t="s">
        <v>3706</v>
      </c>
      <c r="G122" s="43" t="s">
        <v>3030</v>
      </c>
      <c r="H122" s="43" t="s">
        <v>3707</v>
      </c>
      <c r="I122" s="43" t="s">
        <v>3708</v>
      </c>
      <c r="J122" s="43" t="s">
        <v>3709</v>
      </c>
      <c r="K122" s="43" t="s">
        <v>3710</v>
      </c>
      <c r="L122" s="43"/>
      <c r="M122" s="78" t="s">
        <v>3711</v>
      </c>
      <c r="N122" s="43"/>
      <c r="O122" s="43"/>
      <c r="P122" s="43" t="s">
        <v>3712</v>
      </c>
      <c r="Q122" s="43" t="s">
        <v>3713</v>
      </c>
      <c r="R122" s="43" t="s">
        <v>752</v>
      </c>
      <c r="S122" s="55" t="s">
        <v>3714</v>
      </c>
      <c r="T122" s="55" t="s">
        <v>3715</v>
      </c>
      <c r="U122" s="43" t="s">
        <v>3716</v>
      </c>
      <c r="V122" s="43"/>
      <c r="W122" s="43"/>
      <c r="X122" s="43"/>
      <c r="Y122" s="43"/>
      <c r="Z122" s="43"/>
      <c r="AA122" s="43"/>
    </row>
    <row r="123" spans="1:27" ht="15.75" customHeight="1" x14ac:dyDescent="0.2">
      <c r="A123" s="61">
        <v>25</v>
      </c>
      <c r="B123" s="61">
        <v>10</v>
      </c>
      <c r="C123" s="61">
        <v>122</v>
      </c>
      <c r="D123" s="62" t="str">
        <f t="shared" si="0"/>
        <v>2510122</v>
      </c>
      <c r="E123" s="43" t="s">
        <v>3717</v>
      </c>
      <c r="F123" s="43" t="s">
        <v>3718</v>
      </c>
      <c r="G123" s="43" t="s">
        <v>3043</v>
      </c>
      <c r="H123" s="43" t="s">
        <v>3719</v>
      </c>
      <c r="I123" s="43" t="s">
        <v>3720</v>
      </c>
      <c r="J123" s="43"/>
      <c r="K123" s="43" t="s">
        <v>3721</v>
      </c>
      <c r="L123" s="43"/>
      <c r="M123" s="43"/>
      <c r="N123" s="43" t="s">
        <v>3722</v>
      </c>
      <c r="O123" s="43"/>
      <c r="P123" s="44">
        <v>14</v>
      </c>
      <c r="Q123" s="43" t="s">
        <v>3723</v>
      </c>
      <c r="R123" s="43" t="s">
        <v>3724</v>
      </c>
      <c r="S123" s="55" t="s">
        <v>3725</v>
      </c>
      <c r="T123" s="44">
        <v>0</v>
      </c>
      <c r="U123" s="43" t="s">
        <v>3726</v>
      </c>
      <c r="V123" s="43"/>
      <c r="W123" s="43"/>
      <c r="X123" s="43"/>
      <c r="Y123" s="43"/>
      <c r="Z123" s="43"/>
      <c r="AA123" s="43"/>
    </row>
    <row r="124" spans="1:27" ht="15.75" customHeight="1" x14ac:dyDescent="0.2">
      <c r="A124" s="61">
        <v>25</v>
      </c>
      <c r="B124" s="61">
        <v>10</v>
      </c>
      <c r="C124" s="61">
        <v>123</v>
      </c>
      <c r="D124" s="62" t="str">
        <f t="shared" si="0"/>
        <v>2510123</v>
      </c>
      <c r="E124" s="43" t="s">
        <v>3727</v>
      </c>
      <c r="F124" s="43" t="s">
        <v>3728</v>
      </c>
      <c r="G124" s="43" t="s">
        <v>3030</v>
      </c>
      <c r="H124" s="43" t="s">
        <v>3729</v>
      </c>
      <c r="I124" s="43" t="s">
        <v>3730</v>
      </c>
      <c r="J124" s="43" t="s">
        <v>3730</v>
      </c>
      <c r="K124" s="43" t="s">
        <v>3731</v>
      </c>
      <c r="L124" s="43"/>
      <c r="M124" s="43"/>
      <c r="N124" s="43" t="s">
        <v>3732</v>
      </c>
      <c r="O124" s="43"/>
      <c r="P124" s="44">
        <v>3</v>
      </c>
      <c r="Q124" s="43" t="s">
        <v>3733</v>
      </c>
      <c r="R124" s="43" t="s">
        <v>742</v>
      </c>
      <c r="S124" s="55" t="s">
        <v>3734</v>
      </c>
      <c r="T124" s="55" t="s">
        <v>3734</v>
      </c>
      <c r="U124" s="43" t="s">
        <v>3735</v>
      </c>
      <c r="V124" s="43"/>
      <c r="W124" s="43"/>
      <c r="X124" s="43"/>
      <c r="Y124" s="43"/>
      <c r="Z124" s="43"/>
      <c r="AA124" s="43"/>
    </row>
    <row r="125" spans="1:27" ht="15.75" customHeight="1" x14ac:dyDescent="0.2">
      <c r="A125" s="61">
        <v>25</v>
      </c>
      <c r="B125" s="61">
        <v>10</v>
      </c>
      <c r="C125" s="61">
        <v>124</v>
      </c>
      <c r="D125" s="62" t="str">
        <f t="shared" si="0"/>
        <v>2510124</v>
      </c>
      <c r="E125" s="43" t="s">
        <v>3179</v>
      </c>
      <c r="F125" s="43" t="s">
        <v>3736</v>
      </c>
      <c r="G125" s="43" t="s">
        <v>3030</v>
      </c>
      <c r="H125" s="43" t="s">
        <v>3181</v>
      </c>
      <c r="I125" s="43" t="s">
        <v>3737</v>
      </c>
      <c r="J125" s="43" t="s">
        <v>3737</v>
      </c>
      <c r="K125" s="43" t="s">
        <v>3737</v>
      </c>
      <c r="L125" s="43" t="s">
        <v>663</v>
      </c>
      <c r="M125" s="43"/>
      <c r="N125" s="43" t="s">
        <v>3737</v>
      </c>
      <c r="O125" s="43" t="s">
        <v>663</v>
      </c>
      <c r="P125" s="44">
        <v>5</v>
      </c>
      <c r="Q125" s="43" t="s">
        <v>3738</v>
      </c>
      <c r="R125" s="43" t="s">
        <v>3739</v>
      </c>
      <c r="S125" s="55" t="s">
        <v>3740</v>
      </c>
      <c r="T125" s="44">
        <v>0</v>
      </c>
      <c r="U125" s="43" t="s">
        <v>3741</v>
      </c>
      <c r="V125" s="43"/>
      <c r="W125" s="43"/>
      <c r="X125" s="43"/>
      <c r="Y125" s="43"/>
      <c r="Z125" s="43"/>
      <c r="AA125" s="43"/>
    </row>
    <row r="126" spans="1:27" ht="15.75" customHeight="1" x14ac:dyDescent="0.2">
      <c r="A126" s="61">
        <v>25</v>
      </c>
      <c r="B126" s="61">
        <v>10</v>
      </c>
      <c r="C126" s="61">
        <v>125</v>
      </c>
      <c r="D126" s="62" t="str">
        <f t="shared" si="0"/>
        <v>2510125</v>
      </c>
      <c r="E126" s="43" t="s">
        <v>3742</v>
      </c>
      <c r="F126" s="43" t="s">
        <v>3743</v>
      </c>
      <c r="G126" s="43" t="s">
        <v>3030</v>
      </c>
      <c r="H126" s="43" t="s">
        <v>3744</v>
      </c>
      <c r="I126" s="43"/>
      <c r="J126" s="43"/>
      <c r="K126" s="43" t="s">
        <v>3745</v>
      </c>
      <c r="L126" s="43"/>
      <c r="M126" s="43"/>
      <c r="N126" s="43"/>
      <c r="O126" s="43"/>
      <c r="P126" s="44">
        <v>2</v>
      </c>
      <c r="Q126" s="43" t="s">
        <v>3746</v>
      </c>
      <c r="R126" s="43" t="s">
        <v>742</v>
      </c>
      <c r="S126" s="55" t="s">
        <v>3747</v>
      </c>
      <c r="T126" s="55" t="s">
        <v>3747</v>
      </c>
      <c r="U126" s="43" t="s">
        <v>3748</v>
      </c>
      <c r="V126" s="43"/>
      <c r="W126" s="43"/>
      <c r="X126" s="43"/>
      <c r="Y126" s="43"/>
      <c r="Z126" s="43"/>
      <c r="AA126" s="43"/>
    </row>
    <row r="127" spans="1:27" ht="15.75" customHeight="1" x14ac:dyDescent="0.2">
      <c r="A127" s="61">
        <v>25</v>
      </c>
      <c r="B127" s="61">
        <v>10</v>
      </c>
      <c r="C127" s="61">
        <v>126</v>
      </c>
      <c r="D127" s="62" t="str">
        <f t="shared" si="0"/>
        <v>2510126</v>
      </c>
      <c r="E127" s="43" t="s">
        <v>3749</v>
      </c>
      <c r="F127" s="43" t="s">
        <v>3750</v>
      </c>
      <c r="G127" s="43" t="s">
        <v>3030</v>
      </c>
      <c r="H127" s="43" t="s">
        <v>3751</v>
      </c>
      <c r="I127" s="43" t="s">
        <v>3752</v>
      </c>
      <c r="J127" s="43" t="s">
        <v>3753</v>
      </c>
      <c r="K127" s="43" t="s">
        <v>3754</v>
      </c>
      <c r="L127" s="43" t="s">
        <v>663</v>
      </c>
      <c r="M127" s="78" t="s">
        <v>3755</v>
      </c>
      <c r="N127" s="43" t="s">
        <v>3753</v>
      </c>
      <c r="O127" s="43" t="s">
        <v>663</v>
      </c>
      <c r="P127" s="44">
        <v>4</v>
      </c>
      <c r="Q127" s="43" t="s">
        <v>3756</v>
      </c>
      <c r="R127" s="43" t="s">
        <v>785</v>
      </c>
      <c r="S127" s="55" t="s">
        <v>3757</v>
      </c>
      <c r="T127" s="44">
        <v>0</v>
      </c>
      <c r="U127" s="43" t="s">
        <v>3758</v>
      </c>
      <c r="V127" s="43"/>
      <c r="W127" s="43"/>
      <c r="X127" s="43"/>
      <c r="Y127" s="43"/>
      <c r="Z127" s="43"/>
      <c r="AA127" s="43"/>
    </row>
    <row r="128" spans="1:27" ht="15.75" customHeight="1" x14ac:dyDescent="0.2">
      <c r="A128" s="61">
        <v>25</v>
      </c>
      <c r="B128" s="61">
        <v>10</v>
      </c>
      <c r="C128" s="61">
        <v>127</v>
      </c>
      <c r="D128" s="62" t="str">
        <f t="shared" si="0"/>
        <v>2510127</v>
      </c>
      <c r="E128" s="43" t="s">
        <v>3759</v>
      </c>
      <c r="F128" s="43" t="s">
        <v>3760</v>
      </c>
      <c r="G128" s="43" t="s">
        <v>3030</v>
      </c>
      <c r="H128" s="43" t="s">
        <v>3761</v>
      </c>
      <c r="I128" s="43" t="s">
        <v>3762</v>
      </c>
      <c r="J128" s="43" t="s">
        <v>3763</v>
      </c>
      <c r="K128" s="43" t="s">
        <v>3763</v>
      </c>
      <c r="L128" s="43"/>
      <c r="M128" s="43"/>
      <c r="N128" s="43" t="s">
        <v>3764</v>
      </c>
      <c r="O128" s="43"/>
      <c r="P128" s="44">
        <v>2</v>
      </c>
      <c r="Q128" s="43" t="s">
        <v>3765</v>
      </c>
      <c r="R128" s="43" t="s">
        <v>3766</v>
      </c>
      <c r="S128" s="55" t="s">
        <v>3767</v>
      </c>
      <c r="T128" s="44">
        <v>0</v>
      </c>
      <c r="U128" s="43" t="s">
        <v>3768</v>
      </c>
      <c r="V128" s="43"/>
      <c r="W128" s="43"/>
      <c r="X128" s="43"/>
      <c r="Y128" s="43"/>
      <c r="Z128" s="43"/>
      <c r="AA128" s="43"/>
    </row>
    <row r="129" spans="1:27" ht="15.75" customHeight="1" x14ac:dyDescent="0.2">
      <c r="A129" s="61">
        <v>25</v>
      </c>
      <c r="B129" s="61">
        <v>10</v>
      </c>
      <c r="C129" s="61">
        <v>128</v>
      </c>
      <c r="D129" s="62" t="str">
        <f t="shared" si="0"/>
        <v>2510128</v>
      </c>
      <c r="E129" s="43" t="s">
        <v>3769</v>
      </c>
      <c r="F129" s="43" t="s">
        <v>3770</v>
      </c>
      <c r="G129" s="43" t="s">
        <v>3043</v>
      </c>
      <c r="H129" s="43" t="s">
        <v>3298</v>
      </c>
      <c r="I129" s="43" t="s">
        <v>3296</v>
      </c>
      <c r="J129" s="43" t="s">
        <v>3771</v>
      </c>
      <c r="K129" s="43" t="s">
        <v>3772</v>
      </c>
      <c r="L129" s="43"/>
      <c r="M129" s="78" t="s">
        <v>3773</v>
      </c>
      <c r="N129" s="43" t="s">
        <v>3774</v>
      </c>
      <c r="O129" s="43"/>
      <c r="P129" s="44">
        <v>12</v>
      </c>
      <c r="Q129" s="43" t="s">
        <v>3775</v>
      </c>
      <c r="R129" s="43" t="s">
        <v>3776</v>
      </c>
      <c r="S129" s="55" t="s">
        <v>3777</v>
      </c>
      <c r="T129" s="43" t="s">
        <v>3778</v>
      </c>
      <c r="U129" s="43" t="s">
        <v>3778</v>
      </c>
      <c r="V129" s="43"/>
      <c r="W129" s="43"/>
      <c r="X129" s="43"/>
      <c r="Y129" s="43"/>
      <c r="Z129" s="43"/>
      <c r="AA129" s="43"/>
    </row>
    <row r="130" spans="1:27" ht="15.75" customHeight="1" x14ac:dyDescent="0.2">
      <c r="A130" s="61">
        <v>25</v>
      </c>
      <c r="B130" s="61">
        <v>10</v>
      </c>
      <c r="C130" s="61">
        <v>129</v>
      </c>
      <c r="D130" s="62" t="str">
        <f t="shared" si="0"/>
        <v>2510129</v>
      </c>
      <c r="E130" s="43" t="s">
        <v>3779</v>
      </c>
      <c r="F130" s="43" t="s">
        <v>3780</v>
      </c>
      <c r="G130" s="43" t="s">
        <v>3043</v>
      </c>
      <c r="H130" s="43" t="s">
        <v>3781</v>
      </c>
      <c r="I130" s="43" t="s">
        <v>3782</v>
      </c>
      <c r="J130" s="43" t="s">
        <v>3782</v>
      </c>
      <c r="K130" s="43" t="s">
        <v>3783</v>
      </c>
      <c r="L130" s="43" t="s">
        <v>3783</v>
      </c>
      <c r="M130" s="43" t="s">
        <v>3783</v>
      </c>
      <c r="N130" s="43" t="s">
        <v>3783</v>
      </c>
      <c r="O130" s="43"/>
      <c r="P130" s="44">
        <v>4</v>
      </c>
      <c r="Q130" s="43" t="s">
        <v>3784</v>
      </c>
      <c r="R130" s="43" t="s">
        <v>742</v>
      </c>
      <c r="S130" s="55" t="s">
        <v>3785</v>
      </c>
      <c r="T130" s="44">
        <v>0</v>
      </c>
      <c r="U130" s="43"/>
      <c r="V130" s="43"/>
      <c r="W130" s="43"/>
      <c r="X130" s="43"/>
      <c r="Y130" s="43"/>
      <c r="Z130" s="43"/>
      <c r="AA130" s="43"/>
    </row>
    <row r="131" spans="1:27" ht="15.75" customHeight="1" x14ac:dyDescent="0.2">
      <c r="A131" s="61">
        <v>25</v>
      </c>
      <c r="B131" s="61">
        <v>10</v>
      </c>
      <c r="C131" s="61">
        <v>130</v>
      </c>
      <c r="D131" s="62" t="str">
        <f t="shared" si="0"/>
        <v>2510130</v>
      </c>
      <c r="E131" s="43" t="s">
        <v>3786</v>
      </c>
      <c r="F131" s="43" t="s">
        <v>3787</v>
      </c>
      <c r="G131" s="43" t="s">
        <v>3030</v>
      </c>
      <c r="H131" s="43" t="s">
        <v>3788</v>
      </c>
      <c r="I131" s="43" t="s">
        <v>3789</v>
      </c>
      <c r="J131" s="43" t="s">
        <v>3789</v>
      </c>
      <c r="K131" s="43" t="s">
        <v>3789</v>
      </c>
      <c r="L131" s="43" t="s">
        <v>3790</v>
      </c>
      <c r="M131" s="43"/>
      <c r="N131" s="43" t="s">
        <v>3791</v>
      </c>
      <c r="O131" s="43"/>
      <c r="P131" s="43" t="s">
        <v>3792</v>
      </c>
      <c r="Q131" s="43" t="s">
        <v>3793</v>
      </c>
      <c r="R131" s="43" t="s">
        <v>3794</v>
      </c>
      <c r="S131" s="55" t="s">
        <v>3795</v>
      </c>
      <c r="T131" s="55" t="s">
        <v>3795</v>
      </c>
      <c r="U131" s="43" t="s">
        <v>3796</v>
      </c>
      <c r="V131" s="43"/>
      <c r="W131" s="43"/>
      <c r="X131" s="43"/>
      <c r="Y131" s="43"/>
      <c r="Z131" s="43"/>
      <c r="AA131" s="4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23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23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23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23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23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23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.75" customHeight="1" x14ac:dyDescent="0.15">
      <c r="A242" s="56"/>
      <c r="B242" s="56"/>
      <c r="C242" s="23"/>
      <c r="D242" s="23"/>
      <c r="E242" s="23"/>
      <c r="F242" s="23"/>
      <c r="G242" s="23"/>
      <c r="H242" s="23"/>
      <c r="I242" s="23"/>
      <c r="J242" s="23"/>
      <c r="K242" s="56"/>
      <c r="L242" s="56"/>
      <c r="M242" s="23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.75" customHeight="1" x14ac:dyDescent="0.15">
      <c r="A243" s="56"/>
      <c r="B243" s="56"/>
      <c r="C243" s="23"/>
      <c r="D243" s="23"/>
      <c r="E243" s="23"/>
      <c r="F243" s="23"/>
      <c r="G243" s="23"/>
      <c r="H243" s="23"/>
      <c r="I243" s="23"/>
      <c r="J243" s="23"/>
      <c r="K243" s="56"/>
      <c r="L243" s="56"/>
      <c r="M243" s="23"/>
      <c r="N243" s="23"/>
      <c r="O243" s="56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.75" customHeight="1" x14ac:dyDescent="0.15">
      <c r="A244" s="56"/>
      <c r="B244" s="56"/>
      <c r="C244" s="23"/>
      <c r="D244" s="23"/>
      <c r="E244" s="23"/>
      <c r="F244" s="23"/>
      <c r="G244" s="23"/>
      <c r="H244" s="23"/>
      <c r="I244" s="23"/>
      <c r="J244" s="23"/>
      <c r="K244" s="56"/>
      <c r="L244" s="56"/>
      <c r="M244" s="23"/>
      <c r="N244" s="23"/>
      <c r="O244" s="5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.75" customHeight="1" x14ac:dyDescent="0.15">
      <c r="A245" s="56"/>
      <c r="B245" s="56"/>
      <c r="C245" s="23"/>
      <c r="D245" s="23"/>
      <c r="E245" s="23"/>
      <c r="F245" s="23"/>
      <c r="G245" s="23"/>
      <c r="H245" s="23"/>
      <c r="I245" s="23"/>
      <c r="J245" s="23"/>
      <c r="K245" s="56"/>
      <c r="L245" s="56"/>
      <c r="M245" s="23"/>
      <c r="N245" s="23"/>
      <c r="O245" s="56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5.75" customHeight="1" x14ac:dyDescent="0.15">
      <c r="A246" s="56"/>
      <c r="B246" s="56"/>
      <c r="C246" s="23"/>
      <c r="D246" s="23"/>
      <c r="E246" s="23"/>
      <c r="F246" s="23"/>
      <c r="G246" s="23"/>
      <c r="H246" s="23"/>
      <c r="I246" s="23"/>
      <c r="J246" s="23"/>
      <c r="K246" s="56"/>
      <c r="L246" s="56"/>
      <c r="M246" s="23"/>
      <c r="N246" s="23"/>
      <c r="O246" s="5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5.75" customHeight="1" x14ac:dyDescent="0.15">
      <c r="A247" s="56"/>
      <c r="B247" s="56"/>
      <c r="C247" s="23"/>
      <c r="D247" s="23"/>
      <c r="E247" s="23"/>
      <c r="F247" s="23"/>
      <c r="G247" s="23"/>
      <c r="H247" s="23"/>
      <c r="I247" s="23"/>
      <c r="J247" s="23"/>
      <c r="K247" s="56"/>
      <c r="L247" s="56"/>
      <c r="M247" s="23"/>
      <c r="N247" s="23"/>
      <c r="O247" s="56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5.75" customHeight="1" x14ac:dyDescent="0.15">
      <c r="A248" s="56"/>
      <c r="B248" s="56"/>
      <c r="C248" s="23"/>
      <c r="D248" s="23"/>
      <c r="E248" s="23"/>
      <c r="F248" s="23"/>
      <c r="G248" s="23"/>
      <c r="H248" s="23"/>
      <c r="I248" s="23"/>
      <c r="J248" s="23"/>
      <c r="K248" s="56"/>
      <c r="L248" s="56"/>
      <c r="M248" s="23"/>
      <c r="N248" s="23"/>
      <c r="O248" s="56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ht="15.75" customHeight="1" x14ac:dyDescent="0.15">
      <c r="A249" s="56"/>
      <c r="B249" s="56"/>
      <c r="C249" s="23"/>
      <c r="D249" s="23"/>
      <c r="E249" s="23"/>
      <c r="F249" s="23"/>
      <c r="G249" s="23"/>
      <c r="H249" s="23"/>
      <c r="I249" s="23"/>
      <c r="J249" s="23"/>
      <c r="K249" s="56"/>
      <c r="L249" s="56"/>
      <c r="M249" s="23"/>
      <c r="N249" s="23"/>
      <c r="O249" s="56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ht="15.75" customHeight="1" x14ac:dyDescent="0.15">
      <c r="A250" s="56"/>
      <c r="B250" s="56"/>
      <c r="C250" s="23"/>
      <c r="D250" s="23"/>
      <c r="E250" s="23"/>
      <c r="F250" s="23"/>
      <c r="G250" s="23"/>
      <c r="H250" s="23"/>
      <c r="I250" s="23"/>
      <c r="J250" s="23"/>
      <c r="K250" s="56"/>
      <c r="L250" s="56"/>
      <c r="M250" s="23"/>
      <c r="N250" s="23"/>
      <c r="O250" s="56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ht="15.75" customHeight="1" x14ac:dyDescent="0.15">
      <c r="A251" s="56"/>
      <c r="B251" s="56"/>
      <c r="C251" s="23"/>
      <c r="D251" s="23"/>
      <c r="E251" s="23"/>
      <c r="F251" s="23"/>
      <c r="G251" s="23"/>
      <c r="H251" s="23"/>
      <c r="I251" s="23"/>
      <c r="J251" s="23"/>
      <c r="K251" s="56"/>
      <c r="L251" s="56"/>
      <c r="M251" s="23"/>
      <c r="N251" s="23"/>
      <c r="O251" s="56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ht="15.75" customHeight="1" x14ac:dyDescent="0.15">
      <c r="A252" s="56"/>
      <c r="B252" s="56"/>
      <c r="C252" s="23"/>
      <c r="D252" s="23"/>
      <c r="E252" s="23"/>
      <c r="F252" s="23"/>
      <c r="G252" s="23"/>
      <c r="H252" s="23"/>
      <c r="I252" s="23"/>
      <c r="J252" s="23"/>
      <c r="K252" s="56"/>
      <c r="L252" s="56"/>
      <c r="M252" s="23"/>
      <c r="N252" s="23"/>
      <c r="O252" s="56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ht="15.75" customHeight="1" x14ac:dyDescent="0.15">
      <c r="A253" s="56"/>
      <c r="B253" s="56"/>
      <c r="C253" s="23"/>
      <c r="D253" s="23"/>
      <c r="E253" s="23"/>
      <c r="F253" s="23"/>
      <c r="G253" s="23"/>
      <c r="H253" s="23"/>
      <c r="I253" s="23"/>
      <c r="J253" s="23"/>
      <c r="K253" s="56"/>
      <c r="L253" s="56"/>
      <c r="M253" s="23"/>
      <c r="N253" s="23"/>
      <c r="O253" s="56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ht="15.75" customHeight="1" x14ac:dyDescent="0.15">
      <c r="A254" s="56"/>
      <c r="B254" s="56"/>
      <c r="C254" s="23"/>
      <c r="D254" s="23"/>
      <c r="E254" s="23"/>
      <c r="F254" s="23"/>
      <c r="G254" s="23"/>
      <c r="H254" s="23"/>
      <c r="I254" s="23"/>
      <c r="J254" s="23"/>
      <c r="K254" s="56"/>
      <c r="L254" s="56"/>
      <c r="M254" s="23"/>
      <c r="N254" s="23"/>
      <c r="O254" s="56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ht="15.75" customHeight="1" x14ac:dyDescent="0.15">
      <c r="A255" s="56"/>
      <c r="B255" s="56"/>
      <c r="C255" s="23"/>
      <c r="D255" s="23"/>
      <c r="E255" s="23"/>
      <c r="F255" s="23"/>
      <c r="G255" s="23"/>
      <c r="H255" s="23"/>
      <c r="I255" s="23"/>
      <c r="J255" s="23"/>
      <c r="K255" s="56"/>
      <c r="L255" s="56"/>
      <c r="M255" s="23"/>
      <c r="N255" s="23"/>
      <c r="O255" s="56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ht="15.75" customHeight="1" x14ac:dyDescent="0.15">
      <c r="A256" s="56"/>
      <c r="B256" s="56"/>
      <c r="C256" s="23"/>
      <c r="D256" s="23"/>
      <c r="E256" s="23"/>
      <c r="F256" s="23"/>
      <c r="G256" s="23"/>
      <c r="H256" s="23"/>
      <c r="I256" s="23"/>
      <c r="J256" s="23"/>
      <c r="K256" s="56"/>
      <c r="L256" s="56"/>
      <c r="M256" s="23"/>
      <c r="N256" s="23"/>
      <c r="O256" s="56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ht="15.75" customHeight="1" x14ac:dyDescent="0.15">
      <c r="A257" s="56"/>
      <c r="B257" s="56"/>
      <c r="C257" s="23"/>
      <c r="D257" s="23"/>
      <c r="E257" s="23"/>
      <c r="F257" s="23"/>
      <c r="G257" s="23"/>
      <c r="H257" s="23"/>
      <c r="I257" s="23"/>
      <c r="J257" s="23"/>
      <c r="K257" s="56"/>
      <c r="L257" s="56"/>
      <c r="M257" s="23"/>
      <c r="N257" s="23"/>
      <c r="O257" s="56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ht="15.75" customHeight="1" x14ac:dyDescent="0.15">
      <c r="A258" s="56"/>
      <c r="B258" s="56"/>
      <c r="C258" s="23"/>
      <c r="D258" s="23"/>
      <c r="E258" s="23"/>
      <c r="F258" s="23"/>
      <c r="G258" s="23"/>
      <c r="H258" s="23"/>
      <c r="I258" s="23"/>
      <c r="J258" s="23"/>
      <c r="K258" s="56"/>
      <c r="L258" s="56"/>
      <c r="M258" s="23"/>
      <c r="N258" s="23"/>
      <c r="O258" s="56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ht="15.75" customHeight="1" x14ac:dyDescent="0.15">
      <c r="A259" s="56"/>
      <c r="B259" s="56"/>
      <c r="C259" s="23"/>
      <c r="D259" s="23"/>
      <c r="E259" s="23"/>
      <c r="F259" s="23"/>
      <c r="G259" s="23"/>
      <c r="H259" s="23"/>
      <c r="I259" s="23"/>
      <c r="J259" s="23"/>
      <c r="K259" s="56"/>
      <c r="L259" s="56"/>
      <c r="M259" s="23"/>
      <c r="N259" s="23"/>
      <c r="O259" s="56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ht="15.75" customHeight="1" x14ac:dyDescent="0.15">
      <c r="A260" s="56"/>
      <c r="B260" s="56"/>
      <c r="C260" s="23"/>
      <c r="D260" s="23"/>
      <c r="E260" s="23"/>
      <c r="F260" s="23"/>
      <c r="G260" s="23"/>
      <c r="H260" s="23"/>
      <c r="I260" s="23"/>
      <c r="J260" s="23"/>
      <c r="K260" s="56"/>
      <c r="L260" s="56"/>
      <c r="M260" s="23"/>
      <c r="N260" s="23"/>
      <c r="O260" s="56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ht="15.75" customHeight="1" x14ac:dyDescent="0.15">
      <c r="A261" s="56"/>
      <c r="B261" s="56"/>
      <c r="C261" s="23"/>
      <c r="D261" s="23"/>
      <c r="E261" s="23"/>
      <c r="F261" s="23"/>
      <c r="G261" s="23"/>
      <c r="H261" s="23"/>
      <c r="I261" s="23"/>
      <c r="J261" s="23"/>
      <c r="K261" s="56"/>
      <c r="L261" s="56"/>
      <c r="M261" s="23"/>
      <c r="N261" s="23"/>
      <c r="O261" s="56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ht="15.75" customHeight="1" x14ac:dyDescent="0.15">
      <c r="A262" s="56"/>
      <c r="B262" s="56"/>
      <c r="C262" s="23"/>
      <c r="D262" s="23"/>
      <c r="E262" s="23"/>
      <c r="F262" s="23"/>
      <c r="G262" s="23"/>
      <c r="H262" s="23"/>
      <c r="I262" s="23"/>
      <c r="J262" s="23"/>
      <c r="K262" s="56"/>
      <c r="L262" s="56"/>
      <c r="M262" s="23"/>
      <c r="N262" s="23"/>
      <c r="O262" s="56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ht="15.75" customHeight="1" x14ac:dyDescent="0.15">
      <c r="A263" s="56"/>
      <c r="B263" s="56"/>
      <c r="C263" s="23"/>
      <c r="D263" s="23"/>
      <c r="E263" s="23"/>
      <c r="F263" s="23"/>
      <c r="G263" s="23"/>
      <c r="H263" s="23"/>
      <c r="I263" s="23"/>
      <c r="J263" s="23"/>
      <c r="K263" s="56"/>
      <c r="L263" s="56"/>
      <c r="M263" s="23"/>
      <c r="N263" s="23"/>
      <c r="O263" s="56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ht="15.75" customHeight="1" x14ac:dyDescent="0.15">
      <c r="A264" s="56"/>
      <c r="B264" s="56"/>
      <c r="C264" s="23"/>
      <c r="D264" s="23"/>
      <c r="E264" s="23"/>
      <c r="F264" s="23"/>
      <c r="G264" s="23"/>
      <c r="H264" s="23"/>
      <c r="I264" s="23"/>
      <c r="J264" s="23"/>
      <c r="K264" s="56"/>
      <c r="L264" s="56"/>
      <c r="M264" s="23"/>
      <c r="N264" s="23"/>
      <c r="O264" s="56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ht="15.75" customHeight="1" x14ac:dyDescent="0.15">
      <c r="A265" s="56"/>
      <c r="B265" s="56"/>
      <c r="C265" s="23"/>
      <c r="D265" s="23"/>
      <c r="E265" s="23"/>
      <c r="F265" s="23"/>
      <c r="G265" s="23"/>
      <c r="H265" s="23"/>
      <c r="I265" s="23"/>
      <c r="J265" s="23"/>
      <c r="K265" s="56"/>
      <c r="L265" s="56"/>
      <c r="M265" s="23"/>
      <c r="N265" s="23"/>
      <c r="O265" s="56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ht="15.75" customHeight="1" x14ac:dyDescent="0.15">
      <c r="A266" s="56"/>
      <c r="B266" s="56"/>
      <c r="C266" s="23"/>
      <c r="D266" s="23"/>
      <c r="E266" s="23"/>
      <c r="F266" s="23"/>
      <c r="G266" s="23"/>
      <c r="H266" s="23"/>
      <c r="I266" s="23"/>
      <c r="J266" s="23"/>
      <c r="K266" s="56"/>
      <c r="L266" s="56"/>
      <c r="M266" s="23"/>
      <c r="N266" s="23"/>
      <c r="O266" s="56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ht="15.75" customHeight="1" x14ac:dyDescent="0.15">
      <c r="A267" s="56"/>
      <c r="B267" s="56"/>
      <c r="C267" s="23"/>
      <c r="D267" s="23"/>
      <c r="E267" s="23"/>
      <c r="F267" s="23"/>
      <c r="G267" s="23"/>
      <c r="H267" s="23"/>
      <c r="I267" s="23"/>
      <c r="J267" s="23"/>
      <c r="K267" s="56"/>
      <c r="L267" s="56"/>
      <c r="M267" s="23"/>
      <c r="N267" s="23"/>
      <c r="O267" s="56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ht="15.75" customHeight="1" x14ac:dyDescent="0.15">
      <c r="A268" s="56"/>
      <c r="B268" s="56"/>
      <c r="C268" s="23"/>
      <c r="D268" s="23"/>
      <c r="E268" s="23"/>
      <c r="F268" s="23"/>
      <c r="G268" s="23"/>
      <c r="H268" s="23"/>
      <c r="I268" s="23"/>
      <c r="J268" s="23"/>
      <c r="K268" s="56"/>
      <c r="L268" s="56"/>
      <c r="M268" s="23"/>
      <c r="N268" s="23"/>
      <c r="O268" s="56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ht="15.75" customHeight="1" x14ac:dyDescent="0.15">
      <c r="A269" s="56"/>
      <c r="B269" s="56"/>
      <c r="C269" s="23"/>
      <c r="D269" s="23"/>
      <c r="E269" s="23"/>
      <c r="F269" s="23"/>
      <c r="G269" s="23"/>
      <c r="H269" s="23"/>
      <c r="I269" s="23"/>
      <c r="J269" s="23"/>
      <c r="K269" s="56"/>
      <c r="L269" s="56"/>
      <c r="M269" s="23"/>
      <c r="N269" s="23"/>
      <c r="O269" s="56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ht="15.75" customHeight="1" x14ac:dyDescent="0.15">
      <c r="A270" s="56"/>
      <c r="B270" s="56"/>
      <c r="C270" s="23"/>
      <c r="D270" s="23"/>
      <c r="E270" s="23"/>
      <c r="F270" s="23"/>
      <c r="G270" s="23"/>
      <c r="H270" s="23"/>
      <c r="I270" s="23"/>
      <c r="J270" s="23"/>
      <c r="K270" s="56"/>
      <c r="L270" s="56"/>
      <c r="M270" s="23"/>
      <c r="N270" s="23"/>
      <c r="O270" s="56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ht="15.75" customHeight="1" x14ac:dyDescent="0.15">
      <c r="A271" s="56"/>
      <c r="B271" s="56"/>
      <c r="C271" s="23"/>
      <c r="D271" s="23"/>
      <c r="E271" s="23"/>
      <c r="F271" s="23"/>
      <c r="G271" s="23"/>
      <c r="H271" s="23"/>
      <c r="I271" s="23"/>
      <c r="J271" s="23"/>
      <c r="K271" s="56"/>
      <c r="L271" s="56"/>
      <c r="M271" s="23"/>
      <c r="N271" s="23"/>
      <c r="O271" s="56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ht="15.75" customHeight="1" x14ac:dyDescent="0.15">
      <c r="A272" s="56"/>
      <c r="B272" s="56"/>
      <c r="C272" s="23"/>
      <c r="D272" s="23"/>
      <c r="E272" s="23"/>
      <c r="F272" s="23"/>
      <c r="G272" s="23"/>
      <c r="H272" s="23"/>
      <c r="I272" s="23"/>
      <c r="J272" s="23"/>
      <c r="K272" s="56"/>
      <c r="L272" s="56"/>
      <c r="M272" s="23"/>
      <c r="N272" s="23"/>
      <c r="O272" s="56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ht="15.75" customHeight="1" x14ac:dyDescent="0.15">
      <c r="A273" s="56"/>
      <c r="B273" s="56"/>
      <c r="C273" s="23"/>
      <c r="D273" s="23"/>
      <c r="E273" s="23"/>
      <c r="F273" s="23"/>
      <c r="G273" s="23"/>
      <c r="H273" s="23"/>
      <c r="I273" s="23"/>
      <c r="J273" s="23"/>
      <c r="K273" s="56"/>
      <c r="L273" s="56"/>
      <c r="M273" s="23"/>
      <c r="N273" s="23"/>
      <c r="O273" s="56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ht="15.75" customHeight="1" x14ac:dyDescent="0.15">
      <c r="A274" s="56"/>
      <c r="B274" s="56"/>
      <c r="C274" s="23"/>
      <c r="D274" s="23"/>
      <c r="E274" s="23"/>
      <c r="F274" s="23"/>
      <c r="G274" s="23"/>
      <c r="H274" s="23"/>
      <c r="I274" s="23"/>
      <c r="J274" s="23"/>
      <c r="K274" s="56"/>
      <c r="L274" s="56"/>
      <c r="M274" s="23"/>
      <c r="N274" s="23"/>
      <c r="O274" s="56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ht="15.75" customHeight="1" x14ac:dyDescent="0.15">
      <c r="A275" s="56"/>
      <c r="B275" s="56"/>
      <c r="C275" s="23"/>
      <c r="D275" s="23"/>
      <c r="E275" s="23"/>
      <c r="F275" s="23"/>
      <c r="G275" s="23"/>
      <c r="H275" s="23"/>
      <c r="I275" s="23"/>
      <c r="J275" s="23"/>
      <c r="K275" s="56"/>
      <c r="L275" s="56"/>
      <c r="M275" s="23"/>
      <c r="N275" s="23"/>
      <c r="O275" s="56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ht="15.75" customHeight="1" x14ac:dyDescent="0.15">
      <c r="A276" s="56"/>
      <c r="B276" s="56"/>
      <c r="C276" s="23"/>
      <c r="D276" s="23"/>
      <c r="E276" s="23"/>
      <c r="F276" s="23"/>
      <c r="G276" s="23"/>
      <c r="H276" s="23"/>
      <c r="I276" s="23"/>
      <c r="J276" s="23"/>
      <c r="K276" s="56"/>
      <c r="L276" s="56"/>
      <c r="M276" s="23"/>
      <c r="N276" s="23"/>
      <c r="O276" s="56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ht="15.75" customHeight="1" x14ac:dyDescent="0.15">
      <c r="A277" s="56"/>
      <c r="B277" s="56"/>
      <c r="C277" s="23"/>
      <c r="D277" s="23"/>
      <c r="E277" s="23"/>
      <c r="F277" s="23"/>
      <c r="G277" s="23"/>
      <c r="H277" s="23"/>
      <c r="I277" s="23"/>
      <c r="J277" s="23"/>
      <c r="K277" s="56"/>
      <c r="L277" s="56"/>
      <c r="M277" s="23"/>
      <c r="N277" s="23"/>
      <c r="O277" s="56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ht="15.75" customHeight="1" x14ac:dyDescent="0.15">
      <c r="A278" s="56"/>
      <c r="B278" s="56"/>
      <c r="C278" s="23"/>
      <c r="D278" s="23"/>
      <c r="E278" s="23"/>
      <c r="F278" s="23"/>
      <c r="G278" s="23"/>
      <c r="H278" s="23"/>
      <c r="I278" s="23"/>
      <c r="J278" s="23"/>
      <c r="K278" s="56"/>
      <c r="L278" s="56"/>
      <c r="M278" s="23"/>
      <c r="N278" s="23"/>
      <c r="O278" s="56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ht="15.75" customHeight="1" x14ac:dyDescent="0.15">
      <c r="A279" s="56"/>
      <c r="B279" s="56"/>
      <c r="C279" s="23"/>
      <c r="D279" s="23"/>
      <c r="E279" s="23"/>
      <c r="F279" s="23"/>
      <c r="G279" s="23"/>
      <c r="H279" s="23"/>
      <c r="I279" s="23"/>
      <c r="J279" s="23"/>
      <c r="K279" s="56"/>
      <c r="L279" s="56"/>
      <c r="M279" s="23"/>
      <c r="N279" s="23"/>
      <c r="O279" s="56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ht="15.75" customHeight="1" x14ac:dyDescent="0.15">
      <c r="A280" s="56"/>
      <c r="B280" s="56"/>
      <c r="C280" s="23"/>
      <c r="D280" s="23"/>
      <c r="E280" s="23"/>
      <c r="F280" s="23"/>
      <c r="G280" s="23"/>
      <c r="H280" s="23"/>
      <c r="I280" s="23"/>
      <c r="J280" s="23"/>
      <c r="K280" s="56"/>
      <c r="L280" s="56"/>
      <c r="M280" s="23"/>
      <c r="N280" s="23"/>
      <c r="O280" s="56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ht="15.75" customHeight="1" x14ac:dyDescent="0.15">
      <c r="A281" s="56"/>
      <c r="B281" s="56"/>
      <c r="C281" s="23"/>
      <c r="D281" s="23"/>
      <c r="E281" s="23"/>
      <c r="F281" s="23"/>
      <c r="G281" s="23"/>
      <c r="H281" s="23"/>
      <c r="I281" s="23"/>
      <c r="J281" s="23"/>
      <c r="K281" s="56"/>
      <c r="L281" s="56"/>
      <c r="M281" s="23"/>
      <c r="N281" s="23"/>
      <c r="O281" s="56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ht="15.75" customHeight="1" x14ac:dyDescent="0.15">
      <c r="A282" s="56"/>
      <c r="B282" s="56"/>
      <c r="C282" s="23"/>
      <c r="D282" s="23"/>
      <c r="E282" s="23"/>
      <c r="F282" s="23"/>
      <c r="G282" s="23"/>
      <c r="H282" s="23"/>
      <c r="I282" s="23"/>
      <c r="J282" s="23"/>
      <c r="K282" s="56"/>
      <c r="L282" s="56"/>
      <c r="M282" s="23"/>
      <c r="N282" s="23"/>
      <c r="O282" s="56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ht="15.75" customHeight="1" x14ac:dyDescent="0.15">
      <c r="A283" s="56"/>
      <c r="B283" s="56"/>
      <c r="C283" s="23"/>
      <c r="D283" s="23"/>
      <c r="E283" s="23"/>
      <c r="F283" s="23"/>
      <c r="G283" s="23"/>
      <c r="H283" s="23"/>
      <c r="I283" s="23"/>
      <c r="J283" s="23"/>
      <c r="K283" s="56"/>
      <c r="L283" s="56"/>
      <c r="M283" s="23"/>
      <c r="N283" s="23"/>
      <c r="O283" s="56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ht="15.75" customHeight="1" x14ac:dyDescent="0.15">
      <c r="A284" s="56"/>
      <c r="B284" s="56"/>
      <c r="C284" s="23"/>
      <c r="D284" s="23"/>
      <c r="E284" s="23"/>
      <c r="F284" s="23"/>
      <c r="G284" s="23"/>
      <c r="H284" s="23"/>
      <c r="I284" s="23"/>
      <c r="J284" s="23"/>
      <c r="K284" s="56"/>
      <c r="L284" s="56"/>
      <c r="M284" s="23"/>
      <c r="N284" s="23"/>
      <c r="O284" s="56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ht="15.75" customHeight="1" x14ac:dyDescent="0.15">
      <c r="A285" s="56"/>
      <c r="B285" s="56"/>
      <c r="C285" s="23"/>
      <c r="D285" s="23"/>
      <c r="E285" s="23"/>
      <c r="F285" s="23"/>
      <c r="G285" s="23"/>
      <c r="H285" s="23"/>
      <c r="I285" s="23"/>
      <c r="J285" s="23"/>
      <c r="K285" s="56"/>
      <c r="L285" s="56"/>
      <c r="M285" s="23"/>
      <c r="N285" s="23"/>
      <c r="O285" s="56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ht="15.75" customHeight="1" x14ac:dyDescent="0.15">
      <c r="A286" s="56"/>
      <c r="B286" s="56"/>
      <c r="C286" s="23"/>
      <c r="D286" s="23"/>
      <c r="E286" s="23"/>
      <c r="F286" s="23"/>
      <c r="G286" s="23"/>
      <c r="H286" s="23"/>
      <c r="I286" s="23"/>
      <c r="J286" s="23"/>
      <c r="K286" s="56"/>
      <c r="L286" s="56"/>
      <c r="M286" s="23"/>
      <c r="N286" s="23"/>
      <c r="O286" s="56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ht="15.75" customHeight="1" x14ac:dyDescent="0.15">
      <c r="A287" s="56"/>
      <c r="B287" s="56"/>
      <c r="C287" s="23"/>
      <c r="D287" s="23"/>
      <c r="E287" s="23"/>
      <c r="F287" s="23"/>
      <c r="G287" s="23"/>
      <c r="H287" s="23"/>
      <c r="I287" s="23"/>
      <c r="J287" s="23"/>
      <c r="K287" s="56"/>
      <c r="L287" s="56"/>
      <c r="M287" s="23"/>
      <c r="N287" s="23"/>
      <c r="O287" s="56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ht="15.75" customHeight="1" x14ac:dyDescent="0.15">
      <c r="A288" s="56"/>
      <c r="B288" s="56"/>
      <c r="C288" s="23"/>
      <c r="D288" s="23"/>
      <c r="E288" s="23"/>
      <c r="F288" s="23"/>
      <c r="G288" s="23"/>
      <c r="H288" s="23"/>
      <c r="I288" s="23"/>
      <c r="J288" s="23"/>
      <c r="K288" s="56"/>
      <c r="L288" s="56"/>
      <c r="M288" s="23"/>
      <c r="N288" s="23"/>
      <c r="O288" s="56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ht="15.75" customHeight="1" x14ac:dyDescent="0.15">
      <c r="A289" s="56"/>
      <c r="B289" s="56"/>
      <c r="C289" s="23"/>
      <c r="D289" s="23"/>
      <c r="E289" s="23"/>
      <c r="F289" s="23"/>
      <c r="G289" s="23"/>
      <c r="H289" s="23"/>
      <c r="I289" s="23"/>
      <c r="J289" s="23"/>
      <c r="K289" s="56"/>
      <c r="L289" s="56"/>
      <c r="M289" s="23"/>
      <c r="N289" s="23"/>
      <c r="O289" s="56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ht="15.75" customHeight="1" x14ac:dyDescent="0.15">
      <c r="A290" s="56"/>
      <c r="B290" s="56"/>
      <c r="C290" s="23"/>
      <c r="D290" s="23"/>
      <c r="E290" s="23"/>
      <c r="F290" s="23"/>
      <c r="G290" s="23"/>
      <c r="H290" s="23"/>
      <c r="I290" s="23"/>
      <c r="J290" s="23"/>
      <c r="K290" s="56"/>
      <c r="L290" s="56"/>
      <c r="M290" s="23"/>
      <c r="N290" s="23"/>
      <c r="O290" s="56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ht="15.75" customHeight="1" x14ac:dyDescent="0.15">
      <c r="A291" s="56"/>
      <c r="B291" s="56"/>
      <c r="C291" s="23"/>
      <c r="D291" s="23"/>
      <c r="E291" s="23"/>
      <c r="F291" s="23"/>
      <c r="G291" s="23"/>
      <c r="H291" s="23"/>
      <c r="I291" s="23"/>
      <c r="J291" s="23"/>
      <c r="K291" s="56"/>
      <c r="L291" s="56"/>
      <c r="M291" s="23"/>
      <c r="N291" s="23"/>
      <c r="O291" s="56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ht="15.75" customHeight="1" x14ac:dyDescent="0.15">
      <c r="A292" s="56"/>
      <c r="B292" s="56"/>
      <c r="C292" s="23"/>
      <c r="D292" s="23"/>
      <c r="E292" s="23"/>
      <c r="F292" s="23"/>
      <c r="G292" s="23"/>
      <c r="H292" s="23"/>
      <c r="I292" s="23"/>
      <c r="J292" s="23"/>
      <c r="K292" s="56"/>
      <c r="L292" s="56"/>
      <c r="M292" s="23"/>
      <c r="N292" s="23"/>
      <c r="O292" s="56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ht="13" x14ac:dyDescent="0.15">
      <c r="A293" s="56"/>
      <c r="B293" s="56"/>
      <c r="K293" s="56"/>
      <c r="L293" s="56"/>
      <c r="O293" s="56"/>
    </row>
    <row r="294" spans="1:27" ht="13" x14ac:dyDescent="0.15">
      <c r="A294" s="56"/>
      <c r="B294" s="56"/>
      <c r="K294" s="56"/>
      <c r="L294" s="56"/>
      <c r="O294" s="56"/>
    </row>
    <row r="295" spans="1:27" ht="13" x14ac:dyDescent="0.15">
      <c r="A295" s="56"/>
      <c r="B295" s="56"/>
      <c r="K295" s="56"/>
      <c r="L295" s="56"/>
      <c r="O295" s="56"/>
    </row>
    <row r="296" spans="1:27" ht="13" x14ac:dyDescent="0.15">
      <c r="A296" s="56"/>
      <c r="B296" s="56"/>
      <c r="K296" s="56"/>
      <c r="L296" s="56"/>
      <c r="O296" s="56"/>
    </row>
    <row r="297" spans="1:27" ht="13" x14ac:dyDescent="0.15">
      <c r="A297" s="56"/>
      <c r="B297" s="56"/>
      <c r="K297" s="56"/>
      <c r="L297" s="56"/>
      <c r="O297" s="56"/>
    </row>
    <row r="298" spans="1:27" ht="13" x14ac:dyDescent="0.15">
      <c r="A298" s="56"/>
      <c r="B298" s="56"/>
      <c r="K298" s="56"/>
      <c r="L298" s="56"/>
      <c r="O298" s="56"/>
    </row>
    <row r="299" spans="1:27" ht="13" x14ac:dyDescent="0.15">
      <c r="A299" s="56"/>
      <c r="B299" s="56"/>
      <c r="K299" s="56"/>
      <c r="L299" s="56"/>
      <c r="O299" s="56"/>
    </row>
    <row r="300" spans="1:27" ht="13" x14ac:dyDescent="0.15">
      <c r="A300" s="56"/>
      <c r="B300" s="56"/>
      <c r="K300" s="56"/>
      <c r="L300" s="56"/>
      <c r="O300" s="56"/>
    </row>
    <row r="301" spans="1:27" ht="13" x14ac:dyDescent="0.15">
      <c r="A301" s="56"/>
      <c r="B301" s="56"/>
      <c r="K301" s="56"/>
      <c r="L301" s="56"/>
      <c r="O301" s="56"/>
    </row>
    <row r="302" spans="1:27" ht="13" x14ac:dyDescent="0.15">
      <c r="A302" s="56"/>
      <c r="B302" s="56"/>
      <c r="K302" s="56"/>
      <c r="L302" s="56"/>
      <c r="O302" s="56"/>
    </row>
    <row r="303" spans="1:27" ht="13" x14ac:dyDescent="0.15">
      <c r="A303" s="56"/>
      <c r="B303" s="56"/>
      <c r="K303" s="56"/>
      <c r="L303" s="56"/>
      <c r="O303" s="56"/>
    </row>
    <row r="304" spans="1:27" ht="13" x14ac:dyDescent="0.15">
      <c r="A304" s="56"/>
      <c r="B304" s="56"/>
      <c r="K304" s="56"/>
      <c r="L304" s="56"/>
      <c r="O304" s="56"/>
    </row>
    <row r="305" spans="1:15" ht="13" x14ac:dyDescent="0.15">
      <c r="A305" s="56"/>
      <c r="B305" s="56"/>
      <c r="K305" s="56"/>
      <c r="L305" s="56"/>
      <c r="O305" s="56"/>
    </row>
    <row r="306" spans="1:15" ht="13" x14ac:dyDescent="0.15">
      <c r="A306" s="56"/>
      <c r="B306" s="56"/>
      <c r="K306" s="56"/>
      <c r="L306" s="56"/>
      <c r="O306" s="56"/>
    </row>
    <row r="307" spans="1:15" ht="13" x14ac:dyDescent="0.15">
      <c r="A307" s="56"/>
      <c r="B307" s="56"/>
      <c r="K307" s="56"/>
      <c r="L307" s="56"/>
      <c r="O307" s="56"/>
    </row>
    <row r="308" spans="1:15" ht="13" x14ac:dyDescent="0.15">
      <c r="A308" s="56"/>
      <c r="B308" s="56"/>
      <c r="K308" s="56"/>
      <c r="L308" s="56"/>
      <c r="O308" s="56"/>
    </row>
    <row r="309" spans="1:15" ht="13" x14ac:dyDescent="0.15">
      <c r="A309" s="56"/>
      <c r="B309" s="56"/>
      <c r="K309" s="56"/>
      <c r="L309" s="56"/>
      <c r="O309" s="56"/>
    </row>
    <row r="310" spans="1:15" ht="13" x14ac:dyDescent="0.15">
      <c r="A310" s="56"/>
      <c r="B310" s="56"/>
      <c r="K310" s="56"/>
      <c r="L310" s="56"/>
      <c r="O310" s="56"/>
    </row>
    <row r="311" spans="1:15" ht="13" x14ac:dyDescent="0.15">
      <c r="A311" s="56"/>
      <c r="B311" s="56"/>
      <c r="K311" s="56"/>
      <c r="L311" s="56"/>
      <c r="O311" s="56"/>
    </row>
    <row r="312" spans="1:15" ht="13" x14ac:dyDescent="0.15">
      <c r="A312" s="56"/>
      <c r="B312" s="56"/>
      <c r="K312" s="56"/>
      <c r="L312" s="56"/>
      <c r="O312" s="56"/>
    </row>
    <row r="313" spans="1:15" ht="13" x14ac:dyDescent="0.15">
      <c r="A313" s="56"/>
      <c r="B313" s="56"/>
      <c r="K313" s="56"/>
      <c r="L313" s="56"/>
      <c r="O313" s="56"/>
    </row>
    <row r="314" spans="1:15" ht="13" x14ac:dyDescent="0.15">
      <c r="A314" s="56"/>
      <c r="B314" s="56"/>
      <c r="K314" s="56"/>
      <c r="L314" s="56"/>
      <c r="O314" s="56"/>
    </row>
    <row r="315" spans="1:15" ht="13" x14ac:dyDescent="0.15">
      <c r="A315" s="56"/>
      <c r="B315" s="56"/>
      <c r="K315" s="56"/>
      <c r="L315" s="56"/>
      <c r="O315" s="56"/>
    </row>
    <row r="316" spans="1:15" ht="13" x14ac:dyDescent="0.15">
      <c r="A316" s="56"/>
      <c r="B316" s="56"/>
      <c r="K316" s="56"/>
      <c r="L316" s="56"/>
      <c r="O316" s="56"/>
    </row>
    <row r="317" spans="1:15" ht="13" x14ac:dyDescent="0.15">
      <c r="A317" s="56"/>
      <c r="B317" s="56"/>
      <c r="K317" s="56"/>
      <c r="L317" s="56"/>
      <c r="O317" s="56"/>
    </row>
    <row r="318" spans="1:15" ht="13" x14ac:dyDescent="0.15">
      <c r="A318" s="56"/>
      <c r="B318" s="56"/>
      <c r="K318" s="56"/>
      <c r="L318" s="56"/>
      <c r="O318" s="56"/>
    </row>
    <row r="319" spans="1:15" ht="13" x14ac:dyDescent="0.15">
      <c r="A319" s="56"/>
      <c r="B319" s="56"/>
      <c r="K319" s="56"/>
      <c r="L319" s="56"/>
      <c r="O319" s="56"/>
    </row>
    <row r="320" spans="1:15" ht="13" x14ac:dyDescent="0.15">
      <c r="A320" s="56"/>
      <c r="B320" s="56"/>
      <c r="K320" s="56"/>
      <c r="L320" s="56"/>
      <c r="O320" s="56"/>
    </row>
    <row r="321" spans="1:15" ht="13" x14ac:dyDescent="0.15">
      <c r="A321" s="56"/>
      <c r="B321" s="56"/>
      <c r="K321" s="56"/>
      <c r="L321" s="56"/>
      <c r="O321" s="56"/>
    </row>
    <row r="322" spans="1:15" ht="13" x14ac:dyDescent="0.15">
      <c r="A322" s="56"/>
      <c r="B322" s="56"/>
      <c r="K322" s="56"/>
      <c r="L322" s="56"/>
      <c r="O322" s="56"/>
    </row>
    <row r="323" spans="1:15" ht="13" x14ac:dyDescent="0.15">
      <c r="A323" s="56"/>
      <c r="B323" s="56"/>
      <c r="K323" s="56"/>
      <c r="L323" s="56"/>
      <c r="O323" s="56"/>
    </row>
    <row r="324" spans="1:15" ht="13" x14ac:dyDescent="0.15">
      <c r="A324" s="56"/>
      <c r="B324" s="56"/>
      <c r="K324" s="56"/>
      <c r="L324" s="56"/>
      <c r="O324" s="56"/>
    </row>
    <row r="325" spans="1:15" ht="13" x14ac:dyDescent="0.15">
      <c r="A325" s="56"/>
      <c r="B325" s="56"/>
      <c r="K325" s="56"/>
      <c r="L325" s="56"/>
      <c r="O325" s="56"/>
    </row>
    <row r="326" spans="1:15" ht="13" x14ac:dyDescent="0.15">
      <c r="A326" s="56"/>
      <c r="B326" s="56"/>
      <c r="K326" s="56"/>
      <c r="L326" s="56"/>
      <c r="O326" s="56"/>
    </row>
    <row r="327" spans="1:15" ht="13" x14ac:dyDescent="0.15">
      <c r="A327" s="56"/>
      <c r="B327" s="56"/>
      <c r="K327" s="56"/>
      <c r="L327" s="56"/>
      <c r="O327" s="56"/>
    </row>
    <row r="328" spans="1:15" ht="13" x14ac:dyDescent="0.15">
      <c r="A328" s="56"/>
      <c r="B328" s="56"/>
      <c r="K328" s="56"/>
      <c r="L328" s="56"/>
      <c r="O328" s="56"/>
    </row>
    <row r="329" spans="1:15" ht="13" x14ac:dyDescent="0.15">
      <c r="A329" s="56"/>
      <c r="B329" s="56"/>
      <c r="K329" s="56"/>
      <c r="L329" s="56"/>
      <c r="O329" s="56"/>
    </row>
    <row r="330" spans="1:15" ht="13" x14ac:dyDescent="0.15">
      <c r="A330" s="56"/>
      <c r="B330" s="56"/>
      <c r="K330" s="56"/>
      <c r="L330" s="56"/>
      <c r="O330" s="56"/>
    </row>
    <row r="331" spans="1:15" ht="13" x14ac:dyDescent="0.15">
      <c r="A331" s="56"/>
      <c r="B331" s="56"/>
      <c r="K331" s="56"/>
      <c r="L331" s="56"/>
      <c r="O331" s="56"/>
    </row>
    <row r="332" spans="1:15" ht="13" x14ac:dyDescent="0.15">
      <c r="A332" s="56"/>
      <c r="B332" s="56"/>
      <c r="K332" s="56"/>
      <c r="L332" s="56"/>
      <c r="O332" s="56"/>
    </row>
    <row r="333" spans="1:15" ht="13" x14ac:dyDescent="0.15">
      <c r="A333" s="56"/>
      <c r="B333" s="56"/>
      <c r="K333" s="56"/>
      <c r="L333" s="56"/>
      <c r="O333" s="56"/>
    </row>
    <row r="334" spans="1:15" ht="13" x14ac:dyDescent="0.15">
      <c r="A334" s="56"/>
      <c r="B334" s="56"/>
      <c r="K334" s="56"/>
      <c r="L334" s="56"/>
      <c r="O334" s="56"/>
    </row>
    <row r="335" spans="1:15" ht="13" x14ac:dyDescent="0.15">
      <c r="A335" s="56"/>
      <c r="B335" s="56"/>
      <c r="K335" s="56"/>
      <c r="L335" s="56"/>
      <c r="O335" s="56"/>
    </row>
    <row r="336" spans="1:15" ht="13" x14ac:dyDescent="0.15">
      <c r="A336" s="56"/>
      <c r="B336" s="56"/>
      <c r="K336" s="56"/>
      <c r="L336" s="56"/>
      <c r="O336" s="56"/>
    </row>
    <row r="337" spans="1:15" ht="13" x14ac:dyDescent="0.15">
      <c r="A337" s="56"/>
      <c r="B337" s="56"/>
      <c r="K337" s="56"/>
      <c r="L337" s="56"/>
      <c r="O337" s="56"/>
    </row>
    <row r="338" spans="1:15" ht="13" x14ac:dyDescent="0.15">
      <c r="A338" s="56"/>
      <c r="B338" s="56"/>
      <c r="K338" s="56"/>
      <c r="L338" s="56"/>
      <c r="O338" s="56"/>
    </row>
    <row r="339" spans="1:15" ht="13" x14ac:dyDescent="0.15">
      <c r="A339" s="56"/>
      <c r="B339" s="56"/>
      <c r="K339" s="56"/>
      <c r="L339" s="56"/>
      <c r="O339" s="56"/>
    </row>
    <row r="340" spans="1:15" ht="13" x14ac:dyDescent="0.15">
      <c r="A340" s="56"/>
      <c r="B340" s="56"/>
      <c r="K340" s="56"/>
      <c r="L340" s="56"/>
      <c r="O340" s="56"/>
    </row>
    <row r="341" spans="1:15" ht="13" x14ac:dyDescent="0.15">
      <c r="A341" s="56"/>
      <c r="B341" s="56"/>
      <c r="K341" s="56"/>
      <c r="L341" s="56"/>
      <c r="O341" s="56"/>
    </row>
    <row r="342" spans="1:15" ht="13" x14ac:dyDescent="0.15">
      <c r="A342" s="56"/>
      <c r="B342" s="56"/>
      <c r="K342" s="56"/>
      <c r="L342" s="56"/>
      <c r="O342" s="56"/>
    </row>
    <row r="343" spans="1:15" ht="13" x14ac:dyDescent="0.15">
      <c r="A343" s="56"/>
      <c r="B343" s="56"/>
      <c r="K343" s="56"/>
      <c r="L343" s="56"/>
      <c r="O343" s="56"/>
    </row>
    <row r="344" spans="1:15" ht="13" x14ac:dyDescent="0.15">
      <c r="A344" s="56"/>
      <c r="B344" s="56"/>
      <c r="K344" s="56"/>
      <c r="L344" s="56"/>
      <c r="O344" s="56"/>
    </row>
    <row r="345" spans="1:15" ht="13" x14ac:dyDescent="0.15">
      <c r="A345" s="56"/>
      <c r="B345" s="56"/>
      <c r="K345" s="56"/>
      <c r="L345" s="56"/>
      <c r="O345" s="56"/>
    </row>
    <row r="346" spans="1:15" ht="13" x14ac:dyDescent="0.15">
      <c r="A346" s="56"/>
      <c r="B346" s="56"/>
      <c r="K346" s="56"/>
      <c r="L346" s="56"/>
      <c r="O346" s="56"/>
    </row>
    <row r="347" spans="1:15" ht="13" x14ac:dyDescent="0.15">
      <c r="A347" s="56"/>
      <c r="B347" s="56"/>
      <c r="K347" s="56"/>
      <c r="L347" s="56"/>
      <c r="O347" s="56"/>
    </row>
    <row r="348" spans="1:15" ht="13" x14ac:dyDescent="0.15">
      <c r="A348" s="56"/>
      <c r="B348" s="56"/>
      <c r="K348" s="56"/>
      <c r="L348" s="56"/>
      <c r="O348" s="56"/>
    </row>
    <row r="349" spans="1:15" ht="13" x14ac:dyDescent="0.15">
      <c r="A349" s="56"/>
      <c r="B349" s="56"/>
      <c r="K349" s="56"/>
      <c r="L349" s="56"/>
      <c r="O349" s="56"/>
    </row>
    <row r="350" spans="1:15" ht="13" x14ac:dyDescent="0.15">
      <c r="A350" s="56"/>
      <c r="B350" s="56"/>
      <c r="K350" s="56"/>
      <c r="L350" s="56"/>
      <c r="O350" s="56"/>
    </row>
    <row r="351" spans="1:15" ht="13" x14ac:dyDescent="0.15">
      <c r="A351" s="56"/>
      <c r="B351" s="56"/>
      <c r="K351" s="56"/>
      <c r="L351" s="56"/>
      <c r="O351" s="56"/>
    </row>
    <row r="352" spans="1:15" ht="13" x14ac:dyDescent="0.15">
      <c r="A352" s="56"/>
      <c r="B352" s="56"/>
      <c r="K352" s="56"/>
      <c r="L352" s="56"/>
      <c r="O352" s="56"/>
    </row>
    <row r="353" spans="1:15" ht="13" x14ac:dyDescent="0.15">
      <c r="A353" s="56"/>
      <c r="B353" s="56"/>
      <c r="K353" s="56"/>
      <c r="L353" s="56"/>
      <c r="O353" s="56"/>
    </row>
    <row r="354" spans="1:15" ht="13" x14ac:dyDescent="0.15">
      <c r="A354" s="56"/>
      <c r="B354" s="56"/>
      <c r="K354" s="56"/>
      <c r="L354" s="56"/>
      <c r="O354" s="56"/>
    </row>
    <row r="355" spans="1:15" ht="13" x14ac:dyDescent="0.15">
      <c r="A355" s="56"/>
      <c r="B355" s="56"/>
      <c r="K355" s="56"/>
      <c r="L355" s="56"/>
      <c r="O355" s="56"/>
    </row>
    <row r="356" spans="1:15" ht="13" x14ac:dyDescent="0.15">
      <c r="A356" s="56"/>
      <c r="B356" s="56"/>
      <c r="K356" s="56"/>
      <c r="L356" s="56"/>
      <c r="O356" s="56"/>
    </row>
    <row r="357" spans="1:15" ht="13" x14ac:dyDescent="0.15">
      <c r="A357" s="56"/>
      <c r="B357" s="56"/>
      <c r="K357" s="56"/>
      <c r="L357" s="56"/>
      <c r="O357" s="56"/>
    </row>
    <row r="358" spans="1:15" ht="13" x14ac:dyDescent="0.15">
      <c r="A358" s="56"/>
      <c r="B358" s="56"/>
      <c r="K358" s="56"/>
      <c r="L358" s="56"/>
      <c r="O358" s="56"/>
    </row>
    <row r="359" spans="1:15" ht="13" x14ac:dyDescent="0.15">
      <c r="A359" s="56"/>
      <c r="B359" s="56"/>
      <c r="K359" s="56"/>
      <c r="L359" s="56"/>
      <c r="O359" s="56"/>
    </row>
    <row r="360" spans="1:15" ht="13" x14ac:dyDescent="0.15">
      <c r="A360" s="56"/>
      <c r="B360" s="56"/>
      <c r="K360" s="56"/>
      <c r="L360" s="56"/>
      <c r="O360" s="56"/>
    </row>
    <row r="361" spans="1:15" ht="13" x14ac:dyDescent="0.15">
      <c r="A361" s="56"/>
      <c r="B361" s="56"/>
      <c r="K361" s="56"/>
      <c r="L361" s="56"/>
      <c r="O361" s="56"/>
    </row>
    <row r="362" spans="1:15" ht="13" x14ac:dyDescent="0.15">
      <c r="A362" s="56"/>
      <c r="B362" s="56"/>
      <c r="K362" s="56"/>
      <c r="L362" s="56"/>
      <c r="O362" s="56"/>
    </row>
    <row r="363" spans="1:15" ht="13" x14ac:dyDescent="0.15">
      <c r="A363" s="56"/>
      <c r="B363" s="56"/>
      <c r="K363" s="56"/>
      <c r="L363" s="56"/>
      <c r="O363" s="56"/>
    </row>
    <row r="364" spans="1:15" ht="13" x14ac:dyDescent="0.15">
      <c r="A364" s="56"/>
      <c r="B364" s="56"/>
      <c r="K364" s="56"/>
      <c r="L364" s="56"/>
      <c r="O364" s="56"/>
    </row>
    <row r="365" spans="1:15" ht="13" x14ac:dyDescent="0.15">
      <c r="A365" s="56"/>
      <c r="B365" s="56"/>
      <c r="K365" s="56"/>
      <c r="L365" s="56"/>
      <c r="O365" s="56"/>
    </row>
    <row r="366" spans="1:15" ht="13" x14ac:dyDescent="0.15">
      <c r="A366" s="56"/>
      <c r="B366" s="56"/>
      <c r="K366" s="56"/>
      <c r="L366" s="56"/>
      <c r="O366" s="56"/>
    </row>
    <row r="367" spans="1:15" ht="13" x14ac:dyDescent="0.15">
      <c r="A367" s="56"/>
      <c r="B367" s="56"/>
      <c r="K367" s="56"/>
      <c r="L367" s="56"/>
      <c r="O367" s="56"/>
    </row>
    <row r="368" spans="1:15" ht="13" x14ac:dyDescent="0.15">
      <c r="A368" s="56"/>
      <c r="B368" s="56"/>
      <c r="K368" s="56"/>
      <c r="L368" s="56"/>
      <c r="O368" s="56"/>
    </row>
    <row r="369" spans="1:15" ht="13" x14ac:dyDescent="0.15">
      <c r="A369" s="56"/>
      <c r="B369" s="56"/>
      <c r="K369" s="56"/>
      <c r="L369" s="56"/>
      <c r="O369" s="56"/>
    </row>
    <row r="370" spans="1:15" ht="13" x14ac:dyDescent="0.15">
      <c r="A370" s="56"/>
      <c r="B370" s="56"/>
      <c r="K370" s="56"/>
      <c r="L370" s="56"/>
      <c r="O370" s="56"/>
    </row>
    <row r="371" spans="1:15" ht="13" x14ac:dyDescent="0.15">
      <c r="A371" s="56"/>
      <c r="B371" s="56"/>
      <c r="K371" s="56"/>
      <c r="L371" s="56"/>
      <c r="O371" s="56"/>
    </row>
    <row r="372" spans="1:15" ht="13" x14ac:dyDescent="0.15">
      <c r="A372" s="56"/>
      <c r="B372" s="56"/>
      <c r="K372" s="56"/>
      <c r="L372" s="56"/>
      <c r="O372" s="56"/>
    </row>
    <row r="373" spans="1:15" ht="13" x14ac:dyDescent="0.15">
      <c r="A373" s="56"/>
      <c r="B373" s="56"/>
      <c r="K373" s="56"/>
      <c r="L373" s="56"/>
      <c r="O373" s="56"/>
    </row>
    <row r="374" spans="1:15" ht="13" x14ac:dyDescent="0.15">
      <c r="A374" s="56"/>
      <c r="B374" s="56"/>
      <c r="K374" s="56"/>
      <c r="L374" s="56"/>
      <c r="O374" s="56"/>
    </row>
    <row r="375" spans="1:15" ht="13" x14ac:dyDescent="0.15">
      <c r="A375" s="56"/>
      <c r="B375" s="56"/>
      <c r="K375" s="56"/>
      <c r="L375" s="56"/>
      <c r="O375" s="56"/>
    </row>
    <row r="376" spans="1:15" ht="13" x14ac:dyDescent="0.15">
      <c r="A376" s="56"/>
      <c r="B376" s="56"/>
      <c r="K376" s="56"/>
      <c r="L376" s="56"/>
      <c r="O376" s="56"/>
    </row>
    <row r="377" spans="1:15" ht="13" x14ac:dyDescent="0.15">
      <c r="A377" s="56"/>
      <c r="B377" s="56"/>
      <c r="K377" s="56"/>
      <c r="L377" s="56"/>
      <c r="O377" s="56"/>
    </row>
    <row r="378" spans="1:15" ht="13" x14ac:dyDescent="0.15">
      <c r="A378" s="56"/>
      <c r="B378" s="56"/>
      <c r="K378" s="56"/>
      <c r="L378" s="56"/>
      <c r="O378" s="56"/>
    </row>
    <row r="379" spans="1:15" ht="13" x14ac:dyDescent="0.15">
      <c r="A379" s="56"/>
      <c r="B379" s="56"/>
      <c r="K379" s="56"/>
      <c r="L379" s="56"/>
      <c r="O379" s="56"/>
    </row>
    <row r="380" spans="1:15" ht="13" x14ac:dyDescent="0.15">
      <c r="A380" s="56"/>
      <c r="B380" s="56"/>
      <c r="K380" s="56"/>
      <c r="L380" s="56"/>
      <c r="O380" s="56"/>
    </row>
    <row r="381" spans="1:15" ht="13" x14ac:dyDescent="0.15">
      <c r="A381" s="56"/>
      <c r="B381" s="56"/>
      <c r="K381" s="56"/>
      <c r="L381" s="56"/>
      <c r="O381" s="56"/>
    </row>
    <row r="382" spans="1:15" ht="13" x14ac:dyDescent="0.15">
      <c r="A382" s="56"/>
      <c r="B382" s="56"/>
      <c r="K382" s="56"/>
      <c r="L382" s="56"/>
      <c r="O382" s="56"/>
    </row>
    <row r="383" spans="1:15" ht="13" x14ac:dyDescent="0.15">
      <c r="A383" s="56"/>
      <c r="B383" s="56"/>
      <c r="K383" s="56"/>
      <c r="L383" s="56"/>
      <c r="O383" s="56"/>
    </row>
    <row r="384" spans="1:15" ht="13" x14ac:dyDescent="0.15">
      <c r="A384" s="56"/>
      <c r="B384" s="56"/>
      <c r="K384" s="56"/>
      <c r="L384" s="56"/>
      <c r="O384" s="56"/>
    </row>
    <row r="385" spans="1:15" ht="13" x14ac:dyDescent="0.15">
      <c r="A385" s="56"/>
      <c r="B385" s="56"/>
      <c r="K385" s="56"/>
      <c r="L385" s="56"/>
      <c r="O385" s="56"/>
    </row>
    <row r="386" spans="1:15" ht="13" x14ac:dyDescent="0.15">
      <c r="A386" s="56"/>
      <c r="B386" s="56"/>
      <c r="K386" s="56"/>
      <c r="L386" s="56"/>
      <c r="O386" s="56"/>
    </row>
    <row r="387" spans="1:15" ht="13" x14ac:dyDescent="0.15">
      <c r="A387" s="56"/>
      <c r="B387" s="56"/>
      <c r="K387" s="56"/>
      <c r="L387" s="56"/>
      <c r="O387" s="56"/>
    </row>
    <row r="388" spans="1:15" ht="13" x14ac:dyDescent="0.15">
      <c r="A388" s="56"/>
      <c r="B388" s="56"/>
      <c r="K388" s="56"/>
      <c r="L388" s="56"/>
      <c r="O388" s="56"/>
    </row>
    <row r="389" spans="1:15" ht="13" x14ac:dyDescent="0.15">
      <c r="A389" s="56"/>
      <c r="B389" s="56"/>
      <c r="K389" s="56"/>
      <c r="L389" s="56"/>
      <c r="O389" s="56"/>
    </row>
    <row r="390" spans="1:15" ht="13" x14ac:dyDescent="0.15">
      <c r="A390" s="56"/>
      <c r="B390" s="56"/>
      <c r="K390" s="56"/>
      <c r="L390" s="56"/>
      <c r="O390" s="56"/>
    </row>
    <row r="391" spans="1:15" ht="13" x14ac:dyDescent="0.15">
      <c r="A391" s="56"/>
      <c r="B391" s="56"/>
      <c r="K391" s="56"/>
      <c r="L391" s="56"/>
      <c r="O391" s="56"/>
    </row>
    <row r="392" spans="1:15" ht="13" x14ac:dyDescent="0.15">
      <c r="A392" s="56"/>
      <c r="B392" s="56"/>
      <c r="K392" s="56"/>
      <c r="L392" s="56"/>
      <c r="O392" s="56"/>
    </row>
    <row r="393" spans="1:15" ht="13" x14ac:dyDescent="0.15">
      <c r="A393" s="56"/>
      <c r="B393" s="56"/>
      <c r="K393" s="56"/>
      <c r="L393" s="56"/>
      <c r="O393" s="56"/>
    </row>
    <row r="394" spans="1:15" ht="13" x14ac:dyDescent="0.15">
      <c r="A394" s="56"/>
      <c r="B394" s="56"/>
      <c r="K394" s="56"/>
      <c r="L394" s="56"/>
      <c r="O394" s="56"/>
    </row>
    <row r="395" spans="1:15" ht="13" x14ac:dyDescent="0.15">
      <c r="A395" s="56"/>
      <c r="B395" s="56"/>
      <c r="K395" s="56"/>
      <c r="L395" s="56"/>
      <c r="O395" s="56"/>
    </row>
    <row r="396" spans="1:15" ht="13" x14ac:dyDescent="0.15">
      <c r="A396" s="56"/>
      <c r="B396" s="56"/>
      <c r="K396" s="56"/>
      <c r="L396" s="56"/>
      <c r="O396" s="56"/>
    </row>
    <row r="397" spans="1:15" ht="13" x14ac:dyDescent="0.15">
      <c r="A397" s="56"/>
      <c r="B397" s="56"/>
      <c r="K397" s="56"/>
      <c r="L397" s="56"/>
      <c r="O397" s="56"/>
    </row>
    <row r="398" spans="1:15" ht="13" x14ac:dyDescent="0.15">
      <c r="A398" s="56"/>
      <c r="B398" s="56"/>
      <c r="K398" s="56"/>
      <c r="L398" s="56"/>
      <c r="O398" s="56"/>
    </row>
    <row r="399" spans="1:15" ht="13" x14ac:dyDescent="0.15">
      <c r="A399" s="56"/>
      <c r="B399" s="56"/>
      <c r="K399" s="56"/>
      <c r="L399" s="56"/>
      <c r="O399" s="56"/>
    </row>
    <row r="400" spans="1:15" ht="13" x14ac:dyDescent="0.15">
      <c r="A400" s="56"/>
      <c r="B400" s="56"/>
      <c r="K400" s="56"/>
      <c r="L400" s="56"/>
      <c r="O400" s="56"/>
    </row>
    <row r="401" spans="1:15" ht="13" x14ac:dyDescent="0.15">
      <c r="A401" s="56"/>
      <c r="B401" s="56"/>
      <c r="K401" s="56"/>
      <c r="L401" s="56"/>
      <c r="O401" s="56"/>
    </row>
    <row r="402" spans="1:15" ht="13" x14ac:dyDescent="0.15">
      <c r="A402" s="56"/>
      <c r="B402" s="56"/>
      <c r="K402" s="56"/>
      <c r="L402" s="56"/>
      <c r="O402" s="56"/>
    </row>
    <row r="403" spans="1:15" ht="13" x14ac:dyDescent="0.15">
      <c r="A403" s="56"/>
      <c r="B403" s="56"/>
      <c r="K403" s="56"/>
      <c r="L403" s="56"/>
      <c r="O403" s="56"/>
    </row>
    <row r="404" spans="1:15" ht="13" x14ac:dyDescent="0.15">
      <c r="A404" s="56"/>
      <c r="B404" s="56"/>
      <c r="K404" s="56"/>
      <c r="L404" s="56"/>
      <c r="O404" s="56"/>
    </row>
    <row r="405" spans="1:15" ht="13" x14ac:dyDescent="0.15">
      <c r="A405" s="56"/>
      <c r="B405" s="56"/>
      <c r="K405" s="56"/>
      <c r="L405" s="56"/>
      <c r="O405" s="56"/>
    </row>
    <row r="406" spans="1:15" ht="13" x14ac:dyDescent="0.15">
      <c r="A406" s="56"/>
      <c r="B406" s="56"/>
      <c r="K406" s="56"/>
      <c r="L406" s="56"/>
      <c r="O406" s="56"/>
    </row>
    <row r="407" spans="1:15" ht="13" x14ac:dyDescent="0.15">
      <c r="A407" s="56"/>
      <c r="B407" s="56"/>
      <c r="K407" s="56"/>
      <c r="L407" s="56"/>
      <c r="O407" s="56"/>
    </row>
    <row r="408" spans="1:15" ht="13" x14ac:dyDescent="0.15">
      <c r="A408" s="56"/>
      <c r="B408" s="56"/>
      <c r="K408" s="56"/>
      <c r="L408" s="56"/>
      <c r="O408" s="56"/>
    </row>
    <row r="409" spans="1:15" ht="13" x14ac:dyDescent="0.15">
      <c r="A409" s="56"/>
      <c r="B409" s="56"/>
      <c r="K409" s="56"/>
      <c r="L409" s="56"/>
      <c r="O409" s="56"/>
    </row>
    <row r="410" spans="1:15" ht="13" x14ac:dyDescent="0.15">
      <c r="A410" s="56"/>
      <c r="B410" s="56"/>
      <c r="K410" s="56"/>
      <c r="L410" s="56"/>
      <c r="O410" s="56"/>
    </row>
    <row r="411" spans="1:15" ht="13" x14ac:dyDescent="0.15">
      <c r="A411" s="56"/>
      <c r="B411" s="56"/>
      <c r="K411" s="56"/>
      <c r="L411" s="56"/>
      <c r="O411" s="56"/>
    </row>
    <row r="412" spans="1:15" ht="13" x14ac:dyDescent="0.15">
      <c r="A412" s="56"/>
      <c r="B412" s="56"/>
      <c r="K412" s="56"/>
      <c r="L412" s="56"/>
      <c r="O412" s="56"/>
    </row>
    <row r="413" spans="1:15" ht="13" x14ac:dyDescent="0.15">
      <c r="A413" s="56"/>
      <c r="B413" s="56"/>
      <c r="K413" s="56"/>
      <c r="L413" s="56"/>
      <c r="O413" s="56"/>
    </row>
    <row r="414" spans="1:15" ht="13" x14ac:dyDescent="0.15">
      <c r="A414" s="56"/>
      <c r="B414" s="56"/>
      <c r="K414" s="56"/>
      <c r="L414" s="56"/>
      <c r="O414" s="56"/>
    </row>
    <row r="415" spans="1:15" ht="13" x14ac:dyDescent="0.15">
      <c r="A415" s="56"/>
      <c r="B415" s="56"/>
      <c r="K415" s="56"/>
      <c r="L415" s="56"/>
      <c r="O415" s="56"/>
    </row>
    <row r="416" spans="1:15" ht="13" x14ac:dyDescent="0.15">
      <c r="A416" s="56"/>
      <c r="B416" s="56"/>
      <c r="K416" s="56"/>
      <c r="L416" s="56"/>
      <c r="O416" s="56"/>
    </row>
    <row r="417" spans="1:15" ht="13" x14ac:dyDescent="0.15">
      <c r="A417" s="56"/>
      <c r="B417" s="56"/>
      <c r="K417" s="56"/>
      <c r="L417" s="56"/>
      <c r="O417" s="56"/>
    </row>
    <row r="418" spans="1:15" ht="13" x14ac:dyDescent="0.15">
      <c r="A418" s="56"/>
      <c r="B418" s="56"/>
      <c r="K418" s="56"/>
      <c r="L418" s="56"/>
      <c r="O418" s="56"/>
    </row>
    <row r="419" spans="1:15" ht="13" x14ac:dyDescent="0.15">
      <c r="A419" s="56"/>
      <c r="B419" s="56"/>
      <c r="K419" s="56"/>
      <c r="L419" s="56"/>
      <c r="O419" s="56"/>
    </row>
    <row r="420" spans="1:15" ht="13" x14ac:dyDescent="0.15">
      <c r="A420" s="56"/>
      <c r="B420" s="56"/>
      <c r="K420" s="56"/>
      <c r="L420" s="56"/>
      <c r="O420" s="56"/>
    </row>
    <row r="421" spans="1:15" ht="13" x14ac:dyDescent="0.15">
      <c r="A421" s="56"/>
      <c r="B421" s="56"/>
      <c r="K421" s="56"/>
      <c r="L421" s="56"/>
      <c r="O421" s="56"/>
    </row>
    <row r="422" spans="1:15" ht="13" x14ac:dyDescent="0.15">
      <c r="A422" s="56"/>
      <c r="B422" s="56"/>
      <c r="K422" s="56"/>
      <c r="L422" s="56"/>
      <c r="O422" s="56"/>
    </row>
    <row r="423" spans="1:15" ht="13" x14ac:dyDescent="0.15">
      <c r="A423" s="56"/>
      <c r="B423" s="56"/>
      <c r="K423" s="56"/>
      <c r="L423" s="56"/>
      <c r="O423" s="56"/>
    </row>
    <row r="424" spans="1:15" ht="13" x14ac:dyDescent="0.15">
      <c r="A424" s="56"/>
      <c r="B424" s="56"/>
      <c r="K424" s="56"/>
      <c r="L424" s="56"/>
      <c r="O424" s="56"/>
    </row>
    <row r="425" spans="1:15" ht="13" x14ac:dyDescent="0.15">
      <c r="A425" s="56"/>
      <c r="B425" s="56"/>
      <c r="K425" s="56"/>
      <c r="L425" s="56"/>
      <c r="O425" s="56"/>
    </row>
    <row r="426" spans="1:15" ht="13" x14ac:dyDescent="0.15">
      <c r="A426" s="56"/>
      <c r="B426" s="56"/>
      <c r="K426" s="56"/>
      <c r="L426" s="56"/>
      <c r="O426" s="56"/>
    </row>
    <row r="427" spans="1:15" ht="13" x14ac:dyDescent="0.15">
      <c r="A427" s="56"/>
      <c r="B427" s="56"/>
      <c r="K427" s="56"/>
      <c r="L427" s="56"/>
      <c r="O427" s="56"/>
    </row>
    <row r="428" spans="1:15" ht="13" x14ac:dyDescent="0.15">
      <c r="A428" s="56"/>
      <c r="B428" s="56"/>
      <c r="K428" s="56"/>
      <c r="L428" s="56"/>
      <c r="O428" s="56"/>
    </row>
    <row r="429" spans="1:15" ht="13" x14ac:dyDescent="0.15">
      <c r="A429" s="56"/>
      <c r="B429" s="56"/>
      <c r="K429" s="56"/>
      <c r="L429" s="56"/>
      <c r="O429" s="56"/>
    </row>
    <row r="430" spans="1:15" ht="13" x14ac:dyDescent="0.15">
      <c r="A430" s="56"/>
      <c r="B430" s="56"/>
      <c r="K430" s="56"/>
      <c r="L430" s="56"/>
      <c r="O430" s="56"/>
    </row>
    <row r="431" spans="1:15" ht="13" x14ac:dyDescent="0.15">
      <c r="A431" s="56"/>
      <c r="B431" s="56"/>
      <c r="K431" s="56"/>
      <c r="L431" s="56"/>
      <c r="O431" s="56"/>
    </row>
    <row r="432" spans="1:15" ht="13" x14ac:dyDescent="0.15">
      <c r="A432" s="56"/>
      <c r="B432" s="56"/>
      <c r="K432" s="56"/>
      <c r="L432" s="56"/>
      <c r="O432" s="56"/>
    </row>
    <row r="433" spans="1:15" ht="13" x14ac:dyDescent="0.15">
      <c r="A433" s="56"/>
      <c r="B433" s="56"/>
      <c r="K433" s="56"/>
      <c r="L433" s="56"/>
      <c r="O433" s="56"/>
    </row>
    <row r="434" spans="1:15" ht="13" x14ac:dyDescent="0.15">
      <c r="A434" s="56"/>
      <c r="B434" s="56"/>
      <c r="K434" s="56"/>
      <c r="L434" s="56"/>
      <c r="O434" s="56"/>
    </row>
    <row r="435" spans="1:15" ht="13" x14ac:dyDescent="0.15">
      <c r="A435" s="56"/>
      <c r="B435" s="56"/>
      <c r="K435" s="56"/>
      <c r="L435" s="56"/>
      <c r="O435" s="56"/>
    </row>
    <row r="436" spans="1:15" ht="13" x14ac:dyDescent="0.15">
      <c r="A436" s="56"/>
      <c r="B436" s="56"/>
      <c r="K436" s="56"/>
      <c r="L436" s="56"/>
      <c r="O436" s="56"/>
    </row>
    <row r="437" spans="1:15" ht="13" x14ac:dyDescent="0.15">
      <c r="A437" s="56"/>
      <c r="B437" s="56"/>
      <c r="K437" s="56"/>
      <c r="L437" s="56"/>
      <c r="O437" s="56"/>
    </row>
    <row r="438" spans="1:15" ht="13" x14ac:dyDescent="0.15">
      <c r="A438" s="56"/>
      <c r="B438" s="56"/>
      <c r="K438" s="56"/>
      <c r="L438" s="56"/>
      <c r="O438" s="56"/>
    </row>
    <row r="439" spans="1:15" ht="13" x14ac:dyDescent="0.15">
      <c r="A439" s="56"/>
      <c r="B439" s="56"/>
      <c r="K439" s="56"/>
      <c r="L439" s="56"/>
      <c r="O439" s="56"/>
    </row>
    <row r="440" spans="1:15" ht="13" x14ac:dyDescent="0.15">
      <c r="A440" s="56"/>
      <c r="B440" s="56"/>
      <c r="K440" s="56"/>
      <c r="L440" s="56"/>
      <c r="O440" s="56"/>
    </row>
    <row r="441" spans="1:15" ht="13" x14ac:dyDescent="0.15">
      <c r="A441" s="56"/>
      <c r="B441" s="56"/>
      <c r="K441" s="56"/>
      <c r="L441" s="56"/>
      <c r="O441" s="56"/>
    </row>
    <row r="442" spans="1:15" ht="13" x14ac:dyDescent="0.15">
      <c r="A442" s="56"/>
      <c r="B442" s="56"/>
      <c r="K442" s="56"/>
      <c r="L442" s="56"/>
      <c r="O442" s="56"/>
    </row>
    <row r="443" spans="1:15" ht="13" x14ac:dyDescent="0.15">
      <c r="A443" s="56"/>
      <c r="B443" s="56"/>
      <c r="K443" s="56"/>
      <c r="L443" s="56"/>
      <c r="O443" s="56"/>
    </row>
    <row r="444" spans="1:15" ht="13" x14ac:dyDescent="0.15">
      <c r="A444" s="56"/>
      <c r="B444" s="56"/>
      <c r="K444" s="56"/>
      <c r="L444" s="56"/>
      <c r="O444" s="56"/>
    </row>
    <row r="445" spans="1:15" ht="13" x14ac:dyDescent="0.15">
      <c r="A445" s="56"/>
      <c r="B445" s="56"/>
      <c r="K445" s="56"/>
      <c r="L445" s="56"/>
      <c r="O445" s="56"/>
    </row>
    <row r="446" spans="1:15" ht="13" x14ac:dyDescent="0.15">
      <c r="A446" s="56"/>
      <c r="B446" s="56"/>
      <c r="K446" s="56"/>
      <c r="L446" s="56"/>
      <c r="O446" s="56"/>
    </row>
    <row r="447" spans="1:15" ht="13" x14ac:dyDescent="0.15">
      <c r="A447" s="56"/>
      <c r="B447" s="56"/>
      <c r="K447" s="56"/>
      <c r="L447" s="56"/>
      <c r="O447" s="56"/>
    </row>
    <row r="448" spans="1:15" ht="13" x14ac:dyDescent="0.15">
      <c r="A448" s="56"/>
      <c r="B448" s="56"/>
      <c r="K448" s="56"/>
      <c r="L448" s="56"/>
      <c r="O448" s="56"/>
    </row>
    <row r="449" spans="1:15" ht="13" x14ac:dyDescent="0.15">
      <c r="A449" s="56"/>
      <c r="B449" s="56"/>
      <c r="K449" s="56"/>
      <c r="L449" s="56"/>
      <c r="O449" s="56"/>
    </row>
    <row r="450" spans="1:15" ht="13" x14ac:dyDescent="0.15">
      <c r="A450" s="56"/>
      <c r="B450" s="56"/>
      <c r="K450" s="56"/>
      <c r="L450" s="56"/>
      <c r="O450" s="56"/>
    </row>
    <row r="451" spans="1:15" ht="13" x14ac:dyDescent="0.15">
      <c r="A451" s="56"/>
      <c r="B451" s="56"/>
      <c r="K451" s="56"/>
      <c r="L451" s="56"/>
      <c r="O451" s="56"/>
    </row>
    <row r="452" spans="1:15" ht="13" x14ac:dyDescent="0.15">
      <c r="A452" s="56"/>
      <c r="B452" s="56"/>
      <c r="K452" s="56"/>
      <c r="L452" s="56"/>
      <c r="O452" s="56"/>
    </row>
    <row r="453" spans="1:15" ht="13" x14ac:dyDescent="0.15">
      <c r="A453" s="56"/>
      <c r="B453" s="56"/>
      <c r="K453" s="56"/>
      <c r="L453" s="56"/>
      <c r="O453" s="56"/>
    </row>
    <row r="454" spans="1:15" ht="13" x14ac:dyDescent="0.15">
      <c r="A454" s="56"/>
      <c r="B454" s="56"/>
      <c r="K454" s="56"/>
      <c r="L454" s="56"/>
      <c r="O454" s="56"/>
    </row>
    <row r="455" spans="1:15" ht="13" x14ac:dyDescent="0.15">
      <c r="A455" s="56"/>
      <c r="B455" s="56"/>
      <c r="K455" s="56"/>
      <c r="L455" s="56"/>
      <c r="O455" s="56"/>
    </row>
    <row r="456" spans="1:15" ht="13" x14ac:dyDescent="0.15">
      <c r="A456" s="56"/>
      <c r="B456" s="56"/>
      <c r="K456" s="56"/>
      <c r="L456" s="56"/>
      <c r="O456" s="56"/>
    </row>
    <row r="457" spans="1:15" ht="13" x14ac:dyDescent="0.15">
      <c r="A457" s="56"/>
      <c r="B457" s="56"/>
      <c r="K457" s="56"/>
      <c r="L457" s="56"/>
      <c r="O457" s="56"/>
    </row>
    <row r="458" spans="1:15" ht="13" x14ac:dyDescent="0.15">
      <c r="A458" s="56"/>
      <c r="B458" s="56"/>
      <c r="K458" s="56"/>
      <c r="L458" s="56"/>
      <c r="O458" s="56"/>
    </row>
    <row r="459" spans="1:15" ht="13" x14ac:dyDescent="0.15">
      <c r="A459" s="56"/>
      <c r="B459" s="56"/>
      <c r="K459" s="56"/>
      <c r="L459" s="56"/>
      <c r="O459" s="56"/>
    </row>
    <row r="460" spans="1:15" ht="13" x14ac:dyDescent="0.15">
      <c r="A460" s="56"/>
      <c r="B460" s="56"/>
      <c r="K460" s="56"/>
      <c r="L460" s="56"/>
      <c r="O460" s="56"/>
    </row>
    <row r="461" spans="1:15" ht="13" x14ac:dyDescent="0.15">
      <c r="A461" s="56"/>
      <c r="B461" s="56"/>
      <c r="K461" s="56"/>
      <c r="L461" s="56"/>
      <c r="O461" s="56"/>
    </row>
    <row r="462" spans="1:15" ht="13" x14ac:dyDescent="0.15">
      <c r="A462" s="56"/>
      <c r="B462" s="56"/>
      <c r="K462" s="56"/>
      <c r="L462" s="56"/>
      <c r="O462" s="56"/>
    </row>
    <row r="463" spans="1:15" ht="13" x14ac:dyDescent="0.15">
      <c r="A463" s="56"/>
      <c r="B463" s="56"/>
      <c r="K463" s="56"/>
      <c r="L463" s="56"/>
      <c r="O463" s="56"/>
    </row>
    <row r="464" spans="1:15" ht="13" x14ac:dyDescent="0.15">
      <c r="A464" s="56"/>
      <c r="B464" s="56"/>
      <c r="K464" s="56"/>
      <c r="L464" s="56"/>
      <c r="O464" s="56"/>
    </row>
    <row r="465" spans="1:15" ht="13" x14ac:dyDescent="0.15">
      <c r="A465" s="56"/>
      <c r="B465" s="56"/>
      <c r="K465" s="56"/>
      <c r="L465" s="56"/>
      <c r="O465" s="56"/>
    </row>
    <row r="466" spans="1:15" ht="13" x14ac:dyDescent="0.15">
      <c r="A466" s="56"/>
      <c r="B466" s="56"/>
      <c r="K466" s="56"/>
      <c r="L466" s="56"/>
      <c r="O466" s="56"/>
    </row>
    <row r="467" spans="1:15" ht="13" x14ac:dyDescent="0.15">
      <c r="A467" s="56"/>
      <c r="B467" s="56"/>
      <c r="K467" s="56"/>
      <c r="L467" s="56"/>
      <c r="O467" s="56"/>
    </row>
    <row r="468" spans="1:15" ht="13" x14ac:dyDescent="0.15">
      <c r="A468" s="56"/>
      <c r="B468" s="56"/>
      <c r="K468" s="56"/>
      <c r="L468" s="56"/>
      <c r="O468" s="56"/>
    </row>
    <row r="469" spans="1:15" ht="13" x14ac:dyDescent="0.15">
      <c r="A469" s="56"/>
      <c r="B469" s="56"/>
      <c r="K469" s="56"/>
      <c r="L469" s="56"/>
      <c r="O469" s="56"/>
    </row>
    <row r="470" spans="1:15" ht="13" x14ac:dyDescent="0.15">
      <c r="A470" s="56"/>
      <c r="B470" s="56"/>
      <c r="K470" s="56"/>
      <c r="L470" s="56"/>
      <c r="O470" s="56"/>
    </row>
    <row r="471" spans="1:15" ht="13" x14ac:dyDescent="0.15">
      <c r="A471" s="56"/>
      <c r="B471" s="56"/>
      <c r="K471" s="56"/>
      <c r="L471" s="56"/>
      <c r="O471" s="56"/>
    </row>
    <row r="472" spans="1:15" ht="13" x14ac:dyDescent="0.15">
      <c r="A472" s="56"/>
      <c r="B472" s="56"/>
      <c r="K472" s="56"/>
      <c r="L472" s="56"/>
      <c r="O472" s="56"/>
    </row>
    <row r="473" spans="1:15" ht="13" x14ac:dyDescent="0.15">
      <c r="A473" s="56"/>
      <c r="B473" s="56"/>
      <c r="K473" s="56"/>
      <c r="L473" s="56"/>
      <c r="O473" s="56"/>
    </row>
    <row r="474" spans="1:15" ht="13" x14ac:dyDescent="0.15">
      <c r="A474" s="56"/>
      <c r="B474" s="56"/>
      <c r="K474" s="56"/>
      <c r="L474" s="56"/>
      <c r="O474" s="56"/>
    </row>
    <row r="475" spans="1:15" ht="13" x14ac:dyDescent="0.15">
      <c r="A475" s="56"/>
      <c r="B475" s="56"/>
      <c r="K475" s="56"/>
      <c r="L475" s="56"/>
      <c r="O475" s="56"/>
    </row>
    <row r="476" spans="1:15" ht="13" x14ac:dyDescent="0.15">
      <c r="A476" s="56"/>
      <c r="B476" s="56"/>
      <c r="K476" s="56"/>
      <c r="L476" s="56"/>
      <c r="O476" s="56"/>
    </row>
    <row r="477" spans="1:15" ht="13" x14ac:dyDescent="0.15">
      <c r="A477" s="56"/>
      <c r="B477" s="56"/>
      <c r="K477" s="56"/>
      <c r="L477" s="56"/>
      <c r="O477" s="56"/>
    </row>
    <row r="478" spans="1:15" ht="13" x14ac:dyDescent="0.15">
      <c r="A478" s="56"/>
      <c r="B478" s="56"/>
      <c r="K478" s="56"/>
      <c r="L478" s="56"/>
      <c r="O478" s="56"/>
    </row>
    <row r="479" spans="1:15" ht="13" x14ac:dyDescent="0.15">
      <c r="A479" s="56"/>
      <c r="B479" s="56"/>
      <c r="K479" s="56"/>
      <c r="L479" s="56"/>
      <c r="O479" s="56"/>
    </row>
    <row r="480" spans="1:15" ht="13" x14ac:dyDescent="0.15">
      <c r="A480" s="56"/>
      <c r="B480" s="56"/>
      <c r="K480" s="56"/>
      <c r="L480" s="56"/>
      <c r="O480" s="56"/>
    </row>
    <row r="481" spans="1:15" ht="13" x14ac:dyDescent="0.15">
      <c r="A481" s="56"/>
      <c r="B481" s="56"/>
      <c r="K481" s="56"/>
      <c r="L481" s="56"/>
      <c r="O481" s="56"/>
    </row>
    <row r="482" spans="1:15" ht="13" x14ac:dyDescent="0.15">
      <c r="A482" s="56"/>
      <c r="B482" s="56"/>
      <c r="K482" s="56"/>
      <c r="L482" s="56"/>
      <c r="O482" s="56"/>
    </row>
    <row r="483" spans="1:15" ht="13" x14ac:dyDescent="0.15">
      <c r="A483" s="56"/>
      <c r="B483" s="56"/>
      <c r="K483" s="56"/>
      <c r="L483" s="56"/>
      <c r="O483" s="56"/>
    </row>
    <row r="484" spans="1:15" ht="13" x14ac:dyDescent="0.15">
      <c r="A484" s="56"/>
      <c r="B484" s="56"/>
      <c r="K484" s="56"/>
      <c r="L484" s="56"/>
      <c r="O484" s="56"/>
    </row>
    <row r="485" spans="1:15" ht="13" x14ac:dyDescent="0.15">
      <c r="A485" s="56"/>
      <c r="B485" s="56"/>
      <c r="K485" s="56"/>
      <c r="L485" s="56"/>
      <c r="O485" s="56"/>
    </row>
    <row r="486" spans="1:15" ht="13" x14ac:dyDescent="0.15">
      <c r="A486" s="56"/>
      <c r="B486" s="56"/>
      <c r="K486" s="56"/>
      <c r="L486" s="56"/>
      <c r="O486" s="56"/>
    </row>
    <row r="487" spans="1:15" ht="13" x14ac:dyDescent="0.15">
      <c r="A487" s="56"/>
      <c r="B487" s="56"/>
      <c r="K487" s="56"/>
      <c r="L487" s="56"/>
      <c r="O487" s="56"/>
    </row>
    <row r="488" spans="1:15" ht="13" x14ac:dyDescent="0.15">
      <c r="A488" s="56"/>
      <c r="B488" s="56"/>
      <c r="K488" s="56"/>
      <c r="L488" s="56"/>
      <c r="O488" s="56"/>
    </row>
    <row r="489" spans="1:15" ht="13" x14ac:dyDescent="0.15">
      <c r="A489" s="56"/>
      <c r="B489" s="56"/>
      <c r="K489" s="56"/>
      <c r="L489" s="56"/>
      <c r="O489" s="56"/>
    </row>
    <row r="490" spans="1:15" ht="13" x14ac:dyDescent="0.15">
      <c r="A490" s="56"/>
      <c r="B490" s="56"/>
      <c r="K490" s="56"/>
      <c r="L490" s="56"/>
      <c r="O490" s="56"/>
    </row>
    <row r="491" spans="1:15" ht="13" x14ac:dyDescent="0.15">
      <c r="A491" s="56"/>
      <c r="B491" s="56"/>
      <c r="K491" s="56"/>
      <c r="L491" s="56"/>
      <c r="O491" s="56"/>
    </row>
    <row r="492" spans="1:15" ht="13" x14ac:dyDescent="0.15">
      <c r="A492" s="56"/>
      <c r="B492" s="56"/>
      <c r="K492" s="56"/>
      <c r="L492" s="56"/>
      <c r="O492" s="56"/>
    </row>
    <row r="493" spans="1:15" ht="13" x14ac:dyDescent="0.15">
      <c r="A493" s="56"/>
      <c r="B493" s="56"/>
      <c r="K493" s="56"/>
      <c r="L493" s="56"/>
      <c r="O493" s="56"/>
    </row>
    <row r="494" spans="1:15" ht="13" x14ac:dyDescent="0.15">
      <c r="A494" s="56"/>
      <c r="B494" s="56"/>
      <c r="K494" s="56"/>
      <c r="L494" s="56"/>
      <c r="O494" s="56"/>
    </row>
    <row r="495" spans="1:15" ht="13" x14ac:dyDescent="0.15">
      <c r="A495" s="56"/>
      <c r="B495" s="56"/>
      <c r="K495" s="56"/>
      <c r="L495" s="56"/>
      <c r="O495" s="56"/>
    </row>
    <row r="496" spans="1:15" ht="13" x14ac:dyDescent="0.15">
      <c r="A496" s="56"/>
      <c r="B496" s="56"/>
      <c r="K496" s="56"/>
      <c r="L496" s="56"/>
      <c r="O496" s="56"/>
    </row>
    <row r="497" spans="1:15" ht="13" x14ac:dyDescent="0.15">
      <c r="A497" s="56"/>
      <c r="B497" s="56"/>
      <c r="K497" s="56"/>
      <c r="L497" s="56"/>
      <c r="O497" s="56"/>
    </row>
    <row r="498" spans="1:15" ht="13" x14ac:dyDescent="0.15">
      <c r="A498" s="56"/>
      <c r="B498" s="56"/>
      <c r="K498" s="56"/>
      <c r="L498" s="56"/>
      <c r="O498" s="56"/>
    </row>
    <row r="499" spans="1:15" ht="13" x14ac:dyDescent="0.15">
      <c r="A499" s="56"/>
      <c r="B499" s="56"/>
      <c r="K499" s="56"/>
      <c r="L499" s="56"/>
      <c r="O499" s="56"/>
    </row>
    <row r="500" spans="1:15" ht="13" x14ac:dyDescent="0.15">
      <c r="A500" s="56"/>
      <c r="B500" s="56"/>
      <c r="K500" s="56"/>
      <c r="L500" s="56"/>
      <c r="O500" s="56"/>
    </row>
    <row r="501" spans="1:15" ht="13" x14ac:dyDescent="0.15">
      <c r="A501" s="56"/>
      <c r="B501" s="56"/>
      <c r="K501" s="56"/>
      <c r="L501" s="56"/>
      <c r="O501" s="56"/>
    </row>
    <row r="502" spans="1:15" ht="13" x14ac:dyDescent="0.15">
      <c r="A502" s="56"/>
      <c r="B502" s="56"/>
      <c r="K502" s="56"/>
      <c r="L502" s="56"/>
      <c r="O502" s="56"/>
    </row>
    <row r="503" spans="1:15" ht="13" x14ac:dyDescent="0.15">
      <c r="A503" s="56"/>
      <c r="B503" s="56"/>
      <c r="K503" s="56"/>
      <c r="L503" s="56"/>
      <c r="O503" s="56"/>
    </row>
    <row r="504" spans="1:15" ht="13" x14ac:dyDescent="0.15">
      <c r="A504" s="56"/>
      <c r="B504" s="56"/>
      <c r="K504" s="56"/>
      <c r="L504" s="56"/>
      <c r="O504" s="56"/>
    </row>
    <row r="505" spans="1:15" ht="13" x14ac:dyDescent="0.15">
      <c r="A505" s="56"/>
      <c r="B505" s="56"/>
      <c r="K505" s="56"/>
      <c r="L505" s="56"/>
      <c r="O505" s="56"/>
    </row>
    <row r="506" spans="1:15" ht="13" x14ac:dyDescent="0.15">
      <c r="A506" s="56"/>
      <c r="B506" s="56"/>
      <c r="K506" s="56"/>
      <c r="L506" s="56"/>
      <c r="O506" s="56"/>
    </row>
    <row r="507" spans="1:15" ht="13" x14ac:dyDescent="0.15">
      <c r="A507" s="56"/>
      <c r="B507" s="56"/>
      <c r="K507" s="56"/>
      <c r="L507" s="56"/>
      <c r="O507" s="56"/>
    </row>
    <row r="508" spans="1:15" ht="13" x14ac:dyDescent="0.15">
      <c r="A508" s="56"/>
      <c r="B508" s="56"/>
      <c r="K508" s="56"/>
      <c r="L508" s="56"/>
      <c r="O508" s="56"/>
    </row>
    <row r="509" spans="1:15" ht="13" x14ac:dyDescent="0.15">
      <c r="A509" s="56"/>
      <c r="B509" s="56"/>
      <c r="K509" s="56"/>
      <c r="L509" s="56"/>
      <c r="O509" s="56"/>
    </row>
    <row r="510" spans="1:15" ht="13" x14ac:dyDescent="0.15">
      <c r="A510" s="56"/>
      <c r="B510" s="56"/>
      <c r="K510" s="56"/>
      <c r="L510" s="56"/>
      <c r="O510" s="56"/>
    </row>
    <row r="511" spans="1:15" ht="13" x14ac:dyDescent="0.15">
      <c r="A511" s="56"/>
      <c r="B511" s="56"/>
      <c r="K511" s="56"/>
      <c r="L511" s="56"/>
      <c r="O511" s="56"/>
    </row>
    <row r="512" spans="1:15" ht="13" x14ac:dyDescent="0.15">
      <c r="A512" s="56"/>
      <c r="B512" s="56"/>
      <c r="K512" s="56"/>
      <c r="L512" s="56"/>
      <c r="O512" s="56"/>
    </row>
    <row r="513" spans="1:15" ht="13" x14ac:dyDescent="0.15">
      <c r="A513" s="56"/>
      <c r="B513" s="56"/>
      <c r="K513" s="56"/>
      <c r="L513" s="56"/>
      <c r="O513" s="56"/>
    </row>
    <row r="514" spans="1:15" ht="13" x14ac:dyDescent="0.15">
      <c r="A514" s="56"/>
      <c r="B514" s="56"/>
      <c r="K514" s="56"/>
      <c r="L514" s="56"/>
      <c r="O514" s="56"/>
    </row>
    <row r="515" spans="1:15" ht="13" x14ac:dyDescent="0.15">
      <c r="A515" s="56"/>
      <c r="B515" s="56"/>
      <c r="K515" s="56"/>
      <c r="L515" s="56"/>
      <c r="O515" s="56"/>
    </row>
    <row r="516" spans="1:15" ht="13" x14ac:dyDescent="0.15">
      <c r="A516" s="56"/>
      <c r="B516" s="56"/>
      <c r="K516" s="56"/>
      <c r="L516" s="56"/>
      <c r="O516" s="56"/>
    </row>
    <row r="517" spans="1:15" ht="13" x14ac:dyDescent="0.15">
      <c r="A517" s="56"/>
      <c r="B517" s="56"/>
      <c r="K517" s="56"/>
      <c r="L517" s="56"/>
      <c r="O517" s="56"/>
    </row>
    <row r="518" spans="1:15" ht="13" x14ac:dyDescent="0.15">
      <c r="A518" s="56"/>
      <c r="B518" s="56"/>
      <c r="K518" s="56"/>
      <c r="L518" s="56"/>
      <c r="O518" s="56"/>
    </row>
    <row r="519" spans="1:15" ht="13" x14ac:dyDescent="0.15">
      <c r="A519" s="56"/>
      <c r="B519" s="56"/>
      <c r="K519" s="56"/>
      <c r="L519" s="56"/>
      <c r="O519" s="56"/>
    </row>
    <row r="520" spans="1:15" ht="13" x14ac:dyDescent="0.15">
      <c r="A520" s="56"/>
      <c r="B520" s="56"/>
      <c r="K520" s="56"/>
      <c r="L520" s="56"/>
      <c r="O520" s="56"/>
    </row>
    <row r="521" spans="1:15" ht="13" x14ac:dyDescent="0.15">
      <c r="A521" s="56"/>
      <c r="B521" s="56"/>
      <c r="K521" s="56"/>
      <c r="L521" s="56"/>
      <c r="O521" s="56"/>
    </row>
    <row r="522" spans="1:15" ht="13" x14ac:dyDescent="0.15">
      <c r="A522" s="56"/>
      <c r="B522" s="56"/>
      <c r="K522" s="56"/>
      <c r="L522" s="56"/>
      <c r="O522" s="56"/>
    </row>
    <row r="523" spans="1:15" ht="13" x14ac:dyDescent="0.15">
      <c r="A523" s="56"/>
      <c r="B523" s="56"/>
      <c r="K523" s="56"/>
      <c r="L523" s="56"/>
      <c r="O523" s="56"/>
    </row>
    <row r="524" spans="1:15" ht="13" x14ac:dyDescent="0.15">
      <c r="A524" s="56"/>
      <c r="B524" s="56"/>
      <c r="K524" s="56"/>
      <c r="L524" s="56"/>
      <c r="O524" s="56"/>
    </row>
    <row r="525" spans="1:15" ht="13" x14ac:dyDescent="0.15">
      <c r="A525" s="56"/>
      <c r="B525" s="56"/>
      <c r="K525" s="56"/>
      <c r="L525" s="56"/>
      <c r="O525" s="56"/>
    </row>
    <row r="526" spans="1:15" ht="13" x14ac:dyDescent="0.15">
      <c r="A526" s="56"/>
      <c r="B526" s="56"/>
      <c r="K526" s="56"/>
      <c r="L526" s="56"/>
      <c r="O526" s="56"/>
    </row>
    <row r="527" spans="1:15" ht="13" x14ac:dyDescent="0.15">
      <c r="A527" s="56"/>
      <c r="B527" s="56"/>
      <c r="K527" s="56"/>
      <c r="L527" s="56"/>
      <c r="O527" s="56"/>
    </row>
    <row r="528" spans="1:15" ht="13" x14ac:dyDescent="0.15">
      <c r="A528" s="56"/>
      <c r="B528" s="56"/>
      <c r="K528" s="56"/>
      <c r="L528" s="56"/>
      <c r="O528" s="56"/>
    </row>
    <row r="529" spans="1:15" ht="13" x14ac:dyDescent="0.15">
      <c r="A529" s="56"/>
      <c r="B529" s="56"/>
      <c r="K529" s="56"/>
      <c r="L529" s="56"/>
      <c r="O529" s="56"/>
    </row>
    <row r="530" spans="1:15" ht="13" x14ac:dyDescent="0.15">
      <c r="A530" s="56"/>
      <c r="B530" s="56"/>
      <c r="K530" s="56"/>
      <c r="L530" s="56"/>
      <c r="O530" s="56"/>
    </row>
    <row r="531" spans="1:15" ht="13" x14ac:dyDescent="0.15">
      <c r="A531" s="56"/>
      <c r="B531" s="56"/>
      <c r="K531" s="56"/>
      <c r="L531" s="56"/>
      <c r="O531" s="56"/>
    </row>
    <row r="532" spans="1:15" ht="13" x14ac:dyDescent="0.15">
      <c r="A532" s="56"/>
      <c r="B532" s="56"/>
      <c r="K532" s="56"/>
      <c r="L532" s="56"/>
      <c r="O532" s="56"/>
    </row>
    <row r="533" spans="1:15" ht="13" x14ac:dyDescent="0.15">
      <c r="A533" s="56"/>
      <c r="B533" s="56"/>
      <c r="K533" s="56"/>
      <c r="L533" s="56"/>
      <c r="O533" s="56"/>
    </row>
    <row r="534" spans="1:15" ht="13" x14ac:dyDescent="0.15">
      <c r="A534" s="56"/>
      <c r="B534" s="56"/>
      <c r="K534" s="56"/>
      <c r="L534" s="56"/>
      <c r="O534" s="56"/>
    </row>
    <row r="535" spans="1:15" ht="13" x14ac:dyDescent="0.15">
      <c r="A535" s="56"/>
      <c r="B535" s="56"/>
      <c r="K535" s="56"/>
      <c r="L535" s="56"/>
      <c r="O535" s="56"/>
    </row>
    <row r="536" spans="1:15" ht="13" x14ac:dyDescent="0.15">
      <c r="A536" s="56"/>
      <c r="B536" s="56"/>
      <c r="K536" s="56"/>
      <c r="L536" s="56"/>
      <c r="O536" s="56"/>
    </row>
    <row r="537" spans="1:15" ht="13" x14ac:dyDescent="0.15">
      <c r="A537" s="56"/>
      <c r="B537" s="56"/>
      <c r="K537" s="56"/>
      <c r="L537" s="56"/>
      <c r="O537" s="56"/>
    </row>
    <row r="538" spans="1:15" ht="13" x14ac:dyDescent="0.15">
      <c r="A538" s="56"/>
      <c r="B538" s="56"/>
      <c r="K538" s="56"/>
      <c r="L538" s="56"/>
      <c r="O538" s="56"/>
    </row>
    <row r="539" spans="1:15" ht="13" x14ac:dyDescent="0.15">
      <c r="A539" s="56"/>
      <c r="B539" s="56"/>
      <c r="K539" s="56"/>
      <c r="L539" s="56"/>
      <c r="O539" s="56"/>
    </row>
    <row r="540" spans="1:15" ht="13" x14ac:dyDescent="0.15">
      <c r="A540" s="56"/>
      <c r="B540" s="56"/>
      <c r="K540" s="56"/>
      <c r="L540" s="56"/>
      <c r="O540" s="56"/>
    </row>
    <row r="541" spans="1:15" ht="13" x14ac:dyDescent="0.15">
      <c r="A541" s="56"/>
      <c r="B541" s="56"/>
      <c r="K541" s="56"/>
      <c r="L541" s="56"/>
      <c r="O541" s="56"/>
    </row>
    <row r="542" spans="1:15" ht="13" x14ac:dyDescent="0.15">
      <c r="A542" s="56"/>
      <c r="B542" s="56"/>
      <c r="K542" s="56"/>
      <c r="L542" s="56"/>
      <c r="O542" s="56"/>
    </row>
    <row r="543" spans="1:15" ht="13" x14ac:dyDescent="0.15">
      <c r="A543" s="56"/>
      <c r="B543" s="56"/>
      <c r="K543" s="56"/>
      <c r="L543" s="56"/>
      <c r="O543" s="56"/>
    </row>
    <row r="544" spans="1:15" ht="13" x14ac:dyDescent="0.15">
      <c r="A544" s="56"/>
      <c r="B544" s="56"/>
      <c r="K544" s="56"/>
      <c r="L544" s="56"/>
      <c r="O544" s="56"/>
    </row>
    <row r="545" spans="1:15" ht="13" x14ac:dyDescent="0.15">
      <c r="A545" s="56"/>
      <c r="B545" s="56"/>
      <c r="K545" s="56"/>
      <c r="L545" s="56"/>
      <c r="O545" s="56"/>
    </row>
    <row r="546" spans="1:15" ht="13" x14ac:dyDescent="0.15">
      <c r="A546" s="56"/>
      <c r="B546" s="56"/>
      <c r="K546" s="56"/>
      <c r="L546" s="56"/>
      <c r="O546" s="56"/>
    </row>
    <row r="547" spans="1:15" ht="13" x14ac:dyDescent="0.15">
      <c r="A547" s="56"/>
      <c r="B547" s="56"/>
      <c r="K547" s="56"/>
      <c r="L547" s="56"/>
      <c r="O547" s="56"/>
    </row>
    <row r="548" spans="1:15" ht="13" x14ac:dyDescent="0.15">
      <c r="A548" s="56"/>
      <c r="B548" s="56"/>
      <c r="K548" s="56"/>
      <c r="L548" s="56"/>
      <c r="O548" s="56"/>
    </row>
    <row r="549" spans="1:15" ht="13" x14ac:dyDescent="0.15">
      <c r="A549" s="56"/>
      <c r="B549" s="56"/>
      <c r="K549" s="56"/>
      <c r="L549" s="56"/>
      <c r="O549" s="56"/>
    </row>
    <row r="550" spans="1:15" ht="13" x14ac:dyDescent="0.15">
      <c r="A550" s="56"/>
      <c r="B550" s="56"/>
      <c r="K550" s="56"/>
      <c r="L550" s="56"/>
      <c r="O550" s="56"/>
    </row>
    <row r="551" spans="1:15" ht="13" x14ac:dyDescent="0.15">
      <c r="A551" s="56"/>
      <c r="B551" s="56"/>
      <c r="K551" s="56"/>
      <c r="L551" s="56"/>
      <c r="O551" s="56"/>
    </row>
    <row r="552" spans="1:15" ht="13" x14ac:dyDescent="0.15">
      <c r="A552" s="56"/>
      <c r="B552" s="56"/>
      <c r="K552" s="56"/>
      <c r="L552" s="56"/>
      <c r="O552" s="56"/>
    </row>
    <row r="553" spans="1:15" ht="13" x14ac:dyDescent="0.15">
      <c r="A553" s="56"/>
      <c r="B553" s="56"/>
      <c r="K553" s="56"/>
      <c r="L553" s="56"/>
      <c r="O553" s="56"/>
    </row>
    <row r="554" spans="1:15" ht="13" x14ac:dyDescent="0.15">
      <c r="A554" s="56"/>
      <c r="B554" s="56"/>
      <c r="K554" s="56"/>
      <c r="L554" s="56"/>
      <c r="O554" s="56"/>
    </row>
    <row r="555" spans="1:15" ht="13" x14ac:dyDescent="0.15">
      <c r="A555" s="56"/>
      <c r="B555" s="56"/>
      <c r="K555" s="56"/>
      <c r="L555" s="56"/>
      <c r="O555" s="56"/>
    </row>
    <row r="556" spans="1:15" ht="13" x14ac:dyDescent="0.15">
      <c r="A556" s="56"/>
      <c r="B556" s="56"/>
      <c r="K556" s="56"/>
      <c r="L556" s="56"/>
      <c r="O556" s="56"/>
    </row>
    <row r="557" spans="1:15" ht="13" x14ac:dyDescent="0.15">
      <c r="A557" s="56"/>
      <c r="B557" s="56"/>
      <c r="K557" s="56"/>
      <c r="L557" s="56"/>
      <c r="O557" s="56"/>
    </row>
    <row r="558" spans="1:15" ht="13" x14ac:dyDescent="0.15">
      <c r="A558" s="56"/>
      <c r="B558" s="56"/>
      <c r="K558" s="56"/>
      <c r="L558" s="56"/>
      <c r="O558" s="56"/>
    </row>
    <row r="559" spans="1:15" ht="13" x14ac:dyDescent="0.15">
      <c r="A559" s="56"/>
      <c r="B559" s="56"/>
      <c r="K559" s="56"/>
      <c r="L559" s="56"/>
      <c r="O559" s="56"/>
    </row>
    <row r="560" spans="1:15" ht="13" x14ac:dyDescent="0.15">
      <c r="A560" s="56"/>
      <c r="B560" s="56"/>
      <c r="K560" s="56"/>
      <c r="L560" s="56"/>
      <c r="O560" s="56"/>
    </row>
    <row r="561" spans="1:15" ht="13" x14ac:dyDescent="0.15">
      <c r="A561" s="56"/>
      <c r="B561" s="56"/>
      <c r="K561" s="56"/>
      <c r="L561" s="56"/>
      <c r="O561" s="56"/>
    </row>
    <row r="562" spans="1:15" ht="13" x14ac:dyDescent="0.15">
      <c r="A562" s="56"/>
      <c r="B562" s="56"/>
      <c r="K562" s="56"/>
      <c r="L562" s="56"/>
      <c r="O562" s="56"/>
    </row>
    <row r="563" spans="1:15" ht="13" x14ac:dyDescent="0.15">
      <c r="A563" s="56"/>
      <c r="B563" s="56"/>
      <c r="K563" s="56"/>
      <c r="L563" s="56"/>
      <c r="O563" s="56"/>
    </row>
    <row r="564" spans="1:15" ht="13" x14ac:dyDescent="0.15">
      <c r="A564" s="56"/>
      <c r="B564" s="56"/>
      <c r="K564" s="56"/>
      <c r="L564" s="56"/>
      <c r="O564" s="56"/>
    </row>
    <row r="565" spans="1:15" ht="13" x14ac:dyDescent="0.15">
      <c r="A565" s="56"/>
      <c r="B565" s="56"/>
      <c r="K565" s="56"/>
      <c r="L565" s="56"/>
      <c r="O565" s="56"/>
    </row>
    <row r="566" spans="1:15" ht="13" x14ac:dyDescent="0.15">
      <c r="A566" s="56"/>
      <c r="B566" s="56"/>
      <c r="K566" s="56"/>
      <c r="L566" s="56"/>
      <c r="O566" s="56"/>
    </row>
    <row r="567" spans="1:15" ht="13" x14ac:dyDescent="0.15">
      <c r="A567" s="56"/>
      <c r="B567" s="56"/>
      <c r="K567" s="56"/>
      <c r="L567" s="56"/>
      <c r="O567" s="56"/>
    </row>
    <row r="568" spans="1:15" ht="13" x14ac:dyDescent="0.15">
      <c r="A568" s="56"/>
      <c r="B568" s="56"/>
      <c r="K568" s="56"/>
      <c r="L568" s="56"/>
      <c r="O568" s="56"/>
    </row>
    <row r="569" spans="1:15" ht="13" x14ac:dyDescent="0.15">
      <c r="A569" s="56"/>
      <c r="B569" s="56"/>
      <c r="K569" s="56"/>
      <c r="L569" s="56"/>
      <c r="O569" s="56"/>
    </row>
    <row r="570" spans="1:15" ht="13" x14ac:dyDescent="0.15">
      <c r="A570" s="56"/>
      <c r="B570" s="56"/>
      <c r="K570" s="56"/>
      <c r="L570" s="56"/>
      <c r="O570" s="56"/>
    </row>
    <row r="571" spans="1:15" ht="13" x14ac:dyDescent="0.15">
      <c r="A571" s="56"/>
      <c r="B571" s="56"/>
      <c r="K571" s="56"/>
      <c r="L571" s="56"/>
      <c r="O571" s="56"/>
    </row>
    <row r="572" spans="1:15" ht="13" x14ac:dyDescent="0.15">
      <c r="A572" s="56"/>
      <c r="B572" s="56"/>
      <c r="K572" s="56"/>
      <c r="L572" s="56"/>
      <c r="O572" s="56"/>
    </row>
    <row r="573" spans="1:15" ht="13" x14ac:dyDescent="0.15">
      <c r="A573" s="56"/>
      <c r="B573" s="56"/>
      <c r="K573" s="56"/>
      <c r="L573" s="56"/>
      <c r="O573" s="56"/>
    </row>
    <row r="574" spans="1:15" ht="13" x14ac:dyDescent="0.15">
      <c r="A574" s="56"/>
      <c r="B574" s="56"/>
      <c r="K574" s="56"/>
      <c r="L574" s="56"/>
      <c r="O574" s="56"/>
    </row>
    <row r="575" spans="1:15" ht="13" x14ac:dyDescent="0.15">
      <c r="A575" s="56"/>
      <c r="B575" s="56"/>
      <c r="K575" s="56"/>
      <c r="L575" s="56"/>
      <c r="O575" s="56"/>
    </row>
    <row r="576" spans="1:15" ht="13" x14ac:dyDescent="0.15">
      <c r="A576" s="56"/>
      <c r="B576" s="56"/>
      <c r="K576" s="56"/>
      <c r="L576" s="56"/>
      <c r="O576" s="56"/>
    </row>
    <row r="577" spans="1:15" ht="13" x14ac:dyDescent="0.15">
      <c r="A577" s="56"/>
      <c r="B577" s="56"/>
      <c r="K577" s="56"/>
      <c r="L577" s="56"/>
      <c r="O577" s="56"/>
    </row>
    <row r="578" spans="1:15" ht="13" x14ac:dyDescent="0.15">
      <c r="A578" s="56"/>
      <c r="B578" s="56"/>
      <c r="K578" s="56"/>
      <c r="L578" s="56"/>
      <c r="O578" s="56"/>
    </row>
    <row r="579" spans="1:15" ht="13" x14ac:dyDescent="0.15">
      <c r="A579" s="56"/>
      <c r="B579" s="56"/>
      <c r="K579" s="56"/>
      <c r="L579" s="56"/>
      <c r="O579" s="56"/>
    </row>
    <row r="580" spans="1:15" ht="13" x14ac:dyDescent="0.15">
      <c r="A580" s="56"/>
      <c r="B580" s="56"/>
      <c r="K580" s="56"/>
      <c r="L580" s="56"/>
      <c r="O580" s="56"/>
    </row>
    <row r="581" spans="1:15" ht="13" x14ac:dyDescent="0.15">
      <c r="A581" s="56"/>
      <c r="B581" s="56"/>
      <c r="K581" s="56"/>
      <c r="L581" s="56"/>
      <c r="O581" s="56"/>
    </row>
    <row r="582" spans="1:15" ht="13" x14ac:dyDescent="0.15">
      <c r="A582" s="56"/>
      <c r="B582" s="56"/>
      <c r="K582" s="56"/>
      <c r="L582" s="56"/>
      <c r="O582" s="56"/>
    </row>
    <row r="583" spans="1:15" ht="13" x14ac:dyDescent="0.15">
      <c r="A583" s="56"/>
      <c r="B583" s="56"/>
      <c r="K583" s="56"/>
      <c r="L583" s="56"/>
      <c r="O583" s="56"/>
    </row>
    <row r="584" spans="1:15" ht="13" x14ac:dyDescent="0.15">
      <c r="A584" s="56"/>
      <c r="B584" s="56"/>
      <c r="K584" s="56"/>
      <c r="L584" s="56"/>
      <c r="O584" s="56"/>
    </row>
    <row r="585" spans="1:15" ht="13" x14ac:dyDescent="0.15">
      <c r="A585" s="56"/>
      <c r="B585" s="56"/>
      <c r="K585" s="56"/>
      <c r="L585" s="56"/>
      <c r="O585" s="56"/>
    </row>
    <row r="586" spans="1:15" ht="13" x14ac:dyDescent="0.15">
      <c r="A586" s="56"/>
      <c r="B586" s="56"/>
      <c r="K586" s="56"/>
      <c r="L586" s="56"/>
      <c r="O586" s="56"/>
    </row>
    <row r="587" spans="1:15" ht="13" x14ac:dyDescent="0.15">
      <c r="A587" s="56"/>
      <c r="B587" s="56"/>
      <c r="K587" s="56"/>
      <c r="L587" s="56"/>
      <c r="O587" s="56"/>
    </row>
    <row r="588" spans="1:15" ht="13" x14ac:dyDescent="0.15">
      <c r="A588" s="56"/>
      <c r="B588" s="56"/>
      <c r="K588" s="56"/>
      <c r="L588" s="56"/>
      <c r="O588" s="56"/>
    </row>
    <row r="589" spans="1:15" ht="13" x14ac:dyDescent="0.15">
      <c r="A589" s="56"/>
      <c r="B589" s="56"/>
      <c r="K589" s="56"/>
      <c r="L589" s="56"/>
      <c r="O589" s="56"/>
    </row>
    <row r="590" spans="1:15" ht="13" x14ac:dyDescent="0.15">
      <c r="A590" s="56"/>
      <c r="B590" s="56"/>
      <c r="K590" s="56"/>
      <c r="L590" s="56"/>
      <c r="O590" s="56"/>
    </row>
    <row r="591" spans="1:15" ht="13" x14ac:dyDescent="0.15">
      <c r="A591" s="56"/>
      <c r="B591" s="56"/>
      <c r="K591" s="56"/>
      <c r="L591" s="56"/>
      <c r="O591" s="56"/>
    </row>
    <row r="592" spans="1:15" ht="13" x14ac:dyDescent="0.15">
      <c r="A592" s="56"/>
      <c r="B592" s="56"/>
      <c r="K592" s="56"/>
      <c r="L592" s="56"/>
      <c r="O592" s="56"/>
    </row>
    <row r="593" spans="1:15" ht="13" x14ac:dyDescent="0.15">
      <c r="A593" s="56"/>
      <c r="B593" s="56"/>
      <c r="K593" s="56"/>
      <c r="L593" s="56"/>
      <c r="O593" s="56"/>
    </row>
    <row r="594" spans="1:15" ht="13" x14ac:dyDescent="0.15">
      <c r="A594" s="56"/>
      <c r="B594" s="56"/>
      <c r="K594" s="56"/>
      <c r="L594" s="56"/>
      <c r="O594" s="56"/>
    </row>
    <row r="595" spans="1:15" ht="13" x14ac:dyDescent="0.15">
      <c r="A595" s="56"/>
      <c r="B595" s="56"/>
      <c r="K595" s="56"/>
      <c r="L595" s="56"/>
      <c r="O595" s="56"/>
    </row>
    <row r="596" spans="1:15" ht="13" x14ac:dyDescent="0.15">
      <c r="A596" s="56"/>
      <c r="B596" s="56"/>
      <c r="K596" s="56"/>
      <c r="L596" s="56"/>
      <c r="O596" s="56"/>
    </row>
    <row r="597" spans="1:15" ht="13" x14ac:dyDescent="0.15">
      <c r="A597" s="56"/>
      <c r="B597" s="56"/>
      <c r="K597" s="56"/>
      <c r="L597" s="56"/>
      <c r="O597" s="56"/>
    </row>
    <row r="598" spans="1:15" ht="13" x14ac:dyDescent="0.15">
      <c r="A598" s="56"/>
      <c r="B598" s="56"/>
      <c r="K598" s="56"/>
      <c r="L598" s="56"/>
      <c r="O598" s="56"/>
    </row>
    <row r="599" spans="1:15" ht="13" x14ac:dyDescent="0.15">
      <c r="A599" s="56"/>
      <c r="B599" s="56"/>
      <c r="K599" s="56"/>
      <c r="L599" s="56"/>
      <c r="O599" s="56"/>
    </row>
    <row r="600" spans="1:15" ht="13" x14ac:dyDescent="0.15">
      <c r="A600" s="56"/>
      <c r="B600" s="56"/>
      <c r="K600" s="56"/>
      <c r="L600" s="56"/>
      <c r="O600" s="56"/>
    </row>
    <row r="601" spans="1:15" ht="13" x14ac:dyDescent="0.15">
      <c r="A601" s="56"/>
      <c r="B601" s="56"/>
      <c r="K601" s="56"/>
      <c r="L601" s="56"/>
      <c r="O601" s="56"/>
    </row>
    <row r="602" spans="1:15" ht="13" x14ac:dyDescent="0.15">
      <c r="A602" s="56"/>
      <c r="B602" s="56"/>
      <c r="K602" s="56"/>
      <c r="L602" s="56"/>
      <c r="O602" s="56"/>
    </row>
    <row r="603" spans="1:15" ht="13" x14ac:dyDescent="0.15">
      <c r="A603" s="56"/>
      <c r="B603" s="56"/>
      <c r="K603" s="56"/>
      <c r="L603" s="56"/>
      <c r="O603" s="56"/>
    </row>
    <row r="604" spans="1:15" ht="13" x14ac:dyDescent="0.15">
      <c r="A604" s="56"/>
      <c r="B604" s="56"/>
      <c r="K604" s="56"/>
      <c r="L604" s="56"/>
      <c r="O604" s="56"/>
    </row>
    <row r="605" spans="1:15" ht="13" x14ac:dyDescent="0.15">
      <c r="A605" s="56"/>
      <c r="B605" s="56"/>
      <c r="K605" s="56"/>
      <c r="L605" s="56"/>
      <c r="O605" s="56"/>
    </row>
    <row r="606" spans="1:15" ht="13" x14ac:dyDescent="0.15">
      <c r="A606" s="56"/>
      <c r="B606" s="56"/>
      <c r="K606" s="56"/>
      <c r="L606" s="56"/>
      <c r="O606" s="56"/>
    </row>
    <row r="607" spans="1:15" ht="13" x14ac:dyDescent="0.15">
      <c r="A607" s="56"/>
      <c r="B607" s="56"/>
      <c r="K607" s="56"/>
      <c r="L607" s="56"/>
      <c r="O607" s="56"/>
    </row>
    <row r="608" spans="1:15" ht="13" x14ac:dyDescent="0.15">
      <c r="A608" s="56"/>
      <c r="B608" s="56"/>
      <c r="K608" s="56"/>
      <c r="L608" s="56"/>
      <c r="O608" s="56"/>
    </row>
    <row r="609" spans="1:15" ht="13" x14ac:dyDescent="0.15">
      <c r="A609" s="56"/>
      <c r="B609" s="56"/>
      <c r="K609" s="56"/>
      <c r="L609" s="56"/>
      <c r="O609" s="56"/>
    </row>
    <row r="610" spans="1:15" ht="13" x14ac:dyDescent="0.15">
      <c r="A610" s="56"/>
      <c r="B610" s="56"/>
      <c r="K610" s="56"/>
      <c r="L610" s="56"/>
      <c r="O610" s="56"/>
    </row>
    <row r="611" spans="1:15" ht="13" x14ac:dyDescent="0.15">
      <c r="A611" s="56"/>
      <c r="B611" s="56"/>
      <c r="K611" s="56"/>
      <c r="L611" s="56"/>
      <c r="O611" s="56"/>
    </row>
    <row r="612" spans="1:15" ht="13" x14ac:dyDescent="0.15">
      <c r="A612" s="56"/>
      <c r="B612" s="56"/>
      <c r="K612" s="56"/>
      <c r="L612" s="56"/>
      <c r="O612" s="56"/>
    </row>
    <row r="613" spans="1:15" ht="13" x14ac:dyDescent="0.15">
      <c r="A613" s="56"/>
      <c r="B613" s="56"/>
      <c r="K613" s="56"/>
      <c r="L613" s="56"/>
      <c r="O613" s="56"/>
    </row>
    <row r="614" spans="1:15" ht="13" x14ac:dyDescent="0.15">
      <c r="A614" s="56"/>
      <c r="B614" s="56"/>
      <c r="K614" s="56"/>
      <c r="L614" s="56"/>
      <c r="O614" s="56"/>
    </row>
    <row r="615" spans="1:15" ht="13" x14ac:dyDescent="0.15">
      <c r="A615" s="56"/>
      <c r="B615" s="56"/>
      <c r="K615" s="56"/>
      <c r="L615" s="56"/>
      <c r="O615" s="56"/>
    </row>
    <row r="616" spans="1:15" ht="13" x14ac:dyDescent="0.15">
      <c r="A616" s="56"/>
      <c r="B616" s="56"/>
      <c r="K616" s="56"/>
      <c r="L616" s="56"/>
      <c r="O616" s="56"/>
    </row>
    <row r="617" spans="1:15" ht="13" x14ac:dyDescent="0.15">
      <c r="A617" s="56"/>
      <c r="B617" s="56"/>
      <c r="K617" s="56"/>
      <c r="L617" s="56"/>
      <c r="O617" s="56"/>
    </row>
    <row r="618" spans="1:15" ht="13" x14ac:dyDescent="0.15">
      <c r="A618" s="56"/>
      <c r="B618" s="56"/>
      <c r="K618" s="56"/>
      <c r="L618" s="56"/>
      <c r="O618" s="56"/>
    </row>
    <row r="619" spans="1:15" ht="13" x14ac:dyDescent="0.15">
      <c r="A619" s="56"/>
      <c r="B619" s="56"/>
      <c r="K619" s="56"/>
      <c r="L619" s="56"/>
      <c r="O619" s="56"/>
    </row>
    <row r="620" spans="1:15" ht="13" x14ac:dyDescent="0.15">
      <c r="A620" s="56"/>
      <c r="B620" s="56"/>
      <c r="K620" s="56"/>
      <c r="L620" s="56"/>
      <c r="O620" s="56"/>
    </row>
    <row r="621" spans="1:15" ht="13" x14ac:dyDescent="0.15">
      <c r="A621" s="56"/>
      <c r="B621" s="56"/>
      <c r="K621" s="56"/>
      <c r="L621" s="56"/>
      <c r="O621" s="56"/>
    </row>
    <row r="622" spans="1:15" ht="13" x14ac:dyDescent="0.15">
      <c r="A622" s="56"/>
      <c r="B622" s="56"/>
      <c r="K622" s="56"/>
      <c r="L622" s="56"/>
      <c r="O622" s="56"/>
    </row>
    <row r="623" spans="1:15" ht="13" x14ac:dyDescent="0.15">
      <c r="A623" s="56"/>
      <c r="B623" s="56"/>
      <c r="K623" s="56"/>
      <c r="L623" s="56"/>
      <c r="O623" s="56"/>
    </row>
    <row r="624" spans="1:15" ht="13" x14ac:dyDescent="0.15">
      <c r="A624" s="56"/>
      <c r="B624" s="56"/>
      <c r="K624" s="56"/>
      <c r="L624" s="56"/>
      <c r="O624" s="56"/>
    </row>
    <row r="625" spans="1:15" ht="13" x14ac:dyDescent="0.15">
      <c r="A625" s="56"/>
      <c r="B625" s="56"/>
      <c r="K625" s="56"/>
      <c r="L625" s="56"/>
      <c r="O625" s="56"/>
    </row>
    <row r="626" spans="1:15" ht="13" x14ac:dyDescent="0.15">
      <c r="A626" s="56"/>
      <c r="B626" s="56"/>
      <c r="K626" s="56"/>
      <c r="L626" s="56"/>
      <c r="O626" s="56"/>
    </row>
    <row r="627" spans="1:15" ht="13" x14ac:dyDescent="0.15">
      <c r="A627" s="56"/>
      <c r="B627" s="56"/>
      <c r="K627" s="56"/>
      <c r="L627" s="56"/>
      <c r="O627" s="56"/>
    </row>
    <row r="628" spans="1:15" ht="13" x14ac:dyDescent="0.15">
      <c r="A628" s="56"/>
      <c r="B628" s="56"/>
      <c r="K628" s="56"/>
      <c r="L628" s="56"/>
      <c r="O628" s="56"/>
    </row>
    <row r="629" spans="1:15" ht="13" x14ac:dyDescent="0.15">
      <c r="A629" s="56"/>
      <c r="B629" s="56"/>
      <c r="K629" s="56"/>
      <c r="L629" s="56"/>
      <c r="O629" s="56"/>
    </row>
    <row r="630" spans="1:15" ht="13" x14ac:dyDescent="0.15">
      <c r="A630" s="56"/>
      <c r="B630" s="56"/>
      <c r="K630" s="56"/>
      <c r="L630" s="56"/>
      <c r="O630" s="56"/>
    </row>
    <row r="631" spans="1:15" ht="13" x14ac:dyDescent="0.15">
      <c r="A631" s="56"/>
      <c r="B631" s="56"/>
      <c r="K631" s="56"/>
      <c r="L631" s="56"/>
      <c r="O631" s="56"/>
    </row>
    <row r="632" spans="1:15" ht="13" x14ac:dyDescent="0.15">
      <c r="A632" s="56"/>
      <c r="B632" s="56"/>
      <c r="K632" s="56"/>
      <c r="L632" s="56"/>
      <c r="O632" s="56"/>
    </row>
    <row r="633" spans="1:15" ht="13" x14ac:dyDescent="0.15">
      <c r="A633" s="56"/>
      <c r="B633" s="56"/>
      <c r="K633" s="56"/>
      <c r="L633" s="56"/>
      <c r="O633" s="56"/>
    </row>
    <row r="634" spans="1:15" ht="13" x14ac:dyDescent="0.15">
      <c r="A634" s="56"/>
      <c r="B634" s="56"/>
      <c r="K634" s="56"/>
      <c r="L634" s="56"/>
      <c r="O634" s="56"/>
    </row>
    <row r="635" spans="1:15" ht="13" x14ac:dyDescent="0.15">
      <c r="A635" s="56"/>
      <c r="B635" s="56"/>
      <c r="K635" s="56"/>
      <c r="L635" s="56"/>
      <c r="O635" s="56"/>
    </row>
    <row r="636" spans="1:15" ht="13" x14ac:dyDescent="0.15">
      <c r="A636" s="56"/>
      <c r="B636" s="56"/>
      <c r="K636" s="56"/>
      <c r="L636" s="56"/>
      <c r="O636" s="56"/>
    </row>
    <row r="637" spans="1:15" ht="13" x14ac:dyDescent="0.15">
      <c r="A637" s="56"/>
      <c r="B637" s="56"/>
      <c r="K637" s="56"/>
      <c r="L637" s="56"/>
      <c r="O637" s="56"/>
    </row>
    <row r="638" spans="1:15" ht="13" x14ac:dyDescent="0.15">
      <c r="A638" s="56"/>
      <c r="B638" s="56"/>
      <c r="K638" s="56"/>
      <c r="L638" s="56"/>
      <c r="O638" s="56"/>
    </row>
    <row r="639" spans="1:15" ht="13" x14ac:dyDescent="0.15">
      <c r="A639" s="56"/>
      <c r="B639" s="56"/>
      <c r="K639" s="56"/>
      <c r="L639" s="56"/>
      <c r="O639" s="56"/>
    </row>
    <row r="640" spans="1:15" ht="13" x14ac:dyDescent="0.15">
      <c r="A640" s="56"/>
      <c r="B640" s="56"/>
      <c r="K640" s="56"/>
      <c r="L640" s="56"/>
      <c r="O640" s="56"/>
    </row>
    <row r="641" spans="1:15" ht="13" x14ac:dyDescent="0.15">
      <c r="A641" s="56"/>
      <c r="B641" s="56"/>
      <c r="K641" s="56"/>
      <c r="L641" s="56"/>
      <c r="O641" s="56"/>
    </row>
    <row r="642" spans="1:15" ht="13" x14ac:dyDescent="0.15">
      <c r="A642" s="56"/>
      <c r="B642" s="56"/>
      <c r="K642" s="56"/>
      <c r="L642" s="56"/>
      <c r="O642" s="56"/>
    </row>
    <row r="643" spans="1:15" ht="13" x14ac:dyDescent="0.15">
      <c r="A643" s="56"/>
      <c r="B643" s="56"/>
      <c r="K643" s="56"/>
      <c r="L643" s="56"/>
      <c r="O643" s="56"/>
    </row>
    <row r="644" spans="1:15" ht="13" x14ac:dyDescent="0.15">
      <c r="A644" s="56"/>
      <c r="B644" s="56"/>
      <c r="K644" s="56"/>
      <c r="L644" s="56"/>
      <c r="O644" s="56"/>
    </row>
    <row r="645" spans="1:15" ht="13" x14ac:dyDescent="0.15">
      <c r="A645" s="56"/>
      <c r="B645" s="56"/>
      <c r="K645" s="56"/>
      <c r="L645" s="56"/>
      <c r="O645" s="56"/>
    </row>
    <row r="646" spans="1:15" ht="13" x14ac:dyDescent="0.15">
      <c r="A646" s="56"/>
      <c r="B646" s="56"/>
      <c r="K646" s="56"/>
      <c r="L646" s="56"/>
      <c r="O646" s="56"/>
    </row>
    <row r="647" spans="1:15" ht="13" x14ac:dyDescent="0.15">
      <c r="A647" s="56"/>
      <c r="B647" s="56"/>
      <c r="K647" s="56"/>
      <c r="L647" s="56"/>
      <c r="O647" s="56"/>
    </row>
    <row r="648" spans="1:15" ht="13" x14ac:dyDescent="0.15">
      <c r="A648" s="56"/>
      <c r="B648" s="56"/>
      <c r="K648" s="56"/>
      <c r="L648" s="56"/>
      <c r="O648" s="56"/>
    </row>
    <row r="649" spans="1:15" ht="13" x14ac:dyDescent="0.15">
      <c r="A649" s="56"/>
      <c r="B649" s="56"/>
      <c r="K649" s="56"/>
      <c r="L649" s="56"/>
      <c r="O649" s="56"/>
    </row>
    <row r="650" spans="1:15" ht="13" x14ac:dyDescent="0.15">
      <c r="A650" s="56"/>
      <c r="B650" s="56"/>
      <c r="K650" s="56"/>
      <c r="L650" s="56"/>
      <c r="O650" s="56"/>
    </row>
    <row r="651" spans="1:15" ht="13" x14ac:dyDescent="0.15">
      <c r="A651" s="56"/>
      <c r="B651" s="56"/>
      <c r="K651" s="56"/>
      <c r="L651" s="56"/>
      <c r="O651" s="56"/>
    </row>
    <row r="652" spans="1:15" ht="13" x14ac:dyDescent="0.15">
      <c r="A652" s="56"/>
      <c r="B652" s="56"/>
      <c r="K652" s="56"/>
      <c r="L652" s="56"/>
      <c r="O652" s="56"/>
    </row>
    <row r="653" spans="1:15" ht="13" x14ac:dyDescent="0.15">
      <c r="A653" s="56"/>
      <c r="B653" s="56"/>
      <c r="K653" s="56"/>
      <c r="L653" s="56"/>
      <c r="O653" s="56"/>
    </row>
    <row r="654" spans="1:15" ht="13" x14ac:dyDescent="0.15">
      <c r="A654" s="56"/>
      <c r="B654" s="56"/>
      <c r="K654" s="56"/>
      <c r="L654" s="56"/>
      <c r="O654" s="56"/>
    </row>
    <row r="655" spans="1:15" ht="13" x14ac:dyDescent="0.15">
      <c r="A655" s="56"/>
      <c r="B655" s="56"/>
      <c r="K655" s="56"/>
      <c r="L655" s="56"/>
      <c r="O655" s="56"/>
    </row>
    <row r="656" spans="1:15" ht="13" x14ac:dyDescent="0.15">
      <c r="A656" s="56"/>
      <c r="B656" s="56"/>
      <c r="K656" s="56"/>
      <c r="L656" s="56"/>
      <c r="O656" s="56"/>
    </row>
    <row r="657" spans="1:15" ht="13" x14ac:dyDescent="0.15">
      <c r="A657" s="56"/>
      <c r="B657" s="56"/>
      <c r="K657" s="56"/>
      <c r="L657" s="56"/>
      <c r="O657" s="56"/>
    </row>
    <row r="658" spans="1:15" ht="13" x14ac:dyDescent="0.15">
      <c r="A658" s="56"/>
      <c r="B658" s="56"/>
      <c r="K658" s="56"/>
      <c r="L658" s="56"/>
      <c r="O658" s="56"/>
    </row>
    <row r="659" spans="1:15" ht="13" x14ac:dyDescent="0.15">
      <c r="A659" s="56"/>
      <c r="B659" s="56"/>
      <c r="K659" s="56"/>
      <c r="L659" s="56"/>
      <c r="O659" s="56"/>
    </row>
    <row r="660" spans="1:15" ht="13" x14ac:dyDescent="0.15">
      <c r="A660" s="56"/>
      <c r="B660" s="56"/>
      <c r="K660" s="56"/>
      <c r="L660" s="56"/>
      <c r="O660" s="56"/>
    </row>
    <row r="661" spans="1:15" ht="13" x14ac:dyDescent="0.15">
      <c r="A661" s="56"/>
      <c r="B661" s="56"/>
      <c r="K661" s="56"/>
      <c r="L661" s="56"/>
      <c r="O661" s="56"/>
    </row>
    <row r="662" spans="1:15" ht="13" x14ac:dyDescent="0.15">
      <c r="A662" s="56"/>
      <c r="B662" s="56"/>
      <c r="K662" s="56"/>
      <c r="L662" s="56"/>
      <c r="O662" s="56"/>
    </row>
    <row r="663" spans="1:15" ht="13" x14ac:dyDescent="0.15">
      <c r="A663" s="56"/>
      <c r="B663" s="56"/>
      <c r="K663" s="56"/>
      <c r="L663" s="56"/>
      <c r="O663" s="56"/>
    </row>
    <row r="664" spans="1:15" ht="13" x14ac:dyDescent="0.15">
      <c r="A664" s="56"/>
      <c r="B664" s="56"/>
      <c r="K664" s="56"/>
      <c r="L664" s="56"/>
      <c r="O664" s="56"/>
    </row>
    <row r="665" spans="1:15" ht="13" x14ac:dyDescent="0.15">
      <c r="A665" s="56"/>
      <c r="B665" s="56"/>
      <c r="K665" s="56"/>
      <c r="L665" s="56"/>
      <c r="O665" s="56"/>
    </row>
    <row r="666" spans="1:15" ht="13" x14ac:dyDescent="0.15">
      <c r="A666" s="56"/>
      <c r="B666" s="56"/>
      <c r="K666" s="56"/>
      <c r="L666" s="56"/>
      <c r="O666" s="56"/>
    </row>
    <row r="667" spans="1:15" ht="13" x14ac:dyDescent="0.15">
      <c r="A667" s="56"/>
      <c r="B667" s="56"/>
      <c r="K667" s="56"/>
      <c r="L667" s="56"/>
      <c r="O667" s="56"/>
    </row>
    <row r="668" spans="1:15" ht="13" x14ac:dyDescent="0.15">
      <c r="A668" s="56"/>
      <c r="B668" s="56"/>
      <c r="K668" s="56"/>
      <c r="L668" s="56"/>
      <c r="O668" s="56"/>
    </row>
    <row r="669" spans="1:15" ht="13" x14ac:dyDescent="0.15">
      <c r="A669" s="56"/>
      <c r="B669" s="56"/>
      <c r="K669" s="56"/>
      <c r="L669" s="56"/>
      <c r="O669" s="56"/>
    </row>
    <row r="670" spans="1:15" ht="13" x14ac:dyDescent="0.15">
      <c r="A670" s="56"/>
      <c r="B670" s="56"/>
      <c r="K670" s="56"/>
      <c r="L670" s="56"/>
      <c r="O670" s="56"/>
    </row>
    <row r="671" spans="1:15" ht="13" x14ac:dyDescent="0.15">
      <c r="A671" s="56"/>
      <c r="B671" s="56"/>
      <c r="K671" s="56"/>
      <c r="L671" s="56"/>
      <c r="O671" s="56"/>
    </row>
    <row r="672" spans="1:15" ht="13" x14ac:dyDescent="0.15">
      <c r="A672" s="56"/>
      <c r="B672" s="56"/>
      <c r="K672" s="56"/>
      <c r="L672" s="56"/>
      <c r="O672" s="56"/>
    </row>
    <row r="673" spans="1:15" ht="13" x14ac:dyDescent="0.15">
      <c r="A673" s="56"/>
      <c r="B673" s="56"/>
      <c r="K673" s="56"/>
      <c r="L673" s="56"/>
      <c r="O673" s="56"/>
    </row>
    <row r="674" spans="1:15" ht="13" x14ac:dyDescent="0.15">
      <c r="A674" s="56"/>
      <c r="B674" s="56"/>
      <c r="K674" s="56"/>
      <c r="L674" s="56"/>
      <c r="O674" s="56"/>
    </row>
    <row r="675" spans="1:15" ht="13" x14ac:dyDescent="0.15">
      <c r="A675" s="56"/>
      <c r="B675" s="56"/>
      <c r="K675" s="56"/>
      <c r="L675" s="56"/>
      <c r="O675" s="56"/>
    </row>
    <row r="676" spans="1:15" ht="13" x14ac:dyDescent="0.15">
      <c r="A676" s="56"/>
      <c r="B676" s="56"/>
      <c r="K676" s="56"/>
      <c r="L676" s="56"/>
      <c r="O676" s="56"/>
    </row>
    <row r="677" spans="1:15" ht="13" x14ac:dyDescent="0.15">
      <c r="A677" s="56"/>
      <c r="B677" s="56"/>
      <c r="K677" s="56"/>
      <c r="L677" s="56"/>
      <c r="O677" s="56"/>
    </row>
    <row r="678" spans="1:15" ht="13" x14ac:dyDescent="0.15">
      <c r="A678" s="56"/>
      <c r="B678" s="56"/>
      <c r="K678" s="56"/>
      <c r="L678" s="56"/>
      <c r="O678" s="56"/>
    </row>
    <row r="679" spans="1:15" ht="13" x14ac:dyDescent="0.15">
      <c r="A679" s="56"/>
      <c r="B679" s="56"/>
      <c r="K679" s="56"/>
      <c r="L679" s="56"/>
      <c r="O679" s="56"/>
    </row>
    <row r="680" spans="1:15" ht="13" x14ac:dyDescent="0.15">
      <c r="A680" s="56"/>
      <c r="B680" s="56"/>
      <c r="K680" s="56"/>
      <c r="L680" s="56"/>
      <c r="O680" s="56"/>
    </row>
    <row r="681" spans="1:15" ht="13" x14ac:dyDescent="0.15">
      <c r="A681" s="56"/>
      <c r="B681" s="56"/>
      <c r="K681" s="56"/>
      <c r="L681" s="56"/>
      <c r="O681" s="56"/>
    </row>
    <row r="682" spans="1:15" ht="13" x14ac:dyDescent="0.15">
      <c r="A682" s="56"/>
      <c r="B682" s="56"/>
      <c r="K682" s="56"/>
      <c r="L682" s="56"/>
      <c r="O682" s="56"/>
    </row>
    <row r="683" spans="1:15" ht="13" x14ac:dyDescent="0.15">
      <c r="A683" s="56"/>
      <c r="B683" s="56"/>
      <c r="K683" s="56"/>
      <c r="L683" s="56"/>
      <c r="O683" s="56"/>
    </row>
    <row r="684" spans="1:15" ht="13" x14ac:dyDescent="0.15">
      <c r="A684" s="56"/>
      <c r="B684" s="56"/>
      <c r="K684" s="56"/>
      <c r="L684" s="56"/>
      <c r="O684" s="56"/>
    </row>
    <row r="685" spans="1:15" ht="13" x14ac:dyDescent="0.15">
      <c r="A685" s="56"/>
      <c r="B685" s="56"/>
      <c r="K685" s="56"/>
      <c r="L685" s="56"/>
      <c r="O685" s="56"/>
    </row>
    <row r="686" spans="1:15" ht="13" x14ac:dyDescent="0.15">
      <c r="A686" s="56"/>
      <c r="B686" s="56"/>
      <c r="K686" s="56"/>
      <c r="L686" s="56"/>
      <c r="O686" s="56"/>
    </row>
    <row r="687" spans="1:15" ht="13" x14ac:dyDescent="0.15">
      <c r="A687" s="56"/>
      <c r="B687" s="56"/>
      <c r="K687" s="56"/>
      <c r="L687" s="56"/>
      <c r="O687" s="56"/>
    </row>
    <row r="688" spans="1:15" ht="13" x14ac:dyDescent="0.15">
      <c r="A688" s="56"/>
      <c r="B688" s="56"/>
      <c r="K688" s="56"/>
      <c r="L688" s="56"/>
      <c r="O688" s="56"/>
    </row>
    <row r="689" spans="1:15" ht="13" x14ac:dyDescent="0.15">
      <c r="A689" s="56"/>
      <c r="B689" s="56"/>
      <c r="K689" s="56"/>
      <c r="L689" s="56"/>
      <c r="O689" s="56"/>
    </row>
    <row r="690" spans="1:15" ht="13" x14ac:dyDescent="0.15">
      <c r="A690" s="56"/>
      <c r="B690" s="56"/>
      <c r="K690" s="56"/>
      <c r="L690" s="56"/>
      <c r="O690" s="56"/>
    </row>
    <row r="691" spans="1:15" ht="13" x14ac:dyDescent="0.15">
      <c r="A691" s="56"/>
      <c r="B691" s="56"/>
      <c r="K691" s="56"/>
      <c r="L691" s="56"/>
      <c r="O691" s="56"/>
    </row>
    <row r="692" spans="1:15" ht="13" x14ac:dyDescent="0.15">
      <c r="A692" s="56"/>
      <c r="B692" s="56"/>
      <c r="K692" s="56"/>
      <c r="L692" s="56"/>
      <c r="O692" s="56"/>
    </row>
    <row r="693" spans="1:15" ht="13" x14ac:dyDescent="0.15">
      <c r="A693" s="56"/>
      <c r="B693" s="56"/>
      <c r="K693" s="56"/>
      <c r="L693" s="56"/>
      <c r="O693" s="56"/>
    </row>
    <row r="694" spans="1:15" ht="13" x14ac:dyDescent="0.15">
      <c r="A694" s="56"/>
      <c r="B694" s="56"/>
      <c r="K694" s="56"/>
      <c r="L694" s="56"/>
      <c r="O694" s="56"/>
    </row>
    <row r="695" spans="1:15" ht="13" x14ac:dyDescent="0.15">
      <c r="A695" s="56"/>
      <c r="B695" s="56"/>
      <c r="K695" s="56"/>
      <c r="L695" s="56"/>
      <c r="O695" s="56"/>
    </row>
    <row r="696" spans="1:15" ht="13" x14ac:dyDescent="0.15">
      <c r="A696" s="56"/>
      <c r="B696" s="56"/>
      <c r="K696" s="56"/>
      <c r="L696" s="56"/>
      <c r="O696" s="56"/>
    </row>
    <row r="697" spans="1:15" ht="13" x14ac:dyDescent="0.15">
      <c r="A697" s="56"/>
      <c r="B697" s="56"/>
      <c r="K697" s="56"/>
      <c r="L697" s="56"/>
      <c r="O697" s="56"/>
    </row>
    <row r="698" spans="1:15" ht="13" x14ac:dyDescent="0.15">
      <c r="A698" s="56"/>
      <c r="B698" s="56"/>
      <c r="K698" s="56"/>
      <c r="L698" s="56"/>
      <c r="O698" s="56"/>
    </row>
    <row r="699" spans="1:15" ht="13" x14ac:dyDescent="0.15">
      <c r="A699" s="56"/>
      <c r="B699" s="56"/>
      <c r="K699" s="56"/>
      <c r="L699" s="56"/>
      <c r="O699" s="56"/>
    </row>
    <row r="700" spans="1:15" ht="13" x14ac:dyDescent="0.15">
      <c r="A700" s="56"/>
      <c r="B700" s="56"/>
      <c r="K700" s="56"/>
      <c r="L700" s="56"/>
      <c r="O700" s="56"/>
    </row>
    <row r="701" spans="1:15" ht="13" x14ac:dyDescent="0.15">
      <c r="A701" s="56"/>
      <c r="B701" s="56"/>
      <c r="K701" s="56"/>
      <c r="L701" s="56"/>
      <c r="O701" s="56"/>
    </row>
    <row r="702" spans="1:15" ht="13" x14ac:dyDescent="0.15">
      <c r="A702" s="56"/>
      <c r="B702" s="56"/>
      <c r="K702" s="56"/>
      <c r="L702" s="56"/>
      <c r="O702" s="56"/>
    </row>
    <row r="703" spans="1:15" ht="13" x14ac:dyDescent="0.15">
      <c r="A703" s="56"/>
      <c r="B703" s="56"/>
      <c r="K703" s="56"/>
      <c r="L703" s="56"/>
      <c r="O703" s="56"/>
    </row>
    <row r="704" spans="1:15" ht="13" x14ac:dyDescent="0.15">
      <c r="A704" s="56"/>
      <c r="B704" s="56"/>
      <c r="K704" s="56"/>
      <c r="L704" s="56"/>
      <c r="O704" s="56"/>
    </row>
    <row r="705" spans="1:15" ht="13" x14ac:dyDescent="0.15">
      <c r="A705" s="56"/>
      <c r="B705" s="56"/>
      <c r="K705" s="56"/>
      <c r="L705" s="56"/>
      <c r="O705" s="56"/>
    </row>
    <row r="706" spans="1:15" ht="13" x14ac:dyDescent="0.15">
      <c r="A706" s="56"/>
      <c r="B706" s="56"/>
      <c r="K706" s="56"/>
      <c r="L706" s="56"/>
      <c r="O706" s="56"/>
    </row>
    <row r="707" spans="1:15" ht="13" x14ac:dyDescent="0.15">
      <c r="A707" s="56"/>
      <c r="B707" s="56"/>
      <c r="K707" s="56"/>
      <c r="L707" s="56"/>
      <c r="O707" s="56"/>
    </row>
    <row r="708" spans="1:15" ht="13" x14ac:dyDescent="0.15">
      <c r="A708" s="56"/>
      <c r="B708" s="56"/>
      <c r="K708" s="56"/>
      <c r="L708" s="56"/>
      <c r="O708" s="56"/>
    </row>
    <row r="709" spans="1:15" ht="13" x14ac:dyDescent="0.15">
      <c r="A709" s="56"/>
      <c r="B709" s="56"/>
      <c r="K709" s="56"/>
      <c r="L709" s="56"/>
      <c r="O709" s="56"/>
    </row>
    <row r="710" spans="1:15" ht="13" x14ac:dyDescent="0.15">
      <c r="A710" s="56"/>
      <c r="B710" s="56"/>
      <c r="K710" s="56"/>
      <c r="L710" s="56"/>
      <c r="O710" s="56"/>
    </row>
    <row r="711" spans="1:15" ht="13" x14ac:dyDescent="0.15">
      <c r="A711" s="56"/>
      <c r="B711" s="56"/>
      <c r="K711" s="56"/>
      <c r="L711" s="56"/>
      <c r="O711" s="56"/>
    </row>
    <row r="712" spans="1:15" ht="13" x14ac:dyDescent="0.15">
      <c r="A712" s="56"/>
      <c r="B712" s="56"/>
      <c r="K712" s="56"/>
      <c r="L712" s="56"/>
      <c r="O712" s="56"/>
    </row>
    <row r="713" spans="1:15" ht="13" x14ac:dyDescent="0.15">
      <c r="A713" s="56"/>
      <c r="B713" s="56"/>
      <c r="K713" s="56"/>
      <c r="L713" s="56"/>
      <c r="O713" s="56"/>
    </row>
    <row r="714" spans="1:15" ht="13" x14ac:dyDescent="0.15">
      <c r="A714" s="56"/>
      <c r="B714" s="56"/>
      <c r="K714" s="56"/>
      <c r="L714" s="56"/>
      <c r="O714" s="56"/>
    </row>
    <row r="715" spans="1:15" ht="13" x14ac:dyDescent="0.15">
      <c r="A715" s="56"/>
      <c r="B715" s="56"/>
      <c r="K715" s="56"/>
      <c r="L715" s="56"/>
      <c r="O715" s="56"/>
    </row>
    <row r="716" spans="1:15" ht="13" x14ac:dyDescent="0.15">
      <c r="A716" s="56"/>
      <c r="B716" s="56"/>
      <c r="K716" s="56"/>
      <c r="L716" s="56"/>
      <c r="O716" s="56"/>
    </row>
    <row r="717" spans="1:15" ht="13" x14ac:dyDescent="0.15">
      <c r="A717" s="56"/>
      <c r="B717" s="56"/>
      <c r="K717" s="56"/>
      <c r="L717" s="56"/>
      <c r="O717" s="56"/>
    </row>
    <row r="718" spans="1:15" ht="13" x14ac:dyDescent="0.15">
      <c r="A718" s="56"/>
      <c r="B718" s="56"/>
      <c r="K718" s="56"/>
      <c r="L718" s="56"/>
      <c r="O718" s="56"/>
    </row>
    <row r="719" spans="1:15" ht="13" x14ac:dyDescent="0.15">
      <c r="A719" s="56"/>
      <c r="B719" s="56"/>
      <c r="K719" s="56"/>
      <c r="L719" s="56"/>
      <c r="O719" s="56"/>
    </row>
    <row r="720" spans="1:15" ht="13" x14ac:dyDescent="0.15">
      <c r="A720" s="56"/>
      <c r="B720" s="56"/>
      <c r="K720" s="56"/>
      <c r="L720" s="56"/>
      <c r="O720" s="56"/>
    </row>
    <row r="721" spans="1:15" ht="13" x14ac:dyDescent="0.15">
      <c r="A721" s="56"/>
      <c r="B721" s="56"/>
      <c r="K721" s="56"/>
      <c r="L721" s="56"/>
      <c r="O721" s="56"/>
    </row>
    <row r="722" spans="1:15" ht="13" x14ac:dyDescent="0.15">
      <c r="A722" s="56"/>
      <c r="B722" s="56"/>
      <c r="K722" s="56"/>
      <c r="L722" s="56"/>
      <c r="O722" s="56"/>
    </row>
    <row r="723" spans="1:15" ht="13" x14ac:dyDescent="0.15">
      <c r="A723" s="56"/>
      <c r="B723" s="56"/>
      <c r="K723" s="56"/>
      <c r="L723" s="56"/>
      <c r="O723" s="56"/>
    </row>
    <row r="724" spans="1:15" ht="13" x14ac:dyDescent="0.15">
      <c r="A724" s="56"/>
      <c r="B724" s="56"/>
      <c r="K724" s="56"/>
      <c r="L724" s="56"/>
      <c r="O724" s="56"/>
    </row>
    <row r="725" spans="1:15" ht="13" x14ac:dyDescent="0.15">
      <c r="A725" s="56"/>
      <c r="B725" s="56"/>
      <c r="K725" s="56"/>
      <c r="L725" s="56"/>
      <c r="O725" s="56"/>
    </row>
    <row r="726" spans="1:15" ht="13" x14ac:dyDescent="0.15">
      <c r="A726" s="56"/>
      <c r="B726" s="56"/>
      <c r="K726" s="56"/>
      <c r="L726" s="56"/>
      <c r="O726" s="56"/>
    </row>
    <row r="727" spans="1:15" ht="13" x14ac:dyDescent="0.15">
      <c r="A727" s="56"/>
      <c r="B727" s="56"/>
      <c r="K727" s="56"/>
      <c r="L727" s="56"/>
      <c r="O727" s="56"/>
    </row>
    <row r="728" spans="1:15" ht="13" x14ac:dyDescent="0.15">
      <c r="A728" s="56"/>
      <c r="B728" s="56"/>
      <c r="K728" s="56"/>
      <c r="L728" s="56"/>
      <c r="O728" s="56"/>
    </row>
    <row r="729" spans="1:15" ht="13" x14ac:dyDescent="0.15">
      <c r="A729" s="56"/>
      <c r="B729" s="56"/>
      <c r="K729" s="56"/>
      <c r="L729" s="56"/>
      <c r="O729" s="56"/>
    </row>
    <row r="730" spans="1:15" ht="13" x14ac:dyDescent="0.15">
      <c r="A730" s="56"/>
      <c r="B730" s="56"/>
      <c r="K730" s="56"/>
      <c r="L730" s="56"/>
      <c r="O730" s="56"/>
    </row>
    <row r="731" spans="1:15" ht="13" x14ac:dyDescent="0.15">
      <c r="A731" s="56"/>
      <c r="B731" s="56"/>
      <c r="K731" s="56"/>
      <c r="L731" s="56"/>
      <c r="O731" s="56"/>
    </row>
    <row r="732" spans="1:15" ht="13" x14ac:dyDescent="0.15">
      <c r="A732" s="56"/>
      <c r="B732" s="56"/>
      <c r="K732" s="56"/>
      <c r="L732" s="56"/>
      <c r="O732" s="56"/>
    </row>
    <row r="733" spans="1:15" ht="13" x14ac:dyDescent="0.15">
      <c r="A733" s="56"/>
      <c r="B733" s="56"/>
      <c r="K733" s="56"/>
      <c r="L733" s="56"/>
      <c r="O733" s="56"/>
    </row>
    <row r="734" spans="1:15" ht="13" x14ac:dyDescent="0.15">
      <c r="A734" s="56"/>
      <c r="B734" s="56"/>
      <c r="K734" s="56"/>
      <c r="L734" s="56"/>
      <c r="O734" s="56"/>
    </row>
    <row r="735" spans="1:15" ht="13" x14ac:dyDescent="0.15">
      <c r="A735" s="56"/>
      <c r="B735" s="56"/>
      <c r="K735" s="56"/>
      <c r="L735" s="56"/>
      <c r="O735" s="56"/>
    </row>
    <row r="736" spans="1:15" ht="13" x14ac:dyDescent="0.15">
      <c r="A736" s="56"/>
      <c r="B736" s="56"/>
      <c r="K736" s="56"/>
      <c r="L736" s="56"/>
      <c r="O736" s="56"/>
    </row>
    <row r="737" spans="1:15" ht="13" x14ac:dyDescent="0.15">
      <c r="A737" s="56"/>
      <c r="B737" s="56"/>
      <c r="K737" s="56"/>
      <c r="L737" s="56"/>
      <c r="O737" s="56"/>
    </row>
    <row r="738" spans="1:15" ht="13" x14ac:dyDescent="0.15">
      <c r="A738" s="56"/>
      <c r="B738" s="56"/>
      <c r="K738" s="56"/>
      <c r="L738" s="56"/>
      <c r="O738" s="56"/>
    </row>
    <row r="739" spans="1:15" ht="13" x14ac:dyDescent="0.15">
      <c r="A739" s="56"/>
      <c r="B739" s="56"/>
      <c r="K739" s="56"/>
      <c r="L739" s="56"/>
      <c r="O739" s="56"/>
    </row>
    <row r="740" spans="1:15" ht="13" x14ac:dyDescent="0.15">
      <c r="A740" s="56"/>
      <c r="B740" s="56"/>
      <c r="K740" s="56"/>
      <c r="L740" s="56"/>
      <c r="O740" s="56"/>
    </row>
    <row r="741" spans="1:15" ht="13" x14ac:dyDescent="0.15">
      <c r="A741" s="56"/>
      <c r="B741" s="56"/>
      <c r="K741" s="56"/>
      <c r="L741" s="56"/>
      <c r="O741" s="56"/>
    </row>
    <row r="742" spans="1:15" ht="13" x14ac:dyDescent="0.15">
      <c r="A742" s="56"/>
      <c r="B742" s="56"/>
      <c r="K742" s="56"/>
      <c r="L742" s="56"/>
      <c r="O742" s="56"/>
    </row>
    <row r="743" spans="1:15" ht="13" x14ac:dyDescent="0.15">
      <c r="A743" s="56"/>
      <c r="B743" s="56"/>
      <c r="K743" s="56"/>
      <c r="L743" s="56"/>
      <c r="O743" s="56"/>
    </row>
    <row r="744" spans="1:15" ht="13" x14ac:dyDescent="0.15">
      <c r="A744" s="56"/>
      <c r="B744" s="56"/>
      <c r="K744" s="56"/>
      <c r="L744" s="56"/>
      <c r="O744" s="56"/>
    </row>
    <row r="745" spans="1:15" ht="13" x14ac:dyDescent="0.15">
      <c r="A745" s="56"/>
      <c r="B745" s="56"/>
      <c r="K745" s="56"/>
      <c r="L745" s="56"/>
      <c r="O745" s="56"/>
    </row>
    <row r="746" spans="1:15" ht="13" x14ac:dyDescent="0.15">
      <c r="A746" s="56"/>
      <c r="B746" s="56"/>
      <c r="K746" s="56"/>
      <c r="L746" s="56"/>
      <c r="O746" s="56"/>
    </row>
    <row r="747" spans="1:15" ht="13" x14ac:dyDescent="0.15">
      <c r="A747" s="56"/>
      <c r="B747" s="56"/>
      <c r="K747" s="56"/>
      <c r="L747" s="56"/>
      <c r="O747" s="56"/>
    </row>
    <row r="748" spans="1:15" ht="13" x14ac:dyDescent="0.15">
      <c r="A748" s="56"/>
      <c r="B748" s="56"/>
      <c r="K748" s="56"/>
      <c r="L748" s="56"/>
      <c r="O748" s="56"/>
    </row>
    <row r="749" spans="1:15" ht="13" x14ac:dyDescent="0.15">
      <c r="A749" s="56"/>
      <c r="B749" s="56"/>
      <c r="K749" s="56"/>
      <c r="L749" s="56"/>
      <c r="O749" s="56"/>
    </row>
    <row r="750" spans="1:15" ht="13" x14ac:dyDescent="0.15">
      <c r="A750" s="56"/>
      <c r="B750" s="56"/>
      <c r="K750" s="56"/>
      <c r="L750" s="56"/>
      <c r="O750" s="56"/>
    </row>
    <row r="751" spans="1:15" ht="13" x14ac:dyDescent="0.15">
      <c r="A751" s="56"/>
      <c r="B751" s="56"/>
      <c r="K751" s="56"/>
      <c r="L751" s="56"/>
      <c r="O751" s="56"/>
    </row>
    <row r="752" spans="1:15" ht="13" x14ac:dyDescent="0.15">
      <c r="A752" s="56"/>
      <c r="B752" s="56"/>
      <c r="K752" s="56"/>
      <c r="L752" s="56"/>
      <c r="O752" s="56"/>
    </row>
    <row r="753" spans="1:15" ht="13" x14ac:dyDescent="0.15">
      <c r="A753" s="56"/>
      <c r="B753" s="56"/>
      <c r="K753" s="56"/>
      <c r="L753" s="56"/>
      <c r="O753" s="56"/>
    </row>
    <row r="754" spans="1:15" ht="13" x14ac:dyDescent="0.15">
      <c r="A754" s="56"/>
      <c r="B754" s="56"/>
      <c r="K754" s="56"/>
      <c r="L754" s="56"/>
      <c r="O754" s="56"/>
    </row>
    <row r="755" spans="1:15" ht="13" x14ac:dyDescent="0.15">
      <c r="A755" s="56"/>
      <c r="B755" s="56"/>
      <c r="K755" s="56"/>
      <c r="L755" s="56"/>
      <c r="O755" s="56"/>
    </row>
    <row r="756" spans="1:15" ht="13" x14ac:dyDescent="0.15">
      <c r="A756" s="56"/>
      <c r="B756" s="56"/>
      <c r="K756" s="56"/>
      <c r="L756" s="56"/>
      <c r="O756" s="56"/>
    </row>
    <row r="757" spans="1:15" ht="13" x14ac:dyDescent="0.15">
      <c r="A757" s="56"/>
      <c r="B757" s="56"/>
      <c r="K757" s="56"/>
      <c r="L757" s="56"/>
      <c r="O757" s="56"/>
    </row>
    <row r="758" spans="1:15" ht="13" x14ac:dyDescent="0.15">
      <c r="A758" s="56"/>
      <c r="B758" s="56"/>
      <c r="K758" s="56"/>
      <c r="L758" s="56"/>
      <c r="O758" s="56"/>
    </row>
    <row r="759" spans="1:15" ht="13" x14ac:dyDescent="0.15">
      <c r="A759" s="56"/>
      <c r="B759" s="56"/>
      <c r="K759" s="56"/>
      <c r="L759" s="56"/>
      <c r="O759" s="56"/>
    </row>
    <row r="760" spans="1:15" ht="13" x14ac:dyDescent="0.15">
      <c r="A760" s="56"/>
      <c r="B760" s="56"/>
      <c r="K760" s="56"/>
      <c r="L760" s="56"/>
      <c r="O760" s="56"/>
    </row>
    <row r="761" spans="1:15" ht="13" x14ac:dyDescent="0.15">
      <c r="A761" s="56"/>
      <c r="B761" s="56"/>
      <c r="K761" s="56"/>
      <c r="L761" s="56"/>
      <c r="O761" s="56"/>
    </row>
    <row r="762" spans="1:15" ht="13" x14ac:dyDescent="0.15">
      <c r="A762" s="56"/>
      <c r="B762" s="56"/>
      <c r="K762" s="56"/>
      <c r="L762" s="56"/>
      <c r="O762" s="56"/>
    </row>
    <row r="763" spans="1:15" ht="13" x14ac:dyDescent="0.15">
      <c r="A763" s="56"/>
      <c r="B763" s="56"/>
      <c r="K763" s="56"/>
      <c r="L763" s="56"/>
      <c r="O763" s="56"/>
    </row>
    <row r="764" spans="1:15" ht="13" x14ac:dyDescent="0.15">
      <c r="A764" s="56"/>
      <c r="B764" s="56"/>
      <c r="K764" s="56"/>
      <c r="L764" s="56"/>
      <c r="O764" s="56"/>
    </row>
    <row r="765" spans="1:15" ht="13" x14ac:dyDescent="0.15">
      <c r="A765" s="56"/>
      <c r="B765" s="56"/>
      <c r="K765" s="56"/>
      <c r="L765" s="56"/>
      <c r="O765" s="56"/>
    </row>
    <row r="766" spans="1:15" ht="13" x14ac:dyDescent="0.15">
      <c r="A766" s="56"/>
      <c r="B766" s="56"/>
      <c r="K766" s="56"/>
      <c r="L766" s="56"/>
      <c r="O766" s="56"/>
    </row>
    <row r="767" spans="1:15" ht="13" x14ac:dyDescent="0.15">
      <c r="A767" s="56"/>
      <c r="B767" s="56"/>
      <c r="K767" s="56"/>
      <c r="L767" s="56"/>
      <c r="O767" s="56"/>
    </row>
    <row r="768" spans="1:15" ht="13" x14ac:dyDescent="0.15">
      <c r="A768" s="56"/>
      <c r="B768" s="56"/>
      <c r="K768" s="56"/>
      <c r="L768" s="56"/>
      <c r="O768" s="56"/>
    </row>
    <row r="769" spans="1:15" ht="13" x14ac:dyDescent="0.15">
      <c r="A769" s="56"/>
      <c r="B769" s="56"/>
      <c r="K769" s="56"/>
      <c r="L769" s="56"/>
      <c r="O769" s="56"/>
    </row>
    <row r="770" spans="1:15" ht="13" x14ac:dyDescent="0.15">
      <c r="A770" s="56"/>
      <c r="B770" s="56"/>
      <c r="K770" s="56"/>
      <c r="L770" s="56"/>
      <c r="O770" s="56"/>
    </row>
    <row r="771" spans="1:15" ht="13" x14ac:dyDescent="0.15">
      <c r="A771" s="56"/>
      <c r="B771" s="56"/>
      <c r="K771" s="56"/>
      <c r="L771" s="56"/>
      <c r="O771" s="56"/>
    </row>
    <row r="772" spans="1:15" ht="13" x14ac:dyDescent="0.15">
      <c r="A772" s="56"/>
      <c r="B772" s="56"/>
      <c r="K772" s="56"/>
      <c r="L772" s="56"/>
      <c r="O772" s="56"/>
    </row>
    <row r="773" spans="1:15" ht="13" x14ac:dyDescent="0.15">
      <c r="A773" s="56"/>
      <c r="B773" s="56"/>
      <c r="K773" s="56"/>
      <c r="L773" s="56"/>
      <c r="O773" s="56"/>
    </row>
    <row r="774" spans="1:15" ht="13" x14ac:dyDescent="0.15">
      <c r="A774" s="56"/>
      <c r="B774" s="56"/>
      <c r="K774" s="56"/>
      <c r="L774" s="56"/>
      <c r="O774" s="56"/>
    </row>
    <row r="775" spans="1:15" ht="13" x14ac:dyDescent="0.15">
      <c r="A775" s="56"/>
      <c r="B775" s="56"/>
      <c r="K775" s="56"/>
      <c r="L775" s="56"/>
      <c r="O775" s="56"/>
    </row>
    <row r="776" spans="1:15" ht="13" x14ac:dyDescent="0.15">
      <c r="A776" s="56"/>
      <c r="B776" s="56"/>
      <c r="K776" s="56"/>
      <c r="L776" s="56"/>
      <c r="O776" s="56"/>
    </row>
    <row r="777" spans="1:15" ht="13" x14ac:dyDescent="0.15">
      <c r="A777" s="56"/>
      <c r="B777" s="56"/>
      <c r="K777" s="56"/>
      <c r="L777" s="56"/>
      <c r="O777" s="56"/>
    </row>
    <row r="778" spans="1:15" ht="13" x14ac:dyDescent="0.15">
      <c r="A778" s="56"/>
      <c r="B778" s="56"/>
      <c r="K778" s="56"/>
      <c r="L778" s="56"/>
      <c r="O778" s="56"/>
    </row>
    <row r="779" spans="1:15" ht="13" x14ac:dyDescent="0.15">
      <c r="A779" s="56"/>
      <c r="B779" s="56"/>
      <c r="K779" s="56"/>
      <c r="L779" s="56"/>
      <c r="O779" s="56"/>
    </row>
    <row r="780" spans="1:15" ht="13" x14ac:dyDescent="0.15">
      <c r="A780" s="56"/>
      <c r="B780" s="56"/>
      <c r="K780" s="56"/>
      <c r="L780" s="56"/>
      <c r="O780" s="56"/>
    </row>
    <row r="781" spans="1:15" ht="13" x14ac:dyDescent="0.15">
      <c r="A781" s="56"/>
      <c r="B781" s="56"/>
      <c r="K781" s="56"/>
      <c r="L781" s="56"/>
      <c r="O781" s="56"/>
    </row>
    <row r="782" spans="1:15" ht="13" x14ac:dyDescent="0.15">
      <c r="A782" s="56"/>
      <c r="B782" s="56"/>
      <c r="K782" s="56"/>
      <c r="L782" s="56"/>
      <c r="O782" s="56"/>
    </row>
    <row r="783" spans="1:15" ht="13" x14ac:dyDescent="0.15">
      <c r="A783" s="56"/>
      <c r="B783" s="56"/>
      <c r="K783" s="56"/>
      <c r="L783" s="56"/>
      <c r="O783" s="56"/>
    </row>
    <row r="784" spans="1:15" ht="13" x14ac:dyDescent="0.15">
      <c r="A784" s="56"/>
      <c r="B784" s="56"/>
      <c r="K784" s="56"/>
      <c r="L784" s="56"/>
      <c r="O784" s="56"/>
    </row>
    <row r="785" spans="1:15" ht="13" x14ac:dyDescent="0.15">
      <c r="A785" s="56"/>
      <c r="B785" s="56"/>
      <c r="K785" s="56"/>
      <c r="L785" s="56"/>
      <c r="O785" s="56"/>
    </row>
    <row r="786" spans="1:15" ht="13" x14ac:dyDescent="0.15">
      <c r="A786" s="56"/>
      <c r="B786" s="56"/>
      <c r="K786" s="56"/>
      <c r="L786" s="56"/>
      <c r="O786" s="56"/>
    </row>
    <row r="787" spans="1:15" ht="13" x14ac:dyDescent="0.15">
      <c r="A787" s="56"/>
      <c r="B787" s="56"/>
      <c r="K787" s="56"/>
      <c r="L787" s="56"/>
      <c r="O787" s="56"/>
    </row>
    <row r="788" spans="1:15" ht="13" x14ac:dyDescent="0.15">
      <c r="A788" s="56"/>
      <c r="B788" s="56"/>
      <c r="K788" s="56"/>
      <c r="L788" s="56"/>
      <c r="O788" s="56"/>
    </row>
    <row r="789" spans="1:15" ht="13" x14ac:dyDescent="0.15">
      <c r="A789" s="56"/>
      <c r="B789" s="56"/>
      <c r="K789" s="56"/>
      <c r="L789" s="56"/>
      <c r="O789" s="56"/>
    </row>
    <row r="790" spans="1:15" ht="13" x14ac:dyDescent="0.15">
      <c r="A790" s="56"/>
      <c r="B790" s="56"/>
      <c r="K790" s="56"/>
      <c r="L790" s="56"/>
      <c r="O790" s="56"/>
    </row>
    <row r="791" spans="1:15" ht="13" x14ac:dyDescent="0.15">
      <c r="A791" s="56"/>
      <c r="B791" s="56"/>
      <c r="K791" s="56"/>
      <c r="L791" s="56"/>
      <c r="O791" s="56"/>
    </row>
    <row r="792" spans="1:15" ht="13" x14ac:dyDescent="0.15">
      <c r="A792" s="56"/>
      <c r="B792" s="56"/>
      <c r="K792" s="56"/>
      <c r="L792" s="56"/>
      <c r="O792" s="56"/>
    </row>
    <row r="793" spans="1:15" ht="13" x14ac:dyDescent="0.15">
      <c r="A793" s="56"/>
      <c r="B793" s="56"/>
      <c r="K793" s="56"/>
      <c r="L793" s="56"/>
      <c r="O793" s="56"/>
    </row>
    <row r="794" spans="1:15" ht="13" x14ac:dyDescent="0.15">
      <c r="A794" s="56"/>
      <c r="B794" s="56"/>
      <c r="K794" s="56"/>
      <c r="L794" s="56"/>
      <c r="O794" s="56"/>
    </row>
    <row r="795" spans="1:15" ht="13" x14ac:dyDescent="0.15">
      <c r="A795" s="56"/>
      <c r="B795" s="56"/>
      <c r="K795" s="56"/>
      <c r="L795" s="56"/>
      <c r="O795" s="56"/>
    </row>
    <row r="796" spans="1:15" ht="13" x14ac:dyDescent="0.15">
      <c r="A796" s="56"/>
      <c r="B796" s="56"/>
      <c r="K796" s="56"/>
      <c r="L796" s="56"/>
      <c r="O796" s="56"/>
    </row>
    <row r="797" spans="1:15" ht="13" x14ac:dyDescent="0.15">
      <c r="A797" s="56"/>
      <c r="B797" s="56"/>
      <c r="K797" s="56"/>
      <c r="L797" s="56"/>
      <c r="O797" s="56"/>
    </row>
    <row r="798" spans="1:15" ht="13" x14ac:dyDescent="0.15">
      <c r="A798" s="56"/>
      <c r="B798" s="56"/>
      <c r="K798" s="56"/>
      <c r="L798" s="56"/>
      <c r="O798" s="56"/>
    </row>
    <row r="799" spans="1:15" ht="13" x14ac:dyDescent="0.15">
      <c r="A799" s="56"/>
      <c r="B799" s="56"/>
      <c r="K799" s="56"/>
      <c r="L799" s="56"/>
      <c r="O799" s="56"/>
    </row>
    <row r="800" spans="1:15" ht="13" x14ac:dyDescent="0.15">
      <c r="A800" s="56"/>
      <c r="B800" s="56"/>
      <c r="K800" s="56"/>
      <c r="L800" s="56"/>
      <c r="O800" s="56"/>
    </row>
    <row r="801" spans="1:15" ht="13" x14ac:dyDescent="0.15">
      <c r="A801" s="56"/>
      <c r="B801" s="56"/>
      <c r="K801" s="56"/>
      <c r="L801" s="56"/>
      <c r="O801" s="56"/>
    </row>
    <row r="802" spans="1:15" ht="13" x14ac:dyDescent="0.15">
      <c r="A802" s="56"/>
      <c r="B802" s="56"/>
      <c r="K802" s="56"/>
      <c r="L802" s="56"/>
      <c r="O802" s="56"/>
    </row>
    <row r="803" spans="1:15" ht="13" x14ac:dyDescent="0.15">
      <c r="A803" s="56"/>
      <c r="B803" s="56"/>
      <c r="K803" s="56"/>
      <c r="L803" s="56"/>
      <c r="O803" s="56"/>
    </row>
    <row r="804" spans="1:15" ht="13" x14ac:dyDescent="0.15">
      <c r="A804" s="56"/>
      <c r="B804" s="56"/>
      <c r="K804" s="56"/>
      <c r="L804" s="56"/>
      <c r="O804" s="56"/>
    </row>
    <row r="805" spans="1:15" ht="13" x14ac:dyDescent="0.15">
      <c r="A805" s="56"/>
      <c r="B805" s="56"/>
      <c r="K805" s="56"/>
      <c r="L805" s="56"/>
      <c r="O805" s="56"/>
    </row>
    <row r="806" spans="1:15" ht="13" x14ac:dyDescent="0.15">
      <c r="A806" s="56"/>
      <c r="B806" s="56"/>
      <c r="K806" s="56"/>
      <c r="L806" s="56"/>
      <c r="O806" s="56"/>
    </row>
    <row r="807" spans="1:15" ht="13" x14ac:dyDescent="0.15">
      <c r="A807" s="56"/>
      <c r="B807" s="56"/>
      <c r="K807" s="56"/>
      <c r="L807" s="56"/>
      <c r="O807" s="56"/>
    </row>
    <row r="808" spans="1:15" ht="13" x14ac:dyDescent="0.15">
      <c r="A808" s="56"/>
      <c r="B808" s="56"/>
      <c r="K808" s="56"/>
      <c r="L808" s="56"/>
      <c r="O808" s="56"/>
    </row>
    <row r="809" spans="1:15" ht="13" x14ac:dyDescent="0.15">
      <c r="A809" s="56"/>
      <c r="B809" s="56"/>
      <c r="K809" s="56"/>
      <c r="L809" s="56"/>
      <c r="O809" s="56"/>
    </row>
    <row r="810" spans="1:15" ht="13" x14ac:dyDescent="0.15">
      <c r="A810" s="56"/>
      <c r="B810" s="56"/>
      <c r="K810" s="56"/>
      <c r="L810" s="56"/>
      <c r="O810" s="56"/>
    </row>
    <row r="811" spans="1:15" ht="13" x14ac:dyDescent="0.15">
      <c r="A811" s="56"/>
      <c r="B811" s="56"/>
      <c r="K811" s="56"/>
      <c r="L811" s="56"/>
      <c r="O811" s="56"/>
    </row>
    <row r="812" spans="1:15" ht="13" x14ac:dyDescent="0.15">
      <c r="A812" s="56"/>
      <c r="B812" s="56"/>
      <c r="K812" s="56"/>
      <c r="L812" s="56"/>
      <c r="O812" s="56"/>
    </row>
    <row r="813" spans="1:15" ht="13" x14ac:dyDescent="0.15">
      <c r="A813" s="56"/>
      <c r="B813" s="56"/>
      <c r="K813" s="56"/>
      <c r="L813" s="56"/>
      <c r="O813" s="56"/>
    </row>
    <row r="814" spans="1:15" ht="13" x14ac:dyDescent="0.15">
      <c r="A814" s="56"/>
      <c r="B814" s="56"/>
      <c r="K814" s="56"/>
      <c r="L814" s="56"/>
      <c r="O814" s="56"/>
    </row>
    <row r="815" spans="1:15" ht="13" x14ac:dyDescent="0.15">
      <c r="A815" s="56"/>
      <c r="B815" s="56"/>
      <c r="K815" s="56"/>
      <c r="L815" s="56"/>
      <c r="O815" s="56"/>
    </row>
    <row r="816" spans="1:15" ht="13" x14ac:dyDescent="0.15">
      <c r="A816" s="56"/>
      <c r="B816" s="56"/>
      <c r="K816" s="56"/>
      <c r="L816" s="56"/>
      <c r="O816" s="56"/>
    </row>
    <row r="817" spans="1:15" ht="13" x14ac:dyDescent="0.15">
      <c r="A817" s="56"/>
      <c r="B817" s="56"/>
      <c r="K817" s="56"/>
      <c r="L817" s="56"/>
      <c r="O817" s="56"/>
    </row>
    <row r="818" spans="1:15" ht="13" x14ac:dyDescent="0.15">
      <c r="A818" s="56"/>
      <c r="B818" s="56"/>
      <c r="K818" s="56"/>
      <c r="L818" s="56"/>
      <c r="O818" s="56"/>
    </row>
    <row r="819" spans="1:15" ht="13" x14ac:dyDescent="0.15">
      <c r="A819" s="56"/>
      <c r="B819" s="56"/>
      <c r="K819" s="56"/>
      <c r="L819" s="56"/>
      <c r="O819" s="56"/>
    </row>
    <row r="820" spans="1:15" ht="13" x14ac:dyDescent="0.15">
      <c r="A820" s="56"/>
      <c r="B820" s="56"/>
      <c r="K820" s="56"/>
      <c r="L820" s="56"/>
      <c r="O820" s="56"/>
    </row>
    <row r="821" spans="1:15" ht="13" x14ac:dyDescent="0.15">
      <c r="A821" s="56"/>
      <c r="B821" s="56"/>
      <c r="K821" s="56"/>
      <c r="L821" s="56"/>
      <c r="O821" s="56"/>
    </row>
    <row r="822" spans="1:15" ht="13" x14ac:dyDescent="0.15">
      <c r="A822" s="56"/>
      <c r="B822" s="56"/>
      <c r="K822" s="56"/>
      <c r="L822" s="56"/>
      <c r="O822" s="56"/>
    </row>
    <row r="823" spans="1:15" ht="13" x14ac:dyDescent="0.15">
      <c r="A823" s="56"/>
      <c r="B823" s="56"/>
      <c r="K823" s="56"/>
      <c r="L823" s="56"/>
      <c r="O823" s="56"/>
    </row>
    <row r="824" spans="1:15" ht="13" x14ac:dyDescent="0.15">
      <c r="A824" s="56"/>
      <c r="B824" s="56"/>
      <c r="K824" s="56"/>
      <c r="L824" s="56"/>
      <c r="O824" s="56"/>
    </row>
    <row r="825" spans="1:15" ht="13" x14ac:dyDescent="0.15">
      <c r="A825" s="56"/>
      <c r="B825" s="56"/>
      <c r="K825" s="56"/>
      <c r="L825" s="56"/>
      <c r="O825" s="56"/>
    </row>
    <row r="826" spans="1:15" ht="13" x14ac:dyDescent="0.15">
      <c r="A826" s="56"/>
      <c r="B826" s="56"/>
      <c r="K826" s="56"/>
      <c r="L826" s="56"/>
      <c r="O826" s="56"/>
    </row>
    <row r="827" spans="1:15" ht="13" x14ac:dyDescent="0.15">
      <c r="A827" s="56"/>
      <c r="B827" s="56"/>
      <c r="K827" s="56"/>
      <c r="L827" s="56"/>
      <c r="O827" s="56"/>
    </row>
    <row r="828" spans="1:15" ht="13" x14ac:dyDescent="0.15">
      <c r="A828" s="56"/>
      <c r="B828" s="56"/>
      <c r="K828" s="56"/>
      <c r="L828" s="56"/>
      <c r="O828" s="56"/>
    </row>
    <row r="829" spans="1:15" ht="13" x14ac:dyDescent="0.15">
      <c r="A829" s="56"/>
      <c r="B829" s="56"/>
      <c r="K829" s="56"/>
      <c r="L829" s="56"/>
      <c r="O829" s="56"/>
    </row>
    <row r="830" spans="1:15" ht="13" x14ac:dyDescent="0.15">
      <c r="A830" s="56"/>
      <c r="B830" s="56"/>
      <c r="K830" s="56"/>
      <c r="L830" s="56"/>
      <c r="O830" s="56"/>
    </row>
    <row r="831" spans="1:15" ht="13" x14ac:dyDescent="0.15">
      <c r="A831" s="56"/>
      <c r="B831" s="56"/>
      <c r="K831" s="56"/>
      <c r="L831" s="56"/>
      <c r="O831" s="56"/>
    </row>
    <row r="832" spans="1:15" ht="13" x14ac:dyDescent="0.15">
      <c r="A832" s="56"/>
      <c r="B832" s="56"/>
      <c r="K832" s="56"/>
      <c r="L832" s="56"/>
      <c r="O832" s="56"/>
    </row>
    <row r="833" spans="1:15" ht="13" x14ac:dyDescent="0.15">
      <c r="A833" s="56"/>
      <c r="B833" s="56"/>
      <c r="K833" s="56"/>
      <c r="L833" s="56"/>
      <c r="O833" s="56"/>
    </row>
    <row r="834" spans="1:15" ht="13" x14ac:dyDescent="0.15">
      <c r="A834" s="56"/>
      <c r="B834" s="56"/>
      <c r="K834" s="56"/>
      <c r="L834" s="56"/>
      <c r="O834" s="56"/>
    </row>
    <row r="835" spans="1:15" ht="13" x14ac:dyDescent="0.15">
      <c r="A835" s="56"/>
      <c r="B835" s="56"/>
      <c r="K835" s="56"/>
      <c r="L835" s="56"/>
      <c r="O835" s="56"/>
    </row>
    <row r="836" spans="1:15" ht="13" x14ac:dyDescent="0.15">
      <c r="A836" s="56"/>
      <c r="B836" s="56"/>
      <c r="K836" s="56"/>
      <c r="L836" s="56"/>
      <c r="O836" s="56"/>
    </row>
    <row r="837" spans="1:15" ht="13" x14ac:dyDescent="0.15">
      <c r="A837" s="56"/>
      <c r="B837" s="56"/>
      <c r="K837" s="56"/>
      <c r="L837" s="56"/>
      <c r="O837" s="56"/>
    </row>
    <row r="838" spans="1:15" ht="13" x14ac:dyDescent="0.15">
      <c r="A838" s="56"/>
      <c r="B838" s="56"/>
      <c r="K838" s="56"/>
      <c r="L838" s="56"/>
      <c r="O838" s="56"/>
    </row>
    <row r="839" spans="1:15" ht="13" x14ac:dyDescent="0.15">
      <c r="A839" s="56"/>
      <c r="B839" s="56"/>
      <c r="K839" s="56"/>
      <c r="L839" s="56"/>
      <c r="O839" s="56"/>
    </row>
    <row r="840" spans="1:15" ht="13" x14ac:dyDescent="0.15">
      <c r="A840" s="56"/>
      <c r="B840" s="56"/>
      <c r="K840" s="56"/>
      <c r="L840" s="56"/>
      <c r="O840" s="56"/>
    </row>
    <row r="841" spans="1:15" ht="13" x14ac:dyDescent="0.15">
      <c r="A841" s="56"/>
      <c r="B841" s="56"/>
      <c r="K841" s="56"/>
      <c r="L841" s="56"/>
      <c r="O841" s="56"/>
    </row>
    <row r="842" spans="1:15" ht="13" x14ac:dyDescent="0.15">
      <c r="A842" s="56"/>
      <c r="B842" s="56"/>
      <c r="K842" s="56"/>
      <c r="L842" s="56"/>
      <c r="O842" s="56"/>
    </row>
    <row r="843" spans="1:15" ht="13" x14ac:dyDescent="0.15">
      <c r="A843" s="56"/>
      <c r="B843" s="56"/>
      <c r="K843" s="56"/>
      <c r="L843" s="56"/>
      <c r="O843" s="56"/>
    </row>
    <row r="844" spans="1:15" ht="13" x14ac:dyDescent="0.15">
      <c r="A844" s="56"/>
      <c r="B844" s="56"/>
      <c r="K844" s="56"/>
      <c r="L844" s="56"/>
      <c r="O844" s="56"/>
    </row>
    <row r="845" spans="1:15" ht="13" x14ac:dyDescent="0.15">
      <c r="A845" s="56"/>
      <c r="B845" s="56"/>
      <c r="K845" s="56"/>
      <c r="L845" s="56"/>
      <c r="O845" s="56"/>
    </row>
    <row r="846" spans="1:15" ht="13" x14ac:dyDescent="0.15">
      <c r="A846" s="56"/>
      <c r="B846" s="56"/>
      <c r="K846" s="56"/>
      <c r="L846" s="56"/>
      <c r="O846" s="56"/>
    </row>
    <row r="847" spans="1:15" ht="13" x14ac:dyDescent="0.15">
      <c r="A847" s="56"/>
      <c r="B847" s="56"/>
      <c r="K847" s="56"/>
      <c r="L847" s="56"/>
      <c r="O847" s="56"/>
    </row>
    <row r="848" spans="1:15" ht="13" x14ac:dyDescent="0.15">
      <c r="A848" s="56"/>
      <c r="B848" s="56"/>
      <c r="K848" s="56"/>
      <c r="L848" s="56"/>
      <c r="O848" s="56"/>
    </row>
    <row r="849" spans="1:15" ht="13" x14ac:dyDescent="0.15">
      <c r="A849" s="56"/>
      <c r="B849" s="56"/>
      <c r="K849" s="56"/>
      <c r="L849" s="56"/>
      <c r="O849" s="56"/>
    </row>
    <row r="850" spans="1:15" ht="13" x14ac:dyDescent="0.15">
      <c r="A850" s="56"/>
      <c r="B850" s="56"/>
      <c r="K850" s="56"/>
      <c r="L850" s="56"/>
      <c r="O850" s="56"/>
    </row>
    <row r="851" spans="1:15" ht="13" x14ac:dyDescent="0.15">
      <c r="A851" s="56"/>
      <c r="B851" s="56"/>
      <c r="K851" s="56"/>
      <c r="L851" s="56"/>
      <c r="O851" s="56"/>
    </row>
    <row r="852" spans="1:15" ht="13" x14ac:dyDescent="0.15">
      <c r="A852" s="56"/>
      <c r="B852" s="56"/>
      <c r="K852" s="56"/>
      <c r="L852" s="56"/>
      <c r="O852" s="56"/>
    </row>
    <row r="853" spans="1:15" ht="13" x14ac:dyDescent="0.15">
      <c r="A853" s="56"/>
      <c r="B853" s="56"/>
      <c r="K853" s="56"/>
      <c r="L853" s="56"/>
      <c r="O853" s="56"/>
    </row>
    <row r="854" spans="1:15" ht="13" x14ac:dyDescent="0.15">
      <c r="A854" s="56"/>
      <c r="B854" s="56"/>
      <c r="K854" s="56"/>
      <c r="L854" s="56"/>
      <c r="O854" s="56"/>
    </row>
    <row r="855" spans="1:15" ht="13" x14ac:dyDescent="0.15">
      <c r="A855" s="56"/>
      <c r="B855" s="56"/>
      <c r="K855" s="56"/>
      <c r="L855" s="56"/>
      <c r="O855" s="56"/>
    </row>
    <row r="856" spans="1:15" ht="13" x14ac:dyDescent="0.15">
      <c r="A856" s="56"/>
      <c r="B856" s="56"/>
      <c r="K856" s="56"/>
      <c r="L856" s="56"/>
      <c r="O856" s="56"/>
    </row>
    <row r="857" spans="1:15" ht="13" x14ac:dyDescent="0.15">
      <c r="A857" s="56"/>
      <c r="B857" s="56"/>
      <c r="K857" s="56"/>
      <c r="L857" s="56"/>
      <c r="O857" s="56"/>
    </row>
    <row r="858" spans="1:15" ht="13" x14ac:dyDescent="0.15">
      <c r="A858" s="56"/>
      <c r="B858" s="56"/>
      <c r="K858" s="56"/>
      <c r="L858" s="56"/>
      <c r="O858" s="56"/>
    </row>
    <row r="859" spans="1:15" ht="13" x14ac:dyDescent="0.15">
      <c r="A859" s="56"/>
      <c r="B859" s="56"/>
      <c r="K859" s="56"/>
      <c r="L859" s="56"/>
      <c r="O859" s="56"/>
    </row>
    <row r="860" spans="1:15" ht="13" x14ac:dyDescent="0.15">
      <c r="A860" s="56"/>
      <c r="B860" s="56"/>
      <c r="K860" s="56"/>
      <c r="L860" s="56"/>
      <c r="O860" s="56"/>
    </row>
    <row r="861" spans="1:15" ht="13" x14ac:dyDescent="0.15">
      <c r="A861" s="56"/>
      <c r="B861" s="56"/>
      <c r="K861" s="56"/>
      <c r="L861" s="56"/>
      <c r="O861" s="56"/>
    </row>
    <row r="862" spans="1:15" ht="13" x14ac:dyDescent="0.15">
      <c r="A862" s="56"/>
      <c r="B862" s="56"/>
      <c r="K862" s="56"/>
      <c r="L862" s="56"/>
      <c r="O862" s="56"/>
    </row>
    <row r="863" spans="1:15" ht="13" x14ac:dyDescent="0.15">
      <c r="A863" s="56"/>
      <c r="B863" s="56"/>
      <c r="K863" s="56"/>
      <c r="L863" s="56"/>
      <c r="O863" s="56"/>
    </row>
    <row r="864" spans="1:15" ht="13" x14ac:dyDescent="0.15">
      <c r="A864" s="56"/>
      <c r="B864" s="56"/>
      <c r="K864" s="56"/>
      <c r="L864" s="56"/>
      <c r="O864" s="56"/>
    </row>
    <row r="865" spans="1:15" ht="13" x14ac:dyDescent="0.15">
      <c r="A865" s="56"/>
      <c r="B865" s="56"/>
      <c r="K865" s="56"/>
      <c r="L865" s="56"/>
      <c r="O865" s="56"/>
    </row>
    <row r="866" spans="1:15" ht="13" x14ac:dyDescent="0.15">
      <c r="A866" s="56"/>
      <c r="B866" s="56"/>
      <c r="K866" s="56"/>
      <c r="L866" s="56"/>
      <c r="O866" s="56"/>
    </row>
    <row r="867" spans="1:15" ht="13" x14ac:dyDescent="0.15">
      <c r="A867" s="56"/>
      <c r="B867" s="56"/>
      <c r="K867" s="56"/>
      <c r="L867" s="56"/>
      <c r="O867" s="56"/>
    </row>
    <row r="868" spans="1:15" ht="13" x14ac:dyDescent="0.15">
      <c r="A868" s="56"/>
      <c r="B868" s="56"/>
      <c r="K868" s="56"/>
      <c r="L868" s="56"/>
      <c r="O868" s="56"/>
    </row>
    <row r="869" spans="1:15" ht="13" x14ac:dyDescent="0.15">
      <c r="A869" s="56"/>
      <c r="B869" s="56"/>
      <c r="K869" s="56"/>
      <c r="L869" s="56"/>
      <c r="O869" s="56"/>
    </row>
    <row r="870" spans="1:15" ht="13" x14ac:dyDescent="0.15">
      <c r="A870" s="56"/>
      <c r="B870" s="56"/>
      <c r="K870" s="56"/>
      <c r="L870" s="56"/>
      <c r="O870" s="56"/>
    </row>
    <row r="871" spans="1:15" ht="13" x14ac:dyDescent="0.15">
      <c r="A871" s="56"/>
      <c r="B871" s="56"/>
      <c r="K871" s="56"/>
      <c r="L871" s="56"/>
      <c r="O871" s="56"/>
    </row>
    <row r="872" spans="1:15" ht="13" x14ac:dyDescent="0.15">
      <c r="A872" s="56"/>
      <c r="B872" s="56"/>
      <c r="K872" s="56"/>
      <c r="L872" s="56"/>
      <c r="O872" s="56"/>
    </row>
    <row r="873" spans="1:15" ht="13" x14ac:dyDescent="0.15">
      <c r="A873" s="56"/>
      <c r="B873" s="56"/>
      <c r="K873" s="56"/>
      <c r="L873" s="56"/>
      <c r="O873" s="56"/>
    </row>
    <row r="874" spans="1:15" ht="13" x14ac:dyDescent="0.15">
      <c r="A874" s="56"/>
      <c r="B874" s="56"/>
      <c r="K874" s="56"/>
      <c r="L874" s="56"/>
      <c r="O874" s="56"/>
    </row>
    <row r="875" spans="1:15" ht="13" x14ac:dyDescent="0.15">
      <c r="A875" s="56"/>
      <c r="B875" s="56"/>
      <c r="K875" s="56"/>
      <c r="L875" s="56"/>
      <c r="O875" s="56"/>
    </row>
    <row r="876" spans="1:15" ht="13" x14ac:dyDescent="0.15">
      <c r="A876" s="56"/>
      <c r="B876" s="56"/>
      <c r="K876" s="56"/>
      <c r="L876" s="56"/>
      <c r="O876" s="56"/>
    </row>
    <row r="877" spans="1:15" ht="13" x14ac:dyDescent="0.15">
      <c r="A877" s="56"/>
      <c r="B877" s="56"/>
      <c r="K877" s="56"/>
      <c r="L877" s="56"/>
      <c r="O877" s="56"/>
    </row>
    <row r="878" spans="1:15" ht="13" x14ac:dyDescent="0.15">
      <c r="A878" s="56"/>
      <c r="B878" s="56"/>
      <c r="K878" s="56"/>
      <c r="L878" s="56"/>
      <c r="O878" s="56"/>
    </row>
    <row r="879" spans="1:15" ht="13" x14ac:dyDescent="0.15">
      <c r="A879" s="56"/>
      <c r="B879" s="56"/>
      <c r="K879" s="56"/>
      <c r="L879" s="56"/>
      <c r="O879" s="56"/>
    </row>
    <row r="880" spans="1:15" ht="13" x14ac:dyDescent="0.15">
      <c r="A880" s="56"/>
      <c r="B880" s="56"/>
      <c r="K880" s="56"/>
      <c r="L880" s="56"/>
      <c r="O880" s="56"/>
    </row>
    <row r="881" spans="1:15" ht="13" x14ac:dyDescent="0.15">
      <c r="A881" s="56"/>
      <c r="B881" s="56"/>
      <c r="K881" s="56"/>
      <c r="L881" s="56"/>
      <c r="O881" s="56"/>
    </row>
    <row r="882" spans="1:15" ht="13" x14ac:dyDescent="0.15">
      <c r="A882" s="56"/>
      <c r="B882" s="56"/>
      <c r="K882" s="56"/>
      <c r="L882" s="56"/>
      <c r="O882" s="56"/>
    </row>
    <row r="883" spans="1:15" ht="13" x14ac:dyDescent="0.15">
      <c r="A883" s="56"/>
      <c r="B883" s="56"/>
      <c r="K883" s="56"/>
      <c r="L883" s="56"/>
      <c r="O883" s="56"/>
    </row>
    <row r="884" spans="1:15" ht="13" x14ac:dyDescent="0.15">
      <c r="A884" s="56"/>
      <c r="B884" s="56"/>
      <c r="K884" s="56"/>
      <c r="L884" s="56"/>
      <c r="O884" s="56"/>
    </row>
    <row r="885" spans="1:15" ht="13" x14ac:dyDescent="0.15">
      <c r="A885" s="56"/>
      <c r="B885" s="56"/>
      <c r="K885" s="56"/>
      <c r="L885" s="56"/>
      <c r="O885" s="56"/>
    </row>
    <row r="886" spans="1:15" ht="13" x14ac:dyDescent="0.15">
      <c r="A886" s="56"/>
      <c r="B886" s="56"/>
      <c r="K886" s="56"/>
      <c r="L886" s="56"/>
      <c r="O886" s="56"/>
    </row>
    <row r="887" spans="1:15" ht="13" x14ac:dyDescent="0.15">
      <c r="A887" s="56"/>
      <c r="B887" s="56"/>
      <c r="K887" s="56"/>
      <c r="L887" s="56"/>
      <c r="O887" s="56"/>
    </row>
    <row r="888" spans="1:15" ht="13" x14ac:dyDescent="0.15">
      <c r="A888" s="56"/>
      <c r="B888" s="56"/>
      <c r="K888" s="56"/>
      <c r="L888" s="56"/>
      <c r="O888" s="56"/>
    </row>
    <row r="889" spans="1:15" ht="13" x14ac:dyDescent="0.15">
      <c r="A889" s="56"/>
      <c r="B889" s="56"/>
      <c r="K889" s="56"/>
      <c r="L889" s="56"/>
      <c r="O889" s="56"/>
    </row>
    <row r="890" spans="1:15" ht="13" x14ac:dyDescent="0.15">
      <c r="A890" s="56"/>
      <c r="B890" s="56"/>
      <c r="K890" s="56"/>
      <c r="L890" s="56"/>
      <c r="O890" s="56"/>
    </row>
    <row r="891" spans="1:15" ht="13" x14ac:dyDescent="0.15">
      <c r="A891" s="56"/>
      <c r="B891" s="56"/>
      <c r="K891" s="56"/>
      <c r="L891" s="56"/>
      <c r="O891" s="56"/>
    </row>
    <row r="892" spans="1:15" ht="13" x14ac:dyDescent="0.15">
      <c r="A892" s="56"/>
      <c r="B892" s="56"/>
      <c r="K892" s="56"/>
      <c r="L892" s="56"/>
      <c r="O892" s="56"/>
    </row>
    <row r="893" spans="1:15" ht="13" x14ac:dyDescent="0.15">
      <c r="A893" s="56"/>
      <c r="B893" s="56"/>
      <c r="K893" s="56"/>
      <c r="L893" s="56"/>
      <c r="O893" s="56"/>
    </row>
    <row r="894" spans="1:15" ht="13" x14ac:dyDescent="0.15">
      <c r="A894" s="56"/>
      <c r="B894" s="56"/>
      <c r="K894" s="56"/>
      <c r="L894" s="56"/>
      <c r="O894" s="56"/>
    </row>
    <row r="895" spans="1:15" ht="13" x14ac:dyDescent="0.15">
      <c r="A895" s="56"/>
      <c r="B895" s="56"/>
      <c r="K895" s="56"/>
      <c r="L895" s="56"/>
      <c r="O895" s="56"/>
    </row>
    <row r="896" spans="1:15" ht="13" x14ac:dyDescent="0.15">
      <c r="A896" s="56"/>
      <c r="B896" s="56"/>
      <c r="K896" s="56"/>
      <c r="L896" s="56"/>
      <c r="O896" s="56"/>
    </row>
    <row r="897" spans="1:15" ht="13" x14ac:dyDescent="0.15">
      <c r="A897" s="56"/>
      <c r="B897" s="56"/>
      <c r="K897" s="56"/>
      <c r="L897" s="56"/>
      <c r="O897" s="56"/>
    </row>
    <row r="898" spans="1:15" ht="13" x14ac:dyDescent="0.15">
      <c r="A898" s="56"/>
      <c r="B898" s="56"/>
      <c r="K898" s="56"/>
      <c r="L898" s="56"/>
      <c r="O898" s="56"/>
    </row>
    <row r="899" spans="1:15" ht="13" x14ac:dyDescent="0.15">
      <c r="A899" s="56"/>
      <c r="B899" s="56"/>
      <c r="K899" s="56"/>
      <c r="L899" s="56"/>
      <c r="O899" s="56"/>
    </row>
    <row r="900" spans="1:15" ht="13" x14ac:dyDescent="0.15">
      <c r="A900" s="56"/>
      <c r="B900" s="56"/>
      <c r="K900" s="56"/>
      <c r="L900" s="56"/>
      <c r="O900" s="56"/>
    </row>
    <row r="901" spans="1:15" ht="13" x14ac:dyDescent="0.15">
      <c r="A901" s="56"/>
      <c r="B901" s="56"/>
      <c r="K901" s="56"/>
      <c r="L901" s="56"/>
      <c r="O901" s="56"/>
    </row>
    <row r="902" spans="1:15" ht="13" x14ac:dyDescent="0.15">
      <c r="A902" s="56"/>
      <c r="B902" s="56"/>
      <c r="K902" s="56"/>
      <c r="L902" s="56"/>
      <c r="O902" s="56"/>
    </row>
    <row r="903" spans="1:15" ht="13" x14ac:dyDescent="0.15">
      <c r="A903" s="56"/>
      <c r="B903" s="56"/>
      <c r="K903" s="56"/>
      <c r="L903" s="56"/>
      <c r="O903" s="56"/>
    </row>
    <row r="904" spans="1:15" ht="13" x14ac:dyDescent="0.15">
      <c r="A904" s="56"/>
      <c r="B904" s="56"/>
      <c r="K904" s="56"/>
      <c r="L904" s="56"/>
      <c r="O904" s="56"/>
    </row>
    <row r="905" spans="1:15" ht="13" x14ac:dyDescent="0.15">
      <c r="A905" s="56"/>
      <c r="B905" s="56"/>
      <c r="K905" s="56"/>
      <c r="L905" s="56"/>
      <c r="O905" s="56"/>
    </row>
    <row r="906" spans="1:15" ht="13" x14ac:dyDescent="0.15">
      <c r="A906" s="56"/>
      <c r="B906" s="56"/>
      <c r="K906" s="56"/>
      <c r="L906" s="56"/>
      <c r="O906" s="56"/>
    </row>
    <row r="907" spans="1:15" ht="13" x14ac:dyDescent="0.15">
      <c r="A907" s="56"/>
      <c r="B907" s="56"/>
      <c r="K907" s="56"/>
      <c r="L907" s="56"/>
      <c r="O907" s="56"/>
    </row>
    <row r="908" spans="1:15" ht="13" x14ac:dyDescent="0.15">
      <c r="A908" s="56"/>
      <c r="B908" s="56"/>
      <c r="K908" s="56"/>
      <c r="L908" s="56"/>
      <c r="O908" s="56"/>
    </row>
    <row r="909" spans="1:15" ht="13" x14ac:dyDescent="0.15">
      <c r="A909" s="56"/>
      <c r="B909" s="56"/>
      <c r="K909" s="56"/>
      <c r="L909" s="56"/>
      <c r="O909" s="56"/>
    </row>
    <row r="910" spans="1:15" ht="13" x14ac:dyDescent="0.15">
      <c r="A910" s="56"/>
      <c r="B910" s="56"/>
      <c r="K910" s="56"/>
      <c r="L910" s="56"/>
      <c r="O910" s="56"/>
    </row>
    <row r="911" spans="1:15" ht="13" x14ac:dyDescent="0.15">
      <c r="A911" s="56"/>
      <c r="B911" s="56"/>
      <c r="K911" s="56"/>
      <c r="L911" s="56"/>
      <c r="O911" s="56"/>
    </row>
    <row r="912" spans="1:15" ht="13" x14ac:dyDescent="0.15">
      <c r="A912" s="56"/>
      <c r="B912" s="56"/>
      <c r="K912" s="56"/>
      <c r="L912" s="56"/>
      <c r="O912" s="56"/>
    </row>
    <row r="913" spans="1:15" ht="13" x14ac:dyDescent="0.15">
      <c r="A913" s="56"/>
      <c r="B913" s="56"/>
      <c r="K913" s="56"/>
      <c r="L913" s="56"/>
      <c r="O913" s="56"/>
    </row>
    <row r="914" spans="1:15" ht="13" x14ac:dyDescent="0.15">
      <c r="A914" s="56"/>
      <c r="B914" s="56"/>
      <c r="K914" s="56"/>
      <c r="L914" s="56"/>
      <c r="O914" s="56"/>
    </row>
    <row r="915" spans="1:15" ht="13" x14ac:dyDescent="0.15">
      <c r="A915" s="56"/>
      <c r="B915" s="56"/>
      <c r="K915" s="56"/>
      <c r="L915" s="56"/>
      <c r="O915" s="56"/>
    </row>
    <row r="916" spans="1:15" ht="13" x14ac:dyDescent="0.15">
      <c r="A916" s="56"/>
      <c r="B916" s="56"/>
      <c r="K916" s="56"/>
      <c r="L916" s="56"/>
      <c r="O916" s="56"/>
    </row>
    <row r="917" spans="1:15" ht="13" x14ac:dyDescent="0.15">
      <c r="A917" s="56"/>
      <c r="B917" s="56"/>
      <c r="K917" s="56"/>
      <c r="L917" s="56"/>
      <c r="O917" s="56"/>
    </row>
    <row r="918" spans="1:15" ht="13" x14ac:dyDescent="0.15">
      <c r="A918" s="56"/>
      <c r="B918" s="56"/>
      <c r="K918" s="56"/>
      <c r="L918" s="56"/>
      <c r="O918" s="56"/>
    </row>
    <row r="919" spans="1:15" ht="13" x14ac:dyDescent="0.15">
      <c r="A919" s="56"/>
      <c r="B919" s="56"/>
      <c r="K919" s="56"/>
      <c r="L919" s="56"/>
      <c r="O919" s="56"/>
    </row>
    <row r="920" spans="1:15" ht="13" x14ac:dyDescent="0.15">
      <c r="A920" s="56"/>
      <c r="B920" s="56"/>
      <c r="K920" s="56"/>
      <c r="L920" s="56"/>
      <c r="O920" s="56"/>
    </row>
    <row r="921" spans="1:15" ht="13" x14ac:dyDescent="0.15">
      <c r="A921" s="56"/>
      <c r="B921" s="56"/>
      <c r="K921" s="56"/>
      <c r="L921" s="56"/>
      <c r="O921" s="56"/>
    </row>
    <row r="922" spans="1:15" ht="13" x14ac:dyDescent="0.15">
      <c r="A922" s="56"/>
      <c r="B922" s="56"/>
      <c r="K922" s="56"/>
      <c r="L922" s="56"/>
      <c r="O922" s="56"/>
    </row>
    <row r="923" spans="1:15" ht="13" x14ac:dyDescent="0.15">
      <c r="A923" s="56"/>
      <c r="B923" s="56"/>
      <c r="K923" s="56"/>
      <c r="L923" s="56"/>
      <c r="O923" s="56"/>
    </row>
    <row r="924" spans="1:15" ht="13" x14ac:dyDescent="0.15">
      <c r="A924" s="56"/>
      <c r="B924" s="56"/>
      <c r="K924" s="56"/>
      <c r="L924" s="56"/>
      <c r="O924" s="56"/>
    </row>
    <row r="925" spans="1:15" ht="13" x14ac:dyDescent="0.15">
      <c r="A925" s="56"/>
      <c r="B925" s="56"/>
      <c r="K925" s="56"/>
      <c r="L925" s="56"/>
      <c r="O925" s="56"/>
    </row>
    <row r="926" spans="1:15" ht="13" x14ac:dyDescent="0.15">
      <c r="A926" s="56"/>
      <c r="B926" s="56"/>
      <c r="K926" s="56"/>
      <c r="L926" s="56"/>
      <c r="O926" s="56"/>
    </row>
    <row r="927" spans="1:15" ht="13" x14ac:dyDescent="0.15">
      <c r="A927" s="56"/>
      <c r="B927" s="56"/>
      <c r="K927" s="56"/>
      <c r="L927" s="56"/>
      <c r="O927" s="56"/>
    </row>
    <row r="928" spans="1:15" ht="13" x14ac:dyDescent="0.15">
      <c r="A928" s="56"/>
      <c r="B928" s="56"/>
      <c r="K928" s="56"/>
      <c r="L928" s="56"/>
      <c r="O928" s="56"/>
    </row>
    <row r="929" spans="1:15" ht="13" x14ac:dyDescent="0.15">
      <c r="A929" s="56"/>
      <c r="B929" s="56"/>
      <c r="K929" s="56"/>
      <c r="L929" s="56"/>
      <c r="O929" s="56"/>
    </row>
    <row r="930" spans="1:15" ht="13" x14ac:dyDescent="0.15">
      <c r="A930" s="56"/>
      <c r="B930" s="56"/>
      <c r="K930" s="56"/>
      <c r="L930" s="56"/>
      <c r="O930" s="56"/>
    </row>
    <row r="931" spans="1:15" ht="13" x14ac:dyDescent="0.15">
      <c r="A931" s="56"/>
      <c r="B931" s="56"/>
      <c r="K931" s="56"/>
      <c r="L931" s="56"/>
      <c r="O931" s="56"/>
    </row>
    <row r="932" spans="1:15" ht="13" x14ac:dyDescent="0.15">
      <c r="A932" s="56"/>
      <c r="B932" s="56"/>
      <c r="K932" s="56"/>
      <c r="L932" s="56"/>
      <c r="O932" s="56"/>
    </row>
    <row r="933" spans="1:15" ht="13" x14ac:dyDescent="0.15">
      <c r="A933" s="56"/>
      <c r="B933" s="56"/>
      <c r="K933" s="56"/>
      <c r="L933" s="56"/>
      <c r="O933" s="56"/>
    </row>
    <row r="934" spans="1:15" ht="13" x14ac:dyDescent="0.15">
      <c r="A934" s="56"/>
      <c r="B934" s="56"/>
      <c r="K934" s="56"/>
      <c r="L934" s="56"/>
      <c r="O934" s="56"/>
    </row>
    <row r="935" spans="1:15" ht="13" x14ac:dyDescent="0.15">
      <c r="A935" s="56"/>
      <c r="B935" s="56"/>
      <c r="K935" s="56"/>
      <c r="L935" s="56"/>
      <c r="O935" s="56"/>
    </row>
    <row r="936" spans="1:15" ht="13" x14ac:dyDescent="0.15">
      <c r="A936" s="56"/>
      <c r="B936" s="56"/>
      <c r="K936" s="56"/>
      <c r="L936" s="56"/>
      <c r="O936" s="56"/>
    </row>
    <row r="937" spans="1:15" ht="13" x14ac:dyDescent="0.15">
      <c r="A937" s="56"/>
      <c r="B937" s="56"/>
      <c r="K937" s="56"/>
      <c r="L937" s="56"/>
      <c r="O937" s="56"/>
    </row>
    <row r="938" spans="1:15" ht="13" x14ac:dyDescent="0.15">
      <c r="A938" s="56"/>
      <c r="B938" s="56"/>
      <c r="K938" s="56"/>
      <c r="L938" s="56"/>
      <c r="O938" s="56"/>
    </row>
    <row r="939" spans="1:15" ht="13" x14ac:dyDescent="0.15">
      <c r="A939" s="56"/>
      <c r="B939" s="56"/>
      <c r="K939" s="56"/>
      <c r="L939" s="56"/>
      <c r="O939" s="56"/>
    </row>
    <row r="940" spans="1:15" ht="13" x14ac:dyDescent="0.15">
      <c r="A940" s="56"/>
      <c r="B940" s="56"/>
      <c r="K940" s="56"/>
      <c r="L940" s="56"/>
      <c r="O940" s="56"/>
    </row>
    <row r="941" spans="1:15" ht="13" x14ac:dyDescent="0.15">
      <c r="A941" s="56"/>
      <c r="B941" s="56"/>
      <c r="K941" s="56"/>
      <c r="L941" s="56"/>
      <c r="O941" s="56"/>
    </row>
    <row r="942" spans="1:15" ht="13" x14ac:dyDescent="0.15">
      <c r="A942" s="56"/>
      <c r="B942" s="56"/>
      <c r="K942" s="56"/>
      <c r="L942" s="56"/>
      <c r="O942" s="56"/>
    </row>
    <row r="943" spans="1:15" ht="13" x14ac:dyDescent="0.15">
      <c r="A943" s="56"/>
      <c r="B943" s="56"/>
      <c r="K943" s="56"/>
      <c r="L943" s="56"/>
      <c r="O943" s="56"/>
    </row>
    <row r="944" spans="1:15" ht="13" x14ac:dyDescent="0.15">
      <c r="A944" s="56"/>
      <c r="B944" s="56"/>
      <c r="K944" s="56"/>
      <c r="L944" s="56"/>
      <c r="O944" s="56"/>
    </row>
    <row r="945" spans="1:15" ht="13" x14ac:dyDescent="0.15">
      <c r="A945" s="56"/>
      <c r="B945" s="56"/>
      <c r="K945" s="56"/>
      <c r="L945" s="56"/>
      <c r="O945" s="56"/>
    </row>
    <row r="946" spans="1:15" ht="13" x14ac:dyDescent="0.15">
      <c r="A946" s="56"/>
      <c r="B946" s="56"/>
      <c r="K946" s="56"/>
      <c r="L946" s="56"/>
      <c r="O946" s="56"/>
    </row>
    <row r="947" spans="1:15" ht="13" x14ac:dyDescent="0.15">
      <c r="A947" s="56"/>
      <c r="B947" s="56"/>
      <c r="K947" s="56"/>
      <c r="L947" s="56"/>
      <c r="O947" s="56"/>
    </row>
    <row r="948" spans="1:15" ht="13" x14ac:dyDescent="0.15">
      <c r="A948" s="56"/>
      <c r="B948" s="56"/>
      <c r="K948" s="56"/>
      <c r="L948" s="56"/>
      <c r="O948" s="56"/>
    </row>
    <row r="949" spans="1:15" ht="13" x14ac:dyDescent="0.15">
      <c r="A949" s="56"/>
      <c r="B949" s="56"/>
      <c r="K949" s="56"/>
      <c r="L949" s="56"/>
      <c r="O949" s="56"/>
    </row>
    <row r="950" spans="1:15" ht="13" x14ac:dyDescent="0.15">
      <c r="A950" s="56"/>
      <c r="B950" s="56"/>
      <c r="K950" s="56"/>
      <c r="L950" s="56"/>
      <c r="O950" s="56"/>
    </row>
    <row r="951" spans="1:15" ht="13" x14ac:dyDescent="0.15">
      <c r="A951" s="56"/>
      <c r="B951" s="56"/>
      <c r="K951" s="56"/>
      <c r="L951" s="56"/>
      <c r="O951" s="56"/>
    </row>
    <row r="952" spans="1:15" ht="13" x14ac:dyDescent="0.15">
      <c r="A952" s="56"/>
      <c r="B952" s="56"/>
      <c r="K952" s="56"/>
      <c r="L952" s="56"/>
      <c r="O952" s="56"/>
    </row>
    <row r="953" spans="1:15" ht="13" x14ac:dyDescent="0.15">
      <c r="A953" s="56"/>
      <c r="B953" s="56"/>
      <c r="K953" s="56"/>
      <c r="L953" s="56"/>
      <c r="O953" s="56"/>
    </row>
    <row r="954" spans="1:15" ht="13" x14ac:dyDescent="0.15">
      <c r="A954" s="56"/>
      <c r="B954" s="56"/>
      <c r="K954" s="56"/>
      <c r="L954" s="56"/>
      <c r="O954" s="56"/>
    </row>
    <row r="955" spans="1:15" ht="13" x14ac:dyDescent="0.15">
      <c r="A955" s="56"/>
      <c r="B955" s="56"/>
      <c r="K955" s="56"/>
      <c r="L955" s="56"/>
      <c r="O955" s="56"/>
    </row>
    <row r="956" spans="1:15" ht="13" x14ac:dyDescent="0.15">
      <c r="A956" s="56"/>
      <c r="B956" s="56"/>
      <c r="K956" s="56"/>
      <c r="L956" s="56"/>
      <c r="O956" s="56"/>
    </row>
    <row r="957" spans="1:15" ht="13" x14ac:dyDescent="0.15">
      <c r="A957" s="56"/>
      <c r="B957" s="56"/>
      <c r="K957" s="56"/>
      <c r="L957" s="56"/>
      <c r="O957" s="56"/>
    </row>
    <row r="958" spans="1:15" ht="13" x14ac:dyDescent="0.15">
      <c r="A958" s="56"/>
      <c r="B958" s="56"/>
      <c r="K958" s="56"/>
      <c r="L958" s="56"/>
      <c r="O958" s="56"/>
    </row>
    <row r="959" spans="1:15" ht="13" x14ac:dyDescent="0.15">
      <c r="A959" s="56"/>
      <c r="B959" s="56"/>
      <c r="K959" s="56"/>
      <c r="L959" s="56"/>
      <c r="O959" s="56"/>
    </row>
    <row r="960" spans="1:15" ht="13" x14ac:dyDescent="0.15">
      <c r="A960" s="56"/>
      <c r="B960" s="56"/>
      <c r="K960" s="56"/>
      <c r="L960" s="56"/>
      <c r="O960" s="56"/>
    </row>
    <row r="961" spans="1:15" ht="13" x14ac:dyDescent="0.15">
      <c r="A961" s="56"/>
      <c r="B961" s="56"/>
      <c r="K961" s="56"/>
      <c r="L961" s="56"/>
      <c r="O961" s="56"/>
    </row>
    <row r="962" spans="1:15" ht="13" x14ac:dyDescent="0.15">
      <c r="A962" s="56"/>
      <c r="B962" s="56"/>
      <c r="K962" s="56"/>
      <c r="L962" s="56"/>
      <c r="O962" s="56"/>
    </row>
    <row r="963" spans="1:15" ht="13" x14ac:dyDescent="0.15">
      <c r="A963" s="56"/>
      <c r="B963" s="56"/>
      <c r="K963" s="56"/>
      <c r="L963" s="56"/>
      <c r="O963" s="56"/>
    </row>
    <row r="964" spans="1:15" ht="13" x14ac:dyDescent="0.15">
      <c r="A964" s="56"/>
      <c r="B964" s="56"/>
      <c r="K964" s="56"/>
      <c r="L964" s="56"/>
      <c r="O964" s="56"/>
    </row>
    <row r="965" spans="1:15" ht="13" x14ac:dyDescent="0.15">
      <c r="A965" s="56"/>
      <c r="B965" s="56"/>
      <c r="K965" s="56"/>
      <c r="L965" s="56"/>
      <c r="O965" s="56"/>
    </row>
    <row r="966" spans="1:15" ht="13" x14ac:dyDescent="0.15">
      <c r="A966" s="56"/>
      <c r="B966" s="56"/>
      <c r="K966" s="56"/>
      <c r="L966" s="56"/>
      <c r="O966" s="56"/>
    </row>
    <row r="967" spans="1:15" ht="13" x14ac:dyDescent="0.15">
      <c r="A967" s="56"/>
      <c r="B967" s="56"/>
      <c r="K967" s="56"/>
      <c r="L967" s="56"/>
      <c r="O967" s="56"/>
    </row>
    <row r="968" spans="1:15" ht="13" x14ac:dyDescent="0.15">
      <c r="A968" s="56"/>
      <c r="B968" s="56"/>
      <c r="K968" s="56"/>
      <c r="L968" s="56"/>
      <c r="O968" s="56"/>
    </row>
    <row r="969" spans="1:15" ht="13" x14ac:dyDescent="0.15">
      <c r="A969" s="56"/>
      <c r="B969" s="56"/>
      <c r="K969" s="56"/>
      <c r="L969" s="56"/>
      <c r="O969" s="56"/>
    </row>
    <row r="970" spans="1:15" ht="13" x14ac:dyDescent="0.15">
      <c r="A970" s="56"/>
      <c r="B970" s="56"/>
      <c r="K970" s="56"/>
      <c r="L970" s="56"/>
      <c r="O970" s="56"/>
    </row>
    <row r="971" spans="1:15" ht="13" x14ac:dyDescent="0.15">
      <c r="A971" s="56"/>
      <c r="B971" s="56"/>
      <c r="K971" s="56"/>
      <c r="L971" s="56"/>
      <c r="O971" s="56"/>
    </row>
    <row r="972" spans="1:15" ht="13" x14ac:dyDescent="0.15">
      <c r="A972" s="56"/>
      <c r="B972" s="56"/>
      <c r="K972" s="56"/>
      <c r="L972" s="56"/>
      <c r="O972" s="56"/>
    </row>
    <row r="973" spans="1:15" ht="13" x14ac:dyDescent="0.15">
      <c r="A973" s="56"/>
      <c r="B973" s="56"/>
      <c r="K973" s="56"/>
      <c r="L973" s="56"/>
      <c r="O973" s="56"/>
    </row>
    <row r="974" spans="1:15" ht="13" x14ac:dyDescent="0.15">
      <c r="A974" s="56"/>
      <c r="B974" s="56"/>
      <c r="K974" s="56"/>
      <c r="L974" s="56"/>
      <c r="O974" s="56"/>
    </row>
    <row r="975" spans="1:15" ht="13" x14ac:dyDescent="0.15">
      <c r="A975" s="56"/>
      <c r="B975" s="56"/>
      <c r="K975" s="56"/>
      <c r="L975" s="56"/>
      <c r="O975" s="56"/>
    </row>
    <row r="976" spans="1:15" ht="13" x14ac:dyDescent="0.15">
      <c r="A976" s="56"/>
      <c r="B976" s="56"/>
      <c r="K976" s="56"/>
      <c r="L976" s="56"/>
      <c r="O976" s="56"/>
    </row>
    <row r="977" spans="1:15" ht="13" x14ac:dyDescent="0.15">
      <c r="A977" s="56"/>
      <c r="B977" s="56"/>
      <c r="K977" s="56"/>
      <c r="L977" s="56"/>
      <c r="O977" s="56"/>
    </row>
    <row r="978" spans="1:15" ht="13" x14ac:dyDescent="0.15">
      <c r="A978" s="56"/>
      <c r="B978" s="56"/>
      <c r="K978" s="56"/>
      <c r="L978" s="56"/>
      <c r="O978" s="56"/>
    </row>
  </sheetData>
  <hyperlinks>
    <hyperlink ref="M3" r:id="rId1" xr:uid="{00000000-0004-0000-0A00-000000000000}"/>
    <hyperlink ref="M4" r:id="rId2" xr:uid="{00000000-0004-0000-0A00-000001000000}"/>
    <hyperlink ref="M5" r:id="rId3" xr:uid="{00000000-0004-0000-0A00-000002000000}"/>
    <hyperlink ref="M6" r:id="rId4" xr:uid="{00000000-0004-0000-0A00-000003000000}"/>
    <hyperlink ref="M11" r:id="rId5" xr:uid="{00000000-0004-0000-0A00-000004000000}"/>
    <hyperlink ref="N86" r:id="rId6" xr:uid="{00000000-0004-0000-0A00-000005000000}"/>
    <hyperlink ref="M122" r:id="rId7" xr:uid="{00000000-0004-0000-0A00-000006000000}"/>
    <hyperlink ref="M127" r:id="rId8" xr:uid="{00000000-0004-0000-0A00-000007000000}"/>
    <hyperlink ref="M129" r:id="rId9" xr:uid="{00000000-0004-0000-0A00-000008000000}"/>
  </hyperlinks>
  <pageMargins left="0.7" right="0.7" top="0.3" bottom="0.3" header="0" footer="0"/>
  <pageSetup paperSize="9" orientation="portrait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79"/>
  <sheetViews>
    <sheetView workbookViewId="0"/>
  </sheetViews>
  <sheetFormatPr baseColWidth="10" defaultColWidth="12.6640625" defaultRowHeight="15.75" customHeight="1" x14ac:dyDescent="0.15"/>
  <cols>
    <col min="1" max="1" width="14" customWidth="1"/>
    <col min="2" max="2" width="17.33203125" customWidth="1"/>
    <col min="3" max="4" width="12.1640625" customWidth="1"/>
    <col min="5" max="5" width="80.5" customWidth="1"/>
    <col min="6" max="6" width="81.6640625" customWidth="1"/>
    <col min="7" max="7" width="28.6640625" customWidth="1"/>
    <col min="8" max="8" width="53" customWidth="1"/>
    <col min="9" max="9" width="25.33203125" customWidth="1"/>
    <col min="10" max="10" width="29.33203125" customWidth="1"/>
    <col min="11" max="11" width="29.83203125" customWidth="1"/>
    <col min="12" max="12" width="27.6640625" customWidth="1"/>
    <col min="13" max="13" width="43.1640625" customWidth="1"/>
    <col min="14" max="14" width="40.83203125" customWidth="1"/>
    <col min="15" max="15" width="19" customWidth="1"/>
    <col min="16" max="16" width="8.6640625" customWidth="1"/>
    <col min="17" max="17" width="26.6640625" customWidth="1"/>
    <col min="18" max="18" width="19.6640625" customWidth="1"/>
    <col min="19" max="19" width="18.1640625" customWidth="1"/>
    <col min="20" max="20" width="19.1640625" customWidth="1"/>
    <col min="21" max="21" width="29" customWidth="1"/>
    <col min="22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245" t="s">
        <v>38</v>
      </c>
      <c r="D1" s="241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21</v>
      </c>
      <c r="B2" s="61" t="s">
        <v>3797</v>
      </c>
      <c r="C2" s="62" t="s">
        <v>51</v>
      </c>
      <c r="D2" s="62" t="str">
        <f t="shared" ref="D2:D31" si="0">A2&amp;B2&amp;C2</f>
        <v>2111001</v>
      </c>
      <c r="E2" s="63" t="s">
        <v>3798</v>
      </c>
      <c r="F2" s="63" t="s">
        <v>3799</v>
      </c>
      <c r="G2" s="69" t="s">
        <v>3800</v>
      </c>
      <c r="H2" s="63" t="s">
        <v>3801</v>
      </c>
      <c r="I2" s="63" t="s">
        <v>3802</v>
      </c>
      <c r="J2" s="63"/>
      <c r="K2" s="63" t="s">
        <v>3803</v>
      </c>
      <c r="L2" s="63"/>
      <c r="M2" s="63"/>
      <c r="N2" s="63" t="s">
        <v>3804</v>
      </c>
      <c r="O2" s="62">
        <v>4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21</v>
      </c>
      <c r="B3" s="61" t="s">
        <v>3797</v>
      </c>
      <c r="C3" s="62" t="s">
        <v>60</v>
      </c>
      <c r="D3" s="62" t="str">
        <f t="shared" si="0"/>
        <v>2111002</v>
      </c>
      <c r="E3" s="63" t="s">
        <v>3805</v>
      </c>
      <c r="F3" s="63" t="s">
        <v>3806</v>
      </c>
      <c r="G3" s="63" t="s">
        <v>3800</v>
      </c>
      <c r="H3" s="63" t="s">
        <v>3807</v>
      </c>
      <c r="I3" s="54" t="s">
        <v>3808</v>
      </c>
      <c r="J3" s="54"/>
      <c r="K3" s="200" t="s">
        <v>3809</v>
      </c>
      <c r="L3" s="54"/>
      <c r="M3" s="63" t="s">
        <v>3810</v>
      </c>
      <c r="N3" s="63" t="s">
        <v>3811</v>
      </c>
      <c r="O3" s="62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21</v>
      </c>
      <c r="B4" s="61" t="s">
        <v>3797</v>
      </c>
      <c r="C4" s="62" t="s">
        <v>68</v>
      </c>
      <c r="D4" s="62" t="str">
        <f t="shared" si="0"/>
        <v>2111003</v>
      </c>
      <c r="E4" s="63" t="s">
        <v>3812</v>
      </c>
      <c r="F4" s="63" t="s">
        <v>3813</v>
      </c>
      <c r="G4" s="63" t="s">
        <v>3800</v>
      </c>
      <c r="H4" s="63" t="s">
        <v>3814</v>
      </c>
      <c r="I4" s="63" t="s">
        <v>3815</v>
      </c>
      <c r="J4" s="63" t="s">
        <v>3816</v>
      </c>
      <c r="K4" s="63">
        <v>81909003750</v>
      </c>
      <c r="L4" s="63">
        <v>87818024180</v>
      </c>
      <c r="M4" s="63"/>
      <c r="N4" s="63" t="s">
        <v>3817</v>
      </c>
      <c r="O4" s="62">
        <v>3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21</v>
      </c>
      <c r="B5" s="61" t="s">
        <v>3797</v>
      </c>
      <c r="C5" s="62" t="s">
        <v>76</v>
      </c>
      <c r="D5" s="62" t="str">
        <f t="shared" si="0"/>
        <v>2111004</v>
      </c>
      <c r="E5" s="63" t="s">
        <v>3818</v>
      </c>
      <c r="F5" s="63" t="s">
        <v>3813</v>
      </c>
      <c r="G5" s="63" t="s">
        <v>3800</v>
      </c>
      <c r="H5" s="63" t="s">
        <v>3819</v>
      </c>
      <c r="I5" s="63" t="s">
        <v>3820</v>
      </c>
      <c r="J5" s="63" t="s">
        <v>3821</v>
      </c>
      <c r="K5" s="63" t="s">
        <v>3822</v>
      </c>
      <c r="L5" s="63" t="s">
        <v>3823</v>
      </c>
      <c r="M5" s="63"/>
      <c r="N5" s="63" t="s">
        <v>3824</v>
      </c>
      <c r="O5" s="62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22</v>
      </c>
      <c r="B6" s="61" t="s">
        <v>3797</v>
      </c>
      <c r="C6" s="62" t="s">
        <v>84</v>
      </c>
      <c r="D6" s="62" t="str">
        <f t="shared" si="0"/>
        <v>2211005</v>
      </c>
      <c r="E6" s="63" t="s">
        <v>3825</v>
      </c>
      <c r="F6" s="63" t="s">
        <v>3826</v>
      </c>
      <c r="G6" s="63" t="s">
        <v>3800</v>
      </c>
      <c r="H6" s="63" t="s">
        <v>3827</v>
      </c>
      <c r="I6" s="63" t="s">
        <v>3828</v>
      </c>
      <c r="J6" s="63" t="s">
        <v>3829</v>
      </c>
      <c r="K6" s="63">
        <v>81222236424</v>
      </c>
      <c r="L6" s="63" t="s">
        <v>3830</v>
      </c>
      <c r="M6" s="151" t="s">
        <v>3831</v>
      </c>
      <c r="N6" s="63" t="s">
        <v>3832</v>
      </c>
      <c r="O6" s="62">
        <v>10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23</v>
      </c>
      <c r="B7" s="61" t="s">
        <v>3797</v>
      </c>
      <c r="C7" s="62" t="s">
        <v>92</v>
      </c>
      <c r="D7" s="62" t="str">
        <f t="shared" si="0"/>
        <v>2311006</v>
      </c>
      <c r="E7" s="63" t="s">
        <v>3833</v>
      </c>
      <c r="F7" s="63" t="s">
        <v>3834</v>
      </c>
      <c r="G7" s="63" t="s">
        <v>3800</v>
      </c>
      <c r="H7" s="63" t="s">
        <v>3835</v>
      </c>
      <c r="I7" s="63" t="s">
        <v>3836</v>
      </c>
      <c r="J7" s="63" t="s">
        <v>3837</v>
      </c>
      <c r="K7" s="63" t="s">
        <v>3838</v>
      </c>
      <c r="L7" s="63" t="s">
        <v>3839</v>
      </c>
      <c r="M7" s="63"/>
      <c r="N7" s="63"/>
      <c r="O7" s="62">
        <v>5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23</v>
      </c>
      <c r="B8" s="61" t="s">
        <v>3797</v>
      </c>
      <c r="C8" s="62" t="s">
        <v>100</v>
      </c>
      <c r="D8" s="62" t="str">
        <f t="shared" si="0"/>
        <v>2311007</v>
      </c>
      <c r="E8" s="63" t="s">
        <v>3840</v>
      </c>
      <c r="F8" s="63" t="s">
        <v>3841</v>
      </c>
      <c r="G8" s="63" t="s">
        <v>3800</v>
      </c>
      <c r="H8" s="63" t="s">
        <v>3842</v>
      </c>
      <c r="I8" s="63" t="s">
        <v>3843</v>
      </c>
      <c r="J8" s="63"/>
      <c r="K8" s="63" t="s">
        <v>3844</v>
      </c>
      <c r="L8" s="63"/>
      <c r="M8" s="63"/>
      <c r="N8" s="63"/>
      <c r="O8" s="62">
        <v>5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23</v>
      </c>
      <c r="B9" s="61" t="s">
        <v>3797</v>
      </c>
      <c r="C9" s="62" t="s">
        <v>108</v>
      </c>
      <c r="D9" s="62" t="str">
        <f t="shared" si="0"/>
        <v>2311008</v>
      </c>
      <c r="E9" s="63" t="s">
        <v>3845</v>
      </c>
      <c r="F9" s="63" t="s">
        <v>3846</v>
      </c>
      <c r="G9" s="63" t="s">
        <v>3800</v>
      </c>
      <c r="H9" s="63" t="s">
        <v>3847</v>
      </c>
      <c r="I9" s="63" t="s">
        <v>3848</v>
      </c>
      <c r="J9" s="63"/>
      <c r="K9" s="63" t="s">
        <v>3849</v>
      </c>
      <c r="L9" s="63"/>
      <c r="M9" s="63"/>
      <c r="N9" s="63" t="s">
        <v>3850</v>
      </c>
      <c r="O9" s="62">
        <v>4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23</v>
      </c>
      <c r="B10" s="61" t="s">
        <v>3797</v>
      </c>
      <c r="C10" s="62" t="s">
        <v>116</v>
      </c>
      <c r="D10" s="62" t="str">
        <f t="shared" si="0"/>
        <v>2311009</v>
      </c>
      <c r="E10" s="63" t="s">
        <v>3851</v>
      </c>
      <c r="F10" s="63" t="s">
        <v>3852</v>
      </c>
      <c r="G10" s="63" t="s">
        <v>3800</v>
      </c>
      <c r="H10" s="63" t="s">
        <v>3853</v>
      </c>
      <c r="I10" s="63" t="s">
        <v>3854</v>
      </c>
      <c r="J10" s="63"/>
      <c r="K10" s="63" t="s">
        <v>3855</v>
      </c>
      <c r="L10" s="63"/>
      <c r="M10" s="63"/>
      <c r="N10" s="63"/>
      <c r="O10" s="62">
        <v>1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24</v>
      </c>
      <c r="B11" s="61" t="s">
        <v>3797</v>
      </c>
      <c r="C11" s="62" t="s">
        <v>124</v>
      </c>
      <c r="D11" s="62" t="str">
        <f t="shared" si="0"/>
        <v>2411010</v>
      </c>
      <c r="E11" s="63" t="s">
        <v>3856</v>
      </c>
      <c r="F11" s="63" t="s">
        <v>3857</v>
      </c>
      <c r="G11" s="63" t="s">
        <v>3800</v>
      </c>
      <c r="H11" s="63" t="s">
        <v>3858</v>
      </c>
      <c r="I11" s="54" t="s">
        <v>3859</v>
      </c>
      <c r="J11" s="54" t="s">
        <v>3860</v>
      </c>
      <c r="K11" s="54">
        <v>81916875639</v>
      </c>
      <c r="L11" s="54">
        <v>85749221963</v>
      </c>
      <c r="M11" s="54"/>
      <c r="N11" s="54" t="s">
        <v>3861</v>
      </c>
      <c r="O11" s="62">
        <v>4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24</v>
      </c>
      <c r="B12" s="61" t="s">
        <v>3797</v>
      </c>
      <c r="C12" s="62" t="s">
        <v>132</v>
      </c>
      <c r="D12" s="62" t="str">
        <f t="shared" si="0"/>
        <v>2411011</v>
      </c>
      <c r="E12" s="63" t="s">
        <v>3862</v>
      </c>
      <c r="F12" s="63" t="s">
        <v>3863</v>
      </c>
      <c r="G12" s="63" t="s">
        <v>3800</v>
      </c>
      <c r="H12" s="63" t="s">
        <v>3864</v>
      </c>
      <c r="I12" s="54" t="s">
        <v>3865</v>
      </c>
      <c r="J12" s="54"/>
      <c r="K12" s="200" t="s">
        <v>3866</v>
      </c>
      <c r="L12" s="54"/>
      <c r="M12" s="154"/>
      <c r="N12" s="54" t="s">
        <v>3867</v>
      </c>
      <c r="O12" s="62">
        <v>3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24</v>
      </c>
      <c r="B13" s="61" t="s">
        <v>3797</v>
      </c>
      <c r="C13" s="62" t="s">
        <v>140</v>
      </c>
      <c r="D13" s="62" t="str">
        <f t="shared" si="0"/>
        <v>2411012</v>
      </c>
      <c r="E13" s="63" t="s">
        <v>3868</v>
      </c>
      <c r="F13" s="63" t="s">
        <v>3869</v>
      </c>
      <c r="G13" s="63" t="s">
        <v>3800</v>
      </c>
      <c r="H13" s="63" t="s">
        <v>3870</v>
      </c>
      <c r="I13" s="54" t="s">
        <v>3871</v>
      </c>
      <c r="J13" s="54"/>
      <c r="K13" s="200" t="s">
        <v>3872</v>
      </c>
      <c r="L13" s="63"/>
      <c r="M13" s="63"/>
      <c r="N13" s="54" t="s">
        <v>3873</v>
      </c>
      <c r="O13" s="62">
        <v>6</v>
      </c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23"/>
    </row>
    <row r="14" spans="1:27" ht="15.75" customHeight="1" x14ac:dyDescent="0.2">
      <c r="A14" s="61">
        <v>24</v>
      </c>
      <c r="B14" s="61" t="s">
        <v>3797</v>
      </c>
      <c r="C14" s="62" t="s">
        <v>148</v>
      </c>
      <c r="D14" s="62" t="str">
        <f t="shared" si="0"/>
        <v>2411013</v>
      </c>
      <c r="E14" s="63" t="s">
        <v>3874</v>
      </c>
      <c r="F14" s="63" t="s">
        <v>3875</v>
      </c>
      <c r="G14" s="63" t="s">
        <v>3800</v>
      </c>
      <c r="H14" s="63" t="s">
        <v>3876</v>
      </c>
      <c r="I14" s="63" t="s">
        <v>3877</v>
      </c>
      <c r="J14" s="63"/>
      <c r="K14" s="63">
        <v>82140532264</v>
      </c>
      <c r="L14" s="63"/>
      <c r="M14" s="63"/>
      <c r="N14" s="63" t="s">
        <v>3878</v>
      </c>
      <c r="O14" s="62">
        <v>5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24</v>
      </c>
      <c r="B15" s="61" t="s">
        <v>3797</v>
      </c>
      <c r="C15" s="62" t="s">
        <v>156</v>
      </c>
      <c r="D15" s="62" t="str">
        <f t="shared" si="0"/>
        <v>2411014</v>
      </c>
      <c r="E15" s="63" t="s">
        <v>3879</v>
      </c>
      <c r="F15" s="63" t="s">
        <v>3880</v>
      </c>
      <c r="G15" s="63" t="s">
        <v>3800</v>
      </c>
      <c r="H15" s="63" t="s">
        <v>3881</v>
      </c>
      <c r="I15" s="63" t="s">
        <v>3882</v>
      </c>
      <c r="J15" s="63"/>
      <c r="K15" s="63">
        <v>85748192878</v>
      </c>
      <c r="L15" s="63"/>
      <c r="M15" s="63"/>
      <c r="N15" s="63" t="s">
        <v>3883</v>
      </c>
      <c r="O15" s="62">
        <v>3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24</v>
      </c>
      <c r="B16" s="61" t="s">
        <v>3797</v>
      </c>
      <c r="C16" s="62" t="s">
        <v>164</v>
      </c>
      <c r="D16" s="62" t="str">
        <f t="shared" si="0"/>
        <v>2411015</v>
      </c>
      <c r="E16" s="54" t="s">
        <v>3884</v>
      </c>
      <c r="F16" s="63" t="s">
        <v>3885</v>
      </c>
      <c r="G16" s="63" t="s">
        <v>3800</v>
      </c>
      <c r="H16" s="63" t="s">
        <v>3886</v>
      </c>
      <c r="I16" s="63" t="s">
        <v>3887</v>
      </c>
      <c r="J16" s="54" t="s">
        <v>3888</v>
      </c>
      <c r="K16" s="63" t="s">
        <v>3889</v>
      </c>
      <c r="L16" s="200" t="s">
        <v>3890</v>
      </c>
      <c r="M16" s="63"/>
      <c r="N16" s="63" t="s">
        <v>3891</v>
      </c>
      <c r="O16" s="62">
        <v>3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24</v>
      </c>
      <c r="B17" s="61" t="s">
        <v>3797</v>
      </c>
      <c r="C17" s="62" t="s">
        <v>173</v>
      </c>
      <c r="D17" s="62" t="str">
        <f t="shared" si="0"/>
        <v>2411016</v>
      </c>
      <c r="E17" s="63" t="s">
        <v>3892</v>
      </c>
      <c r="F17" s="63" t="s">
        <v>3893</v>
      </c>
      <c r="G17" s="63" t="s">
        <v>3800</v>
      </c>
      <c r="H17" s="63" t="s">
        <v>3894</v>
      </c>
      <c r="I17" s="63" t="s">
        <v>3895</v>
      </c>
      <c r="J17" s="63"/>
      <c r="K17" s="63">
        <v>81615448130</v>
      </c>
      <c r="L17" s="63"/>
      <c r="M17" s="63"/>
      <c r="N17" s="63" t="s">
        <v>3896</v>
      </c>
      <c r="O17" s="62">
        <v>7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24</v>
      </c>
      <c r="B18" s="61" t="s">
        <v>3797</v>
      </c>
      <c r="C18" s="62" t="s">
        <v>180</v>
      </c>
      <c r="D18" s="62" t="str">
        <f t="shared" si="0"/>
        <v>2411017</v>
      </c>
      <c r="E18" s="63" t="s">
        <v>3897</v>
      </c>
      <c r="F18" s="63" t="s">
        <v>3898</v>
      </c>
      <c r="G18" s="63" t="s">
        <v>3800</v>
      </c>
      <c r="H18" s="63" t="s">
        <v>3899</v>
      </c>
      <c r="I18" s="63" t="s">
        <v>3900</v>
      </c>
      <c r="J18" s="63"/>
      <c r="K18" s="63">
        <v>82139058488</v>
      </c>
      <c r="L18" s="63"/>
      <c r="M18" s="63"/>
      <c r="N18" s="63" t="s">
        <v>3901</v>
      </c>
      <c r="O18" s="62">
        <v>6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24</v>
      </c>
      <c r="B19" s="61" t="s">
        <v>3797</v>
      </c>
      <c r="C19" s="62" t="s">
        <v>188</v>
      </c>
      <c r="D19" s="62" t="str">
        <f t="shared" si="0"/>
        <v>2411018</v>
      </c>
      <c r="E19" s="63" t="s">
        <v>3902</v>
      </c>
      <c r="F19" s="63" t="s">
        <v>3903</v>
      </c>
      <c r="G19" s="63" t="s">
        <v>3800</v>
      </c>
      <c r="H19" s="63" t="s">
        <v>3904</v>
      </c>
      <c r="I19" s="63" t="s">
        <v>3905</v>
      </c>
      <c r="J19" s="63"/>
      <c r="K19" s="63" t="s">
        <v>3906</v>
      </c>
      <c r="L19" s="63"/>
      <c r="M19" s="63"/>
      <c r="N19" s="63" t="s">
        <v>3907</v>
      </c>
      <c r="O19" s="62">
        <v>6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24</v>
      </c>
      <c r="B20" s="61" t="s">
        <v>3797</v>
      </c>
      <c r="C20" s="62" t="s">
        <v>196</v>
      </c>
      <c r="D20" s="62" t="str">
        <f t="shared" si="0"/>
        <v>2411019</v>
      </c>
      <c r="E20" s="63" t="s">
        <v>3908</v>
      </c>
      <c r="F20" s="63" t="s">
        <v>3909</v>
      </c>
      <c r="G20" s="63" t="s">
        <v>3800</v>
      </c>
      <c r="H20" s="63" t="s">
        <v>3910</v>
      </c>
      <c r="I20" s="63" t="s">
        <v>3911</v>
      </c>
      <c r="J20" s="63"/>
      <c r="K20" s="63">
        <v>85233561761</v>
      </c>
      <c r="L20" s="63"/>
      <c r="M20" s="63"/>
      <c r="N20" s="63" t="s">
        <v>3912</v>
      </c>
      <c r="O20" s="62">
        <v>6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24</v>
      </c>
      <c r="B21" s="61" t="s">
        <v>3797</v>
      </c>
      <c r="C21" s="62" t="s">
        <v>204</v>
      </c>
      <c r="D21" s="62" t="str">
        <f t="shared" si="0"/>
        <v>2411020</v>
      </c>
      <c r="E21" s="63" t="s">
        <v>3913</v>
      </c>
      <c r="F21" s="63" t="s">
        <v>3914</v>
      </c>
      <c r="G21" s="63" t="s">
        <v>3800</v>
      </c>
      <c r="H21" s="63" t="s">
        <v>3915</v>
      </c>
      <c r="I21" s="63" t="s">
        <v>3916</v>
      </c>
      <c r="J21" s="63"/>
      <c r="K21" s="63" t="s">
        <v>3917</v>
      </c>
      <c r="L21" s="63"/>
      <c r="M21" s="63"/>
      <c r="N21" s="63" t="s">
        <v>3824</v>
      </c>
      <c r="O21" s="62">
        <v>10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24</v>
      </c>
      <c r="B22" s="61" t="s">
        <v>3797</v>
      </c>
      <c r="C22" s="62" t="s">
        <v>212</v>
      </c>
      <c r="D22" s="62" t="str">
        <f t="shared" si="0"/>
        <v>2411021</v>
      </c>
      <c r="E22" s="63" t="s">
        <v>3918</v>
      </c>
      <c r="F22" s="63" t="s">
        <v>3919</v>
      </c>
      <c r="G22" s="63" t="s">
        <v>3800</v>
      </c>
      <c r="H22" s="63" t="s">
        <v>3920</v>
      </c>
      <c r="I22" s="63" t="s">
        <v>3921</v>
      </c>
      <c r="J22" s="63"/>
      <c r="K22" s="63">
        <v>85736361750</v>
      </c>
      <c r="L22" s="63"/>
      <c r="M22" s="63"/>
      <c r="N22" s="63" t="s">
        <v>3922</v>
      </c>
      <c r="O22" s="62">
        <v>1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24</v>
      </c>
      <c r="B23" s="61" t="s">
        <v>3797</v>
      </c>
      <c r="C23" s="62" t="s">
        <v>219</v>
      </c>
      <c r="D23" s="62" t="str">
        <f t="shared" si="0"/>
        <v>2411022</v>
      </c>
      <c r="E23" s="63" t="s">
        <v>3923</v>
      </c>
      <c r="F23" s="63" t="s">
        <v>3924</v>
      </c>
      <c r="G23" s="63" t="s">
        <v>3800</v>
      </c>
      <c r="H23" s="63" t="s">
        <v>3925</v>
      </c>
      <c r="I23" s="63" t="s">
        <v>663</v>
      </c>
      <c r="J23" s="63"/>
      <c r="K23" s="63">
        <v>85807224411</v>
      </c>
      <c r="L23" s="63"/>
      <c r="M23" s="63"/>
      <c r="N23" s="63" t="s">
        <v>3878</v>
      </c>
      <c r="O23" s="62" t="s">
        <v>663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24</v>
      </c>
      <c r="B24" s="61" t="s">
        <v>3797</v>
      </c>
      <c r="C24" s="62" t="s">
        <v>226</v>
      </c>
      <c r="D24" s="62" t="str">
        <f t="shared" si="0"/>
        <v>2411023</v>
      </c>
      <c r="E24" s="63" t="s">
        <v>3926</v>
      </c>
      <c r="F24" s="63" t="s">
        <v>3927</v>
      </c>
      <c r="G24" s="63" t="s">
        <v>3800</v>
      </c>
      <c r="H24" s="63" t="s">
        <v>3928</v>
      </c>
      <c r="I24" s="63" t="s">
        <v>3929</v>
      </c>
      <c r="J24" s="63"/>
      <c r="K24" s="63">
        <v>83871736260</v>
      </c>
      <c r="L24" s="63"/>
      <c r="M24" s="63"/>
      <c r="N24" s="63" t="s">
        <v>3930</v>
      </c>
      <c r="O24" s="62">
        <v>1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24</v>
      </c>
      <c r="B25" s="61" t="s">
        <v>3797</v>
      </c>
      <c r="C25" s="62" t="s">
        <v>234</v>
      </c>
      <c r="D25" s="62" t="str">
        <f t="shared" si="0"/>
        <v>2411024</v>
      </c>
      <c r="E25" s="54" t="s">
        <v>3931</v>
      </c>
      <c r="F25" s="54" t="s">
        <v>3932</v>
      </c>
      <c r="G25" s="54" t="s">
        <v>3800</v>
      </c>
      <c r="H25" s="54" t="s">
        <v>3933</v>
      </c>
      <c r="I25" s="54" t="s">
        <v>3934</v>
      </c>
      <c r="J25" s="54"/>
      <c r="K25" s="200" t="s">
        <v>3935</v>
      </c>
      <c r="L25" s="54"/>
      <c r="M25" s="54"/>
      <c r="N25" s="54" t="s">
        <v>3936</v>
      </c>
      <c r="O25" s="54"/>
      <c r="R25" s="43"/>
      <c r="T25" s="44"/>
      <c r="W25" s="43"/>
      <c r="X25" s="43"/>
      <c r="Y25" s="23"/>
      <c r="Z25" s="23"/>
      <c r="AA25" s="23"/>
    </row>
    <row r="26" spans="1:27" ht="15.75" customHeight="1" x14ac:dyDescent="0.2">
      <c r="A26" s="61">
        <v>25</v>
      </c>
      <c r="B26" s="61" t="s">
        <v>3797</v>
      </c>
      <c r="C26" s="62" t="s">
        <v>240</v>
      </c>
      <c r="D26" s="62" t="str">
        <f t="shared" si="0"/>
        <v>2511025</v>
      </c>
      <c r="E26" s="54" t="s">
        <v>3851</v>
      </c>
      <c r="F26" s="54" t="s">
        <v>3852</v>
      </c>
      <c r="G26" s="54" t="s">
        <v>3800</v>
      </c>
      <c r="H26" s="54" t="s">
        <v>3853</v>
      </c>
      <c r="I26" s="54" t="s">
        <v>3854</v>
      </c>
      <c r="J26" s="54"/>
      <c r="K26" s="200" t="s">
        <v>3855</v>
      </c>
      <c r="L26" s="54"/>
      <c r="M26" s="54"/>
      <c r="N26" s="54"/>
      <c r="O26" s="54"/>
      <c r="R26" s="43"/>
      <c r="T26" s="43"/>
      <c r="W26" s="43"/>
      <c r="X26" s="43"/>
      <c r="Y26" s="23"/>
      <c r="Z26" s="23"/>
      <c r="AA26" s="23"/>
    </row>
    <row r="27" spans="1:27" ht="15.75" customHeight="1" x14ac:dyDescent="0.2">
      <c r="A27" s="61">
        <v>25</v>
      </c>
      <c r="B27" s="61" t="s">
        <v>3797</v>
      </c>
      <c r="C27" s="62" t="s">
        <v>246</v>
      </c>
      <c r="D27" s="62" t="str">
        <f t="shared" si="0"/>
        <v>2511026</v>
      </c>
      <c r="E27" s="43" t="s">
        <v>3931</v>
      </c>
      <c r="F27" s="43" t="s">
        <v>3932</v>
      </c>
      <c r="G27" s="43" t="s">
        <v>3800</v>
      </c>
      <c r="H27" s="43" t="s">
        <v>3933</v>
      </c>
      <c r="I27" s="43" t="s">
        <v>3931</v>
      </c>
      <c r="J27" s="43"/>
      <c r="K27" s="43" t="s">
        <v>3937</v>
      </c>
      <c r="L27" s="43"/>
      <c r="M27" s="43"/>
      <c r="N27" s="43" t="s">
        <v>3938</v>
      </c>
      <c r="O27" s="43"/>
      <c r="P27" s="44">
        <v>10</v>
      </c>
      <c r="Q27" s="43" t="s">
        <v>3934</v>
      </c>
      <c r="R27" s="43" t="s">
        <v>742</v>
      </c>
      <c r="S27" s="55" t="s">
        <v>3935</v>
      </c>
      <c r="T27" s="44">
        <v>0</v>
      </c>
      <c r="U27" s="43" t="s">
        <v>3936</v>
      </c>
      <c r="V27" s="43"/>
      <c r="W27" s="43"/>
      <c r="X27" s="43"/>
      <c r="Y27" s="43"/>
      <c r="Z27" s="43"/>
      <c r="AA27" s="43"/>
    </row>
    <row r="28" spans="1:27" ht="15.75" customHeight="1" x14ac:dyDescent="0.2">
      <c r="A28" s="61">
        <v>25</v>
      </c>
      <c r="B28" s="61" t="s">
        <v>3797</v>
      </c>
      <c r="C28" s="62" t="s">
        <v>251</v>
      </c>
      <c r="D28" s="62" t="str">
        <f t="shared" si="0"/>
        <v>2511027</v>
      </c>
      <c r="E28" s="43" t="s">
        <v>3884</v>
      </c>
      <c r="F28" s="43" t="s">
        <v>3939</v>
      </c>
      <c r="G28" s="43" t="s">
        <v>3800</v>
      </c>
      <c r="H28" s="43" t="s">
        <v>3940</v>
      </c>
      <c r="I28" s="43" t="s">
        <v>3941</v>
      </c>
      <c r="J28" s="43" t="s">
        <v>3941</v>
      </c>
      <c r="K28" s="43" t="s">
        <v>3942</v>
      </c>
      <c r="L28" s="43" t="s">
        <v>663</v>
      </c>
      <c r="M28" s="43" t="s">
        <v>663</v>
      </c>
      <c r="N28" s="43" t="s">
        <v>663</v>
      </c>
      <c r="O28" s="43" t="s">
        <v>663</v>
      </c>
      <c r="P28" s="44">
        <v>2</v>
      </c>
      <c r="Q28" s="43" t="s">
        <v>3888</v>
      </c>
      <c r="R28" s="43" t="s">
        <v>742</v>
      </c>
      <c r="S28" s="55" t="s">
        <v>3890</v>
      </c>
      <c r="T28" s="55" t="s">
        <v>3890</v>
      </c>
      <c r="U28" s="43" t="s">
        <v>3891</v>
      </c>
      <c r="V28" s="43"/>
      <c r="W28" s="43"/>
      <c r="X28" s="43"/>
      <c r="Y28" s="43"/>
      <c r="Z28" s="43"/>
      <c r="AA28" s="43"/>
    </row>
    <row r="29" spans="1:27" ht="15.75" customHeight="1" x14ac:dyDescent="0.2">
      <c r="A29" s="61">
        <v>25</v>
      </c>
      <c r="B29" s="61" t="s">
        <v>3797</v>
      </c>
      <c r="C29" s="62" t="s">
        <v>256</v>
      </c>
      <c r="D29" s="62" t="str">
        <f t="shared" si="0"/>
        <v>2511028</v>
      </c>
      <c r="E29" s="43" t="s">
        <v>3943</v>
      </c>
      <c r="F29" s="43" t="s">
        <v>3944</v>
      </c>
      <c r="G29" s="43" t="s">
        <v>3800</v>
      </c>
      <c r="H29" s="43" t="s">
        <v>3945</v>
      </c>
      <c r="I29" s="43" t="s">
        <v>3946</v>
      </c>
      <c r="J29" s="43" t="s">
        <v>3947</v>
      </c>
      <c r="K29" s="43" t="s">
        <v>3947</v>
      </c>
      <c r="L29" s="43"/>
      <c r="M29" s="43"/>
      <c r="N29" s="43" t="s">
        <v>3947</v>
      </c>
      <c r="O29" s="43"/>
      <c r="P29" s="44">
        <v>8</v>
      </c>
      <c r="Q29" s="43" t="s">
        <v>3948</v>
      </c>
      <c r="R29" s="43" t="s">
        <v>3949</v>
      </c>
      <c r="S29" s="55" t="s">
        <v>3950</v>
      </c>
      <c r="T29" s="44">
        <v>0</v>
      </c>
      <c r="U29" s="43" t="s">
        <v>3951</v>
      </c>
      <c r="V29" s="43"/>
      <c r="W29" s="43"/>
      <c r="X29" s="43"/>
      <c r="Y29" s="43"/>
      <c r="Z29" s="43"/>
      <c r="AA29" s="43"/>
    </row>
    <row r="30" spans="1:27" ht="15.75" customHeight="1" x14ac:dyDescent="0.2">
      <c r="A30" s="61">
        <v>25</v>
      </c>
      <c r="B30" s="61" t="s">
        <v>3797</v>
      </c>
      <c r="C30" s="62" t="s">
        <v>261</v>
      </c>
      <c r="D30" s="62" t="str">
        <f t="shared" si="0"/>
        <v>2511029</v>
      </c>
      <c r="E30" s="43" t="s">
        <v>3952</v>
      </c>
      <c r="F30" s="43" t="s">
        <v>3953</v>
      </c>
      <c r="G30" s="43" t="s">
        <v>3800</v>
      </c>
      <c r="H30" s="43" t="s">
        <v>3954</v>
      </c>
      <c r="I30" s="43" t="s">
        <v>3955</v>
      </c>
      <c r="J30" s="43" t="s">
        <v>3955</v>
      </c>
      <c r="K30" s="43" t="s">
        <v>3955</v>
      </c>
      <c r="L30" s="43" t="s">
        <v>3955</v>
      </c>
      <c r="M30" s="78" t="s">
        <v>3956</v>
      </c>
      <c r="N30" s="43" t="s">
        <v>3955</v>
      </c>
      <c r="O30" s="43" t="s">
        <v>3955</v>
      </c>
      <c r="P30" s="44">
        <v>5</v>
      </c>
      <c r="Q30" s="43" t="s">
        <v>3957</v>
      </c>
      <c r="R30" s="43" t="s">
        <v>742</v>
      </c>
      <c r="S30" s="55" t="s">
        <v>3958</v>
      </c>
      <c r="T30" s="55" t="s">
        <v>3959</v>
      </c>
      <c r="U30" s="43" t="s">
        <v>3960</v>
      </c>
      <c r="V30" s="43"/>
      <c r="W30" s="43"/>
      <c r="X30" s="43"/>
      <c r="Y30" s="43"/>
      <c r="Z30" s="43"/>
      <c r="AA30" s="43"/>
    </row>
    <row r="31" spans="1:27" ht="15.75" customHeight="1" x14ac:dyDescent="0.2">
      <c r="A31" s="61">
        <v>25</v>
      </c>
      <c r="B31" s="61" t="s">
        <v>3797</v>
      </c>
      <c r="C31" s="62" t="s">
        <v>266</v>
      </c>
      <c r="D31" s="62" t="str">
        <f t="shared" si="0"/>
        <v>2511030</v>
      </c>
      <c r="E31" s="43" t="s">
        <v>3961</v>
      </c>
      <c r="F31" s="43" t="s">
        <v>3962</v>
      </c>
      <c r="G31" s="43" t="s">
        <v>3800</v>
      </c>
      <c r="H31" s="43" t="s">
        <v>3963</v>
      </c>
      <c r="I31" s="43"/>
      <c r="J31" s="43"/>
      <c r="K31" s="43"/>
      <c r="L31" s="43"/>
      <c r="M31" s="43"/>
      <c r="N31" s="43"/>
      <c r="O31" s="43"/>
      <c r="P31" s="43"/>
      <c r="Q31" s="43" t="s">
        <v>3964</v>
      </c>
      <c r="R31" s="43" t="s">
        <v>3965</v>
      </c>
      <c r="S31" s="55" t="s">
        <v>3966</v>
      </c>
      <c r="T31" s="55" t="s">
        <v>3966</v>
      </c>
      <c r="U31" s="43" t="s">
        <v>3967</v>
      </c>
      <c r="V31" s="43"/>
      <c r="W31" s="43"/>
      <c r="X31" s="43"/>
      <c r="Y31" s="43"/>
      <c r="Z31" s="43"/>
      <c r="AA31" s="43"/>
    </row>
    <row r="32" spans="1:27" ht="15.75" customHeight="1" x14ac:dyDescent="0.15">
      <c r="A32" s="56"/>
      <c r="B32" s="56"/>
      <c r="C32" s="23"/>
      <c r="D32" s="23"/>
      <c r="E32" s="23"/>
      <c r="F32" s="23"/>
      <c r="G32" s="23"/>
      <c r="H32" s="23"/>
      <c r="I32" s="23"/>
      <c r="J32" s="23"/>
      <c r="K32" s="56"/>
      <c r="L32" s="56"/>
      <c r="M32" s="23"/>
      <c r="N32" s="23"/>
      <c r="O32" s="5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15">
      <c r="A33" s="56"/>
      <c r="B33" s="56"/>
      <c r="C33" s="23"/>
      <c r="D33" s="23"/>
      <c r="E33" s="23"/>
      <c r="F33" s="23"/>
      <c r="G33" s="23"/>
      <c r="H33" s="23"/>
      <c r="I33" s="23"/>
      <c r="J33" s="23"/>
      <c r="K33" s="56"/>
      <c r="L33" s="56"/>
      <c r="M33" s="23"/>
      <c r="N33" s="23"/>
      <c r="O33" s="5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15">
      <c r="A34" s="56"/>
      <c r="B34" s="56"/>
      <c r="C34" s="23"/>
      <c r="D34" s="23"/>
      <c r="E34" s="23"/>
      <c r="F34" s="23"/>
      <c r="G34" s="23"/>
      <c r="H34" s="23"/>
      <c r="I34" s="23"/>
      <c r="J34" s="23"/>
      <c r="K34" s="56"/>
      <c r="L34" s="56"/>
      <c r="M34" s="23"/>
      <c r="N34" s="23"/>
      <c r="O34" s="5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15">
      <c r="A35" s="56"/>
      <c r="B35" s="56"/>
      <c r="C35" s="23"/>
      <c r="D35" s="23"/>
      <c r="E35" s="23"/>
      <c r="F35" s="23"/>
      <c r="G35" s="23"/>
      <c r="H35" s="23"/>
      <c r="I35" s="23"/>
      <c r="J35" s="23"/>
      <c r="K35" s="56"/>
      <c r="L35" s="56"/>
      <c r="M35" s="23"/>
      <c r="N35" s="23"/>
      <c r="O35" s="56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15">
      <c r="A36" s="56"/>
      <c r="B36" s="56"/>
      <c r="C36" s="23"/>
      <c r="D36" s="23"/>
      <c r="E36" s="23"/>
      <c r="F36" s="23"/>
      <c r="G36" s="23"/>
      <c r="H36" s="23"/>
      <c r="I36" s="23"/>
      <c r="J36" s="23"/>
      <c r="K36" s="56"/>
      <c r="L36" s="56"/>
      <c r="M36" s="23"/>
      <c r="N36" s="23"/>
      <c r="O36" s="56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15">
      <c r="A37" s="56"/>
      <c r="B37" s="56"/>
      <c r="C37" s="23"/>
      <c r="D37" s="23"/>
      <c r="E37" s="23"/>
      <c r="F37" s="23"/>
      <c r="G37" s="23"/>
      <c r="H37" s="23"/>
      <c r="I37" s="23"/>
      <c r="J37" s="23"/>
      <c r="K37" s="56"/>
      <c r="L37" s="56"/>
      <c r="M37" s="23"/>
      <c r="N37" s="23"/>
      <c r="O37" s="56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15">
      <c r="A38" s="56"/>
      <c r="B38" s="56"/>
      <c r="C38" s="23"/>
      <c r="D38" s="23"/>
      <c r="E38" s="23"/>
      <c r="F38" s="23"/>
      <c r="G38" s="23"/>
      <c r="H38" s="23"/>
      <c r="I38" s="23"/>
      <c r="J38" s="23"/>
      <c r="K38" s="56"/>
      <c r="L38" s="56"/>
      <c r="M38" s="23"/>
      <c r="N38" s="23"/>
      <c r="O38" s="56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15">
      <c r="A39" s="56"/>
      <c r="B39" s="56"/>
      <c r="C39" s="23"/>
      <c r="D39" s="23"/>
      <c r="E39" s="23"/>
      <c r="F39" s="23"/>
      <c r="G39" s="23"/>
      <c r="H39" s="23"/>
      <c r="I39" s="23"/>
      <c r="J39" s="23"/>
      <c r="K39" s="56"/>
      <c r="L39" s="56"/>
      <c r="M39" s="23"/>
      <c r="N39" s="23"/>
      <c r="O39" s="56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15">
      <c r="A40" s="56"/>
      <c r="B40" s="56"/>
      <c r="C40" s="23"/>
      <c r="D40" s="23"/>
      <c r="E40" s="23"/>
      <c r="F40" s="23"/>
      <c r="G40" s="23"/>
      <c r="H40" s="23"/>
      <c r="I40" s="23"/>
      <c r="J40" s="23"/>
      <c r="K40" s="56"/>
      <c r="L40" s="56"/>
      <c r="M40" s="23"/>
      <c r="N40" s="23"/>
      <c r="O40" s="56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15">
      <c r="A41" s="56"/>
      <c r="B41" s="56"/>
      <c r="C41" s="23"/>
      <c r="D41" s="23"/>
      <c r="E41" s="23"/>
      <c r="F41" s="23"/>
      <c r="G41" s="23"/>
      <c r="H41" s="23"/>
      <c r="I41" s="23"/>
      <c r="J41" s="23"/>
      <c r="K41" s="56"/>
      <c r="L41" s="56"/>
      <c r="M41" s="23"/>
      <c r="N41" s="23"/>
      <c r="O41" s="56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15">
      <c r="A42" s="56"/>
      <c r="B42" s="56"/>
      <c r="C42" s="23"/>
      <c r="D42" s="23"/>
      <c r="E42" s="23"/>
      <c r="F42" s="23"/>
      <c r="G42" s="23"/>
      <c r="H42" s="23"/>
      <c r="I42" s="23"/>
      <c r="J42" s="23"/>
      <c r="K42" s="56"/>
      <c r="L42" s="56"/>
      <c r="M42" s="23"/>
      <c r="N42" s="23"/>
      <c r="O42" s="56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15">
      <c r="A43" s="56"/>
      <c r="B43" s="56"/>
      <c r="C43" s="23"/>
      <c r="D43" s="23"/>
      <c r="E43" s="23"/>
      <c r="F43" s="23"/>
      <c r="G43" s="23"/>
      <c r="H43" s="23"/>
      <c r="I43" s="23"/>
      <c r="J43" s="23"/>
      <c r="K43" s="56"/>
      <c r="L43" s="56"/>
      <c r="M43" s="23"/>
      <c r="N43" s="23"/>
      <c r="O43" s="56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15">
      <c r="A44" s="56"/>
      <c r="B44" s="56"/>
      <c r="C44" s="23"/>
      <c r="D44" s="23"/>
      <c r="E44" s="23"/>
      <c r="F44" s="23"/>
      <c r="G44" s="23"/>
      <c r="H44" s="23"/>
      <c r="I44" s="23"/>
      <c r="J44" s="23"/>
      <c r="K44" s="56"/>
      <c r="L44" s="56"/>
      <c r="M44" s="23"/>
      <c r="N44" s="23"/>
      <c r="O44" s="56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15">
      <c r="A45" s="56"/>
      <c r="B45" s="56"/>
      <c r="C45" s="23"/>
      <c r="D45" s="23"/>
      <c r="E45" s="23"/>
      <c r="F45" s="23"/>
      <c r="G45" s="23"/>
      <c r="H45" s="23"/>
      <c r="I45" s="23"/>
      <c r="J45" s="23"/>
      <c r="K45" s="56"/>
      <c r="L45" s="56"/>
      <c r="M45" s="23"/>
      <c r="N45" s="23"/>
      <c r="O45" s="56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15">
      <c r="A46" s="56"/>
      <c r="B46" s="56"/>
      <c r="C46" s="23"/>
      <c r="D46" s="23"/>
      <c r="E46" s="23"/>
      <c r="F46" s="23"/>
      <c r="G46" s="23"/>
      <c r="H46" s="23"/>
      <c r="I46" s="23"/>
      <c r="J46" s="23"/>
      <c r="K46" s="56"/>
      <c r="L46" s="56"/>
      <c r="M46" s="23"/>
      <c r="N46" s="23"/>
      <c r="O46" s="56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15">
      <c r="A47" s="56"/>
      <c r="B47" s="56"/>
      <c r="C47" s="23"/>
      <c r="D47" s="23"/>
      <c r="E47" s="23"/>
      <c r="F47" s="23"/>
      <c r="G47" s="23"/>
      <c r="H47" s="23"/>
      <c r="I47" s="23"/>
      <c r="J47" s="23"/>
      <c r="K47" s="56"/>
      <c r="L47" s="56"/>
      <c r="M47" s="23"/>
      <c r="N47" s="23"/>
      <c r="O47" s="56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15">
      <c r="A48" s="56"/>
      <c r="B48" s="56"/>
      <c r="C48" s="23"/>
      <c r="D48" s="23"/>
      <c r="E48" s="23"/>
      <c r="F48" s="23"/>
      <c r="G48" s="23"/>
      <c r="H48" s="23"/>
      <c r="I48" s="23"/>
      <c r="J48" s="23"/>
      <c r="K48" s="56"/>
      <c r="L48" s="56"/>
      <c r="M48" s="23"/>
      <c r="N48" s="23"/>
      <c r="O48" s="5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15">
      <c r="A49" s="56"/>
      <c r="B49" s="56"/>
      <c r="C49" s="23"/>
      <c r="D49" s="23"/>
      <c r="E49" s="23"/>
      <c r="F49" s="23"/>
      <c r="G49" s="23"/>
      <c r="H49" s="23"/>
      <c r="I49" s="23"/>
      <c r="J49" s="23"/>
      <c r="K49" s="56"/>
      <c r="L49" s="56"/>
      <c r="M49" s="23"/>
      <c r="N49" s="23"/>
      <c r="O49" s="56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15">
      <c r="A50" s="56"/>
      <c r="B50" s="56"/>
      <c r="C50" s="23"/>
      <c r="D50" s="23"/>
      <c r="E50" s="23"/>
      <c r="F50" s="23"/>
      <c r="G50" s="23"/>
      <c r="H50" s="23"/>
      <c r="I50" s="23"/>
      <c r="J50" s="23"/>
      <c r="K50" s="56"/>
      <c r="L50" s="56"/>
      <c r="M50" s="23"/>
      <c r="N50" s="23"/>
      <c r="O50" s="56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15">
      <c r="A51" s="56"/>
      <c r="B51" s="56"/>
      <c r="C51" s="23"/>
      <c r="D51" s="23"/>
      <c r="E51" s="23"/>
      <c r="F51" s="23"/>
      <c r="G51" s="23"/>
      <c r="H51" s="23"/>
      <c r="I51" s="23"/>
      <c r="J51" s="23"/>
      <c r="K51" s="56"/>
      <c r="L51" s="56"/>
      <c r="M51" s="23"/>
      <c r="N51" s="23"/>
      <c r="O51" s="56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15">
      <c r="A52" s="56"/>
      <c r="B52" s="56"/>
      <c r="C52" s="23"/>
      <c r="D52" s="23"/>
      <c r="E52" s="23"/>
      <c r="F52" s="23"/>
      <c r="G52" s="23"/>
      <c r="H52" s="23"/>
      <c r="I52" s="23"/>
      <c r="J52" s="23"/>
      <c r="K52" s="56"/>
      <c r="L52" s="56"/>
      <c r="M52" s="23"/>
      <c r="N52" s="23"/>
      <c r="O52" s="5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15">
      <c r="A53" s="56"/>
      <c r="B53" s="56"/>
      <c r="C53" s="23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3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3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3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3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3" x14ac:dyDescent="0.15">
      <c r="A217" s="56"/>
      <c r="B217" s="56"/>
      <c r="K217" s="56"/>
      <c r="L217" s="56"/>
      <c r="O217" s="56"/>
    </row>
    <row r="218" spans="1:27" ht="13" x14ac:dyDescent="0.15">
      <c r="A218" s="56"/>
      <c r="B218" s="56"/>
      <c r="K218" s="56"/>
      <c r="L218" s="56"/>
      <c r="O218" s="56"/>
    </row>
    <row r="219" spans="1:27" ht="13" x14ac:dyDescent="0.15">
      <c r="A219" s="56"/>
      <c r="B219" s="56"/>
      <c r="K219" s="56"/>
      <c r="L219" s="56"/>
      <c r="O219" s="56"/>
    </row>
    <row r="220" spans="1:27" ht="13" x14ac:dyDescent="0.15">
      <c r="A220" s="56"/>
      <c r="B220" s="56"/>
      <c r="K220" s="56"/>
      <c r="L220" s="56"/>
      <c r="O220" s="56"/>
    </row>
    <row r="221" spans="1:27" ht="13" x14ac:dyDescent="0.15">
      <c r="A221" s="56"/>
      <c r="B221" s="56"/>
      <c r="K221" s="56"/>
      <c r="L221" s="56"/>
      <c r="O221" s="56"/>
    </row>
    <row r="222" spans="1:27" ht="13" x14ac:dyDescent="0.15">
      <c r="A222" s="56"/>
      <c r="B222" s="56"/>
      <c r="K222" s="56"/>
      <c r="L222" s="56"/>
      <c r="O222" s="56"/>
    </row>
    <row r="223" spans="1:27" ht="13" x14ac:dyDescent="0.15">
      <c r="A223" s="56"/>
      <c r="B223" s="56"/>
      <c r="K223" s="56"/>
      <c r="L223" s="56"/>
      <c r="O223" s="56"/>
    </row>
    <row r="224" spans="1:27" ht="13" x14ac:dyDescent="0.15">
      <c r="A224" s="56"/>
      <c r="B224" s="56"/>
      <c r="K224" s="56"/>
      <c r="L224" s="56"/>
      <c r="O224" s="56"/>
    </row>
    <row r="225" spans="1:15" ht="13" x14ac:dyDescent="0.15">
      <c r="A225" s="56"/>
      <c r="B225" s="56"/>
      <c r="K225" s="56"/>
      <c r="L225" s="56"/>
      <c r="O225" s="56"/>
    </row>
    <row r="226" spans="1:15" ht="13" x14ac:dyDescent="0.15">
      <c r="A226" s="56"/>
      <c r="B226" s="56"/>
      <c r="K226" s="56"/>
      <c r="L226" s="56"/>
      <c r="O226" s="56"/>
    </row>
    <row r="227" spans="1:15" ht="13" x14ac:dyDescent="0.15">
      <c r="A227" s="56"/>
      <c r="B227" s="56"/>
      <c r="K227" s="56"/>
      <c r="L227" s="56"/>
      <c r="O227" s="56"/>
    </row>
    <row r="228" spans="1:15" ht="13" x14ac:dyDescent="0.15">
      <c r="A228" s="56"/>
      <c r="B228" s="56"/>
      <c r="K228" s="56"/>
      <c r="L228" s="56"/>
      <c r="O228" s="56"/>
    </row>
    <row r="229" spans="1:15" ht="13" x14ac:dyDescent="0.15">
      <c r="A229" s="56"/>
      <c r="B229" s="56"/>
      <c r="K229" s="56"/>
      <c r="L229" s="56"/>
      <c r="O229" s="56"/>
    </row>
    <row r="230" spans="1:15" ht="13" x14ac:dyDescent="0.15">
      <c r="A230" s="56"/>
      <c r="B230" s="56"/>
      <c r="K230" s="56"/>
      <c r="L230" s="56"/>
      <c r="O230" s="56"/>
    </row>
    <row r="231" spans="1:15" ht="13" x14ac:dyDescent="0.15">
      <c r="A231" s="56"/>
      <c r="B231" s="56"/>
      <c r="K231" s="56"/>
      <c r="L231" s="56"/>
      <c r="O231" s="56"/>
    </row>
    <row r="232" spans="1:15" ht="13" x14ac:dyDescent="0.15">
      <c r="A232" s="56"/>
      <c r="B232" s="56"/>
      <c r="K232" s="56"/>
      <c r="L232" s="56"/>
      <c r="O232" s="56"/>
    </row>
    <row r="233" spans="1:15" ht="13" x14ac:dyDescent="0.15">
      <c r="A233" s="56"/>
      <c r="B233" s="56"/>
      <c r="K233" s="56"/>
      <c r="L233" s="56"/>
      <c r="O233" s="56"/>
    </row>
    <row r="234" spans="1:15" ht="13" x14ac:dyDescent="0.15">
      <c r="A234" s="56"/>
      <c r="B234" s="56"/>
      <c r="K234" s="56"/>
      <c r="L234" s="56"/>
      <c r="O234" s="56"/>
    </row>
    <row r="235" spans="1:15" ht="13" x14ac:dyDescent="0.15">
      <c r="A235" s="56"/>
      <c r="B235" s="56"/>
      <c r="K235" s="56"/>
      <c r="L235" s="56"/>
      <c r="O235" s="56"/>
    </row>
    <row r="236" spans="1:15" ht="13" x14ac:dyDescent="0.15">
      <c r="A236" s="56"/>
      <c r="B236" s="56"/>
      <c r="K236" s="56"/>
      <c r="L236" s="56"/>
      <c r="O236" s="56"/>
    </row>
    <row r="237" spans="1:15" ht="13" x14ac:dyDescent="0.15">
      <c r="A237" s="56"/>
      <c r="B237" s="56"/>
      <c r="K237" s="56"/>
      <c r="L237" s="56"/>
      <c r="O237" s="56"/>
    </row>
    <row r="238" spans="1:15" ht="13" x14ac:dyDescent="0.15">
      <c r="A238" s="56"/>
      <c r="B238" s="56"/>
      <c r="K238" s="56"/>
      <c r="L238" s="56"/>
      <c r="O238" s="56"/>
    </row>
    <row r="239" spans="1:15" ht="13" x14ac:dyDescent="0.15">
      <c r="A239" s="56"/>
      <c r="B239" s="56"/>
      <c r="K239" s="56"/>
      <c r="L239" s="56"/>
      <c r="O239" s="56"/>
    </row>
    <row r="240" spans="1:15" ht="13" x14ac:dyDescent="0.15">
      <c r="A240" s="56"/>
      <c r="B240" s="56"/>
      <c r="K240" s="56"/>
      <c r="L240" s="56"/>
      <c r="O240" s="56"/>
    </row>
    <row r="241" spans="1:15" ht="13" x14ac:dyDescent="0.15">
      <c r="A241" s="56"/>
      <c r="B241" s="56"/>
      <c r="K241" s="56"/>
      <c r="L241" s="56"/>
      <c r="O241" s="56"/>
    </row>
    <row r="242" spans="1:15" ht="13" x14ac:dyDescent="0.15">
      <c r="A242" s="56"/>
      <c r="B242" s="56"/>
      <c r="K242" s="56"/>
      <c r="L242" s="56"/>
      <c r="O242" s="56"/>
    </row>
    <row r="243" spans="1:15" ht="13" x14ac:dyDescent="0.15">
      <c r="A243" s="56"/>
      <c r="B243" s="56"/>
      <c r="K243" s="56"/>
      <c r="L243" s="56"/>
      <c r="O243" s="56"/>
    </row>
    <row r="244" spans="1:15" ht="13" x14ac:dyDescent="0.15">
      <c r="A244" s="56"/>
      <c r="B244" s="56"/>
      <c r="K244" s="56"/>
      <c r="L244" s="56"/>
      <c r="O244" s="56"/>
    </row>
    <row r="245" spans="1:15" ht="13" x14ac:dyDescent="0.15">
      <c r="A245" s="56"/>
      <c r="B245" s="56"/>
      <c r="K245" s="56"/>
      <c r="L245" s="56"/>
      <c r="O245" s="56"/>
    </row>
    <row r="246" spans="1:15" ht="13" x14ac:dyDescent="0.15">
      <c r="A246" s="56"/>
      <c r="B246" s="56"/>
      <c r="K246" s="56"/>
      <c r="L246" s="56"/>
      <c r="O246" s="56"/>
    </row>
    <row r="247" spans="1:15" ht="13" x14ac:dyDescent="0.15">
      <c r="A247" s="56"/>
      <c r="B247" s="56"/>
      <c r="K247" s="56"/>
      <c r="L247" s="56"/>
      <c r="O247" s="56"/>
    </row>
    <row r="248" spans="1:15" ht="13" x14ac:dyDescent="0.15">
      <c r="A248" s="56"/>
      <c r="B248" s="56"/>
      <c r="K248" s="56"/>
      <c r="L248" s="56"/>
      <c r="O248" s="56"/>
    </row>
    <row r="249" spans="1:15" ht="13" x14ac:dyDescent="0.15">
      <c r="A249" s="56"/>
      <c r="B249" s="56"/>
      <c r="K249" s="56"/>
      <c r="L249" s="56"/>
      <c r="O249" s="56"/>
    </row>
    <row r="250" spans="1:15" ht="13" x14ac:dyDescent="0.15">
      <c r="A250" s="56"/>
      <c r="B250" s="56"/>
      <c r="K250" s="56"/>
      <c r="L250" s="56"/>
      <c r="O250" s="56"/>
    </row>
    <row r="251" spans="1:15" ht="13" x14ac:dyDescent="0.15">
      <c r="A251" s="56"/>
      <c r="B251" s="56"/>
      <c r="K251" s="56"/>
      <c r="L251" s="56"/>
      <c r="O251" s="56"/>
    </row>
    <row r="252" spans="1:15" ht="13" x14ac:dyDescent="0.15">
      <c r="A252" s="56"/>
      <c r="B252" s="56"/>
      <c r="K252" s="56"/>
      <c r="L252" s="56"/>
      <c r="O252" s="56"/>
    </row>
    <row r="253" spans="1:15" ht="13" x14ac:dyDescent="0.15">
      <c r="A253" s="56"/>
      <c r="B253" s="56"/>
      <c r="K253" s="56"/>
      <c r="L253" s="56"/>
      <c r="O253" s="56"/>
    </row>
    <row r="254" spans="1:15" ht="13" x14ac:dyDescent="0.15">
      <c r="A254" s="56"/>
      <c r="B254" s="56"/>
      <c r="K254" s="56"/>
      <c r="L254" s="56"/>
      <c r="O254" s="56"/>
    </row>
    <row r="255" spans="1:15" ht="13" x14ac:dyDescent="0.15">
      <c r="A255" s="56"/>
      <c r="B255" s="56"/>
      <c r="K255" s="56"/>
      <c r="L255" s="56"/>
      <c r="O255" s="56"/>
    </row>
    <row r="256" spans="1:15" ht="13" x14ac:dyDescent="0.15">
      <c r="A256" s="56"/>
      <c r="B256" s="56"/>
      <c r="K256" s="56"/>
      <c r="L256" s="56"/>
      <c r="O256" s="56"/>
    </row>
    <row r="257" spans="1:15" ht="13" x14ac:dyDescent="0.15">
      <c r="A257" s="56"/>
      <c r="B257" s="56"/>
      <c r="K257" s="56"/>
      <c r="L257" s="56"/>
      <c r="O257" s="56"/>
    </row>
    <row r="258" spans="1:15" ht="13" x14ac:dyDescent="0.15">
      <c r="A258" s="56"/>
      <c r="B258" s="56"/>
      <c r="K258" s="56"/>
      <c r="L258" s="56"/>
      <c r="O258" s="56"/>
    </row>
    <row r="259" spans="1:15" ht="13" x14ac:dyDescent="0.15">
      <c r="A259" s="56"/>
      <c r="B259" s="56"/>
      <c r="K259" s="56"/>
      <c r="L259" s="56"/>
      <c r="O259" s="56"/>
    </row>
    <row r="260" spans="1:15" ht="13" x14ac:dyDescent="0.15">
      <c r="A260" s="56"/>
      <c r="B260" s="56"/>
      <c r="K260" s="56"/>
      <c r="L260" s="56"/>
      <c r="O260" s="56"/>
    </row>
    <row r="261" spans="1:15" ht="13" x14ac:dyDescent="0.15">
      <c r="A261" s="56"/>
      <c r="B261" s="56"/>
      <c r="K261" s="56"/>
      <c r="L261" s="56"/>
      <c r="O261" s="56"/>
    </row>
    <row r="262" spans="1:15" ht="13" x14ac:dyDescent="0.15">
      <c r="A262" s="56"/>
      <c r="B262" s="56"/>
      <c r="K262" s="56"/>
      <c r="L262" s="56"/>
      <c r="O262" s="56"/>
    </row>
    <row r="263" spans="1:15" ht="13" x14ac:dyDescent="0.15">
      <c r="A263" s="56"/>
      <c r="B263" s="56"/>
      <c r="K263" s="56"/>
      <c r="L263" s="56"/>
      <c r="O263" s="56"/>
    </row>
    <row r="264" spans="1:15" ht="13" x14ac:dyDescent="0.15">
      <c r="A264" s="56"/>
      <c r="B264" s="56"/>
      <c r="K264" s="56"/>
      <c r="L264" s="56"/>
      <c r="O264" s="56"/>
    </row>
    <row r="265" spans="1:15" ht="13" x14ac:dyDescent="0.15">
      <c r="A265" s="56"/>
      <c r="B265" s="56"/>
      <c r="K265" s="56"/>
      <c r="L265" s="56"/>
      <c r="O265" s="56"/>
    </row>
    <row r="266" spans="1:15" ht="13" x14ac:dyDescent="0.15">
      <c r="A266" s="56"/>
      <c r="B266" s="56"/>
      <c r="K266" s="56"/>
      <c r="L266" s="56"/>
      <c r="O266" s="56"/>
    </row>
    <row r="267" spans="1:15" ht="13" x14ac:dyDescent="0.15">
      <c r="A267" s="56"/>
      <c r="B267" s="56"/>
      <c r="K267" s="56"/>
      <c r="L267" s="56"/>
      <c r="O267" s="56"/>
    </row>
    <row r="268" spans="1:15" ht="13" x14ac:dyDescent="0.15">
      <c r="A268" s="56"/>
      <c r="B268" s="56"/>
      <c r="K268" s="56"/>
      <c r="L268" s="56"/>
      <c r="O268" s="56"/>
    </row>
    <row r="269" spans="1:15" ht="13" x14ac:dyDescent="0.15">
      <c r="A269" s="56"/>
      <c r="B269" s="56"/>
      <c r="K269" s="56"/>
      <c r="L269" s="56"/>
      <c r="O269" s="56"/>
    </row>
    <row r="270" spans="1:15" ht="13" x14ac:dyDescent="0.15">
      <c r="A270" s="56"/>
      <c r="B270" s="56"/>
      <c r="K270" s="56"/>
      <c r="L270" s="56"/>
      <c r="O270" s="56"/>
    </row>
    <row r="271" spans="1:15" ht="13" x14ac:dyDescent="0.15">
      <c r="A271" s="56"/>
      <c r="B271" s="56"/>
      <c r="K271" s="56"/>
      <c r="L271" s="56"/>
      <c r="O271" s="56"/>
    </row>
    <row r="272" spans="1:15" ht="13" x14ac:dyDescent="0.15">
      <c r="A272" s="56"/>
      <c r="B272" s="56"/>
      <c r="K272" s="56"/>
      <c r="L272" s="56"/>
      <c r="O272" s="56"/>
    </row>
    <row r="273" spans="1:15" ht="13" x14ac:dyDescent="0.15">
      <c r="A273" s="56"/>
      <c r="B273" s="56"/>
      <c r="K273" s="56"/>
      <c r="L273" s="56"/>
      <c r="O273" s="56"/>
    </row>
    <row r="274" spans="1:15" ht="13" x14ac:dyDescent="0.15">
      <c r="A274" s="56"/>
      <c r="B274" s="56"/>
      <c r="K274" s="56"/>
      <c r="L274" s="56"/>
      <c r="O274" s="56"/>
    </row>
    <row r="275" spans="1:15" ht="13" x14ac:dyDescent="0.15">
      <c r="A275" s="56"/>
      <c r="B275" s="56"/>
      <c r="K275" s="56"/>
      <c r="L275" s="56"/>
      <c r="O275" s="56"/>
    </row>
    <row r="276" spans="1:15" ht="13" x14ac:dyDescent="0.15">
      <c r="A276" s="56"/>
      <c r="B276" s="56"/>
      <c r="K276" s="56"/>
      <c r="L276" s="56"/>
      <c r="O276" s="56"/>
    </row>
    <row r="277" spans="1:15" ht="13" x14ac:dyDescent="0.15">
      <c r="A277" s="56"/>
      <c r="B277" s="56"/>
      <c r="K277" s="56"/>
      <c r="L277" s="56"/>
      <c r="O277" s="56"/>
    </row>
    <row r="278" spans="1:15" ht="13" x14ac:dyDescent="0.15">
      <c r="A278" s="56"/>
      <c r="B278" s="56"/>
      <c r="K278" s="56"/>
      <c r="L278" s="56"/>
      <c r="O278" s="56"/>
    </row>
    <row r="279" spans="1:15" ht="13" x14ac:dyDescent="0.15">
      <c r="A279" s="56"/>
      <c r="B279" s="56"/>
      <c r="K279" s="56"/>
      <c r="L279" s="56"/>
      <c r="O279" s="56"/>
    </row>
    <row r="280" spans="1:15" ht="13" x14ac:dyDescent="0.15">
      <c r="A280" s="56"/>
      <c r="B280" s="56"/>
      <c r="K280" s="56"/>
      <c r="L280" s="56"/>
      <c r="O280" s="56"/>
    </row>
    <row r="281" spans="1:15" ht="13" x14ac:dyDescent="0.15">
      <c r="A281" s="56"/>
      <c r="B281" s="56"/>
      <c r="K281" s="56"/>
      <c r="L281" s="56"/>
      <c r="O281" s="56"/>
    </row>
    <row r="282" spans="1:15" ht="13" x14ac:dyDescent="0.15">
      <c r="A282" s="56"/>
      <c r="B282" s="56"/>
      <c r="K282" s="56"/>
      <c r="L282" s="56"/>
      <c r="O282" s="56"/>
    </row>
    <row r="283" spans="1:15" ht="13" x14ac:dyDescent="0.15">
      <c r="A283" s="56"/>
      <c r="B283" s="56"/>
      <c r="K283" s="56"/>
      <c r="L283" s="56"/>
      <c r="O283" s="56"/>
    </row>
    <row r="284" spans="1:15" ht="13" x14ac:dyDescent="0.15">
      <c r="A284" s="56"/>
      <c r="B284" s="56"/>
      <c r="K284" s="56"/>
      <c r="L284" s="56"/>
      <c r="O284" s="56"/>
    </row>
    <row r="285" spans="1:15" ht="13" x14ac:dyDescent="0.15">
      <c r="A285" s="56"/>
      <c r="B285" s="56"/>
      <c r="K285" s="56"/>
      <c r="L285" s="56"/>
      <c r="O285" s="56"/>
    </row>
    <row r="286" spans="1:15" ht="13" x14ac:dyDescent="0.15">
      <c r="A286" s="56"/>
      <c r="B286" s="56"/>
      <c r="K286" s="56"/>
      <c r="L286" s="56"/>
      <c r="O286" s="56"/>
    </row>
    <row r="287" spans="1:15" ht="13" x14ac:dyDescent="0.15">
      <c r="A287" s="56"/>
      <c r="B287" s="56"/>
      <c r="K287" s="56"/>
      <c r="L287" s="56"/>
      <c r="O287" s="56"/>
    </row>
    <row r="288" spans="1:15" ht="13" x14ac:dyDescent="0.15">
      <c r="A288" s="56"/>
      <c r="B288" s="56"/>
      <c r="K288" s="56"/>
      <c r="L288" s="56"/>
      <c r="O288" s="56"/>
    </row>
    <row r="289" spans="1:15" ht="13" x14ac:dyDescent="0.15">
      <c r="A289" s="56"/>
      <c r="B289" s="56"/>
      <c r="K289" s="56"/>
      <c r="L289" s="56"/>
      <c r="O289" s="56"/>
    </row>
    <row r="290" spans="1:15" ht="13" x14ac:dyDescent="0.15">
      <c r="A290" s="56"/>
      <c r="B290" s="56"/>
      <c r="K290" s="56"/>
      <c r="L290" s="56"/>
      <c r="O290" s="56"/>
    </row>
    <row r="291" spans="1:15" ht="13" x14ac:dyDescent="0.15">
      <c r="A291" s="56"/>
      <c r="B291" s="56"/>
      <c r="K291" s="56"/>
      <c r="L291" s="56"/>
      <c r="O291" s="56"/>
    </row>
    <row r="292" spans="1:15" ht="13" x14ac:dyDescent="0.15">
      <c r="A292" s="56"/>
      <c r="B292" s="56"/>
      <c r="K292" s="56"/>
      <c r="L292" s="56"/>
      <c r="O292" s="56"/>
    </row>
    <row r="293" spans="1:15" ht="13" x14ac:dyDescent="0.15">
      <c r="A293" s="56"/>
      <c r="B293" s="56"/>
      <c r="K293" s="56"/>
      <c r="L293" s="56"/>
      <c r="O293" s="56"/>
    </row>
    <row r="294" spans="1:15" ht="13" x14ac:dyDescent="0.15">
      <c r="A294" s="56"/>
      <c r="B294" s="56"/>
      <c r="K294" s="56"/>
      <c r="L294" s="56"/>
      <c r="O294" s="56"/>
    </row>
    <row r="295" spans="1:15" ht="13" x14ac:dyDescent="0.15">
      <c r="A295" s="56"/>
      <c r="B295" s="56"/>
      <c r="K295" s="56"/>
      <c r="L295" s="56"/>
      <c r="O295" s="56"/>
    </row>
    <row r="296" spans="1:15" ht="13" x14ac:dyDescent="0.15">
      <c r="A296" s="56"/>
      <c r="B296" s="56"/>
      <c r="K296" s="56"/>
      <c r="L296" s="56"/>
      <c r="O296" s="56"/>
    </row>
    <row r="297" spans="1:15" ht="13" x14ac:dyDescent="0.15">
      <c r="A297" s="56"/>
      <c r="B297" s="56"/>
      <c r="K297" s="56"/>
      <c r="L297" s="56"/>
      <c r="O297" s="56"/>
    </row>
    <row r="298" spans="1:15" ht="13" x14ac:dyDescent="0.15">
      <c r="A298" s="56"/>
      <c r="B298" s="56"/>
      <c r="K298" s="56"/>
      <c r="L298" s="56"/>
      <c r="O298" s="56"/>
    </row>
    <row r="299" spans="1:15" ht="13" x14ac:dyDescent="0.15">
      <c r="A299" s="56"/>
      <c r="B299" s="56"/>
      <c r="K299" s="56"/>
      <c r="L299" s="56"/>
      <c r="O299" s="56"/>
    </row>
    <row r="300" spans="1:15" ht="13" x14ac:dyDescent="0.15">
      <c r="A300" s="56"/>
      <c r="B300" s="56"/>
      <c r="K300" s="56"/>
      <c r="L300" s="56"/>
      <c r="O300" s="56"/>
    </row>
    <row r="301" spans="1:15" ht="13" x14ac:dyDescent="0.15">
      <c r="A301" s="56"/>
      <c r="B301" s="56"/>
      <c r="K301" s="56"/>
      <c r="L301" s="56"/>
      <c r="O301" s="56"/>
    </row>
    <row r="302" spans="1:15" ht="13" x14ac:dyDescent="0.15">
      <c r="A302" s="56"/>
      <c r="B302" s="56"/>
      <c r="K302" s="56"/>
      <c r="L302" s="56"/>
      <c r="O302" s="56"/>
    </row>
    <row r="303" spans="1:15" ht="13" x14ac:dyDescent="0.15">
      <c r="A303" s="56"/>
      <c r="B303" s="56"/>
      <c r="K303" s="56"/>
      <c r="L303" s="56"/>
      <c r="O303" s="56"/>
    </row>
    <row r="304" spans="1:15" ht="13" x14ac:dyDescent="0.15">
      <c r="A304" s="56"/>
      <c r="B304" s="56"/>
      <c r="K304" s="56"/>
      <c r="L304" s="56"/>
      <c r="O304" s="56"/>
    </row>
    <row r="305" spans="1:15" ht="13" x14ac:dyDescent="0.15">
      <c r="A305" s="56"/>
      <c r="B305" s="56"/>
      <c r="K305" s="56"/>
      <c r="L305" s="56"/>
      <c r="O305" s="56"/>
    </row>
    <row r="306" spans="1:15" ht="13" x14ac:dyDescent="0.15">
      <c r="A306" s="56"/>
      <c r="B306" s="56"/>
      <c r="K306" s="56"/>
      <c r="L306" s="56"/>
      <c r="O306" s="56"/>
    </row>
    <row r="307" spans="1:15" ht="13" x14ac:dyDescent="0.15">
      <c r="A307" s="56"/>
      <c r="B307" s="56"/>
      <c r="K307" s="56"/>
      <c r="L307" s="56"/>
      <c r="O307" s="56"/>
    </row>
    <row r="308" spans="1:15" ht="13" x14ac:dyDescent="0.15">
      <c r="A308" s="56"/>
      <c r="B308" s="56"/>
      <c r="K308" s="56"/>
      <c r="L308" s="56"/>
      <c r="O308" s="56"/>
    </row>
    <row r="309" spans="1:15" ht="13" x14ac:dyDescent="0.15">
      <c r="A309" s="56"/>
      <c r="B309" s="56"/>
      <c r="K309" s="56"/>
      <c r="L309" s="56"/>
      <c r="O309" s="56"/>
    </row>
    <row r="310" spans="1:15" ht="13" x14ac:dyDescent="0.15">
      <c r="A310" s="56"/>
      <c r="B310" s="56"/>
      <c r="K310" s="56"/>
      <c r="L310" s="56"/>
      <c r="O310" s="56"/>
    </row>
    <row r="311" spans="1:15" ht="13" x14ac:dyDescent="0.15">
      <c r="A311" s="56"/>
      <c r="B311" s="56"/>
      <c r="K311" s="56"/>
      <c r="L311" s="56"/>
      <c r="O311" s="56"/>
    </row>
    <row r="312" spans="1:15" ht="13" x14ac:dyDescent="0.15">
      <c r="A312" s="56"/>
      <c r="B312" s="56"/>
      <c r="K312" s="56"/>
      <c r="L312" s="56"/>
      <c r="O312" s="56"/>
    </row>
    <row r="313" spans="1:15" ht="13" x14ac:dyDescent="0.15">
      <c r="A313" s="56"/>
      <c r="B313" s="56"/>
      <c r="K313" s="56"/>
      <c r="L313" s="56"/>
      <c r="O313" s="56"/>
    </row>
    <row r="314" spans="1:15" ht="13" x14ac:dyDescent="0.15">
      <c r="A314" s="56"/>
      <c r="B314" s="56"/>
      <c r="K314" s="56"/>
      <c r="L314" s="56"/>
      <c r="O314" s="56"/>
    </row>
    <row r="315" spans="1:15" ht="13" x14ac:dyDescent="0.15">
      <c r="A315" s="56"/>
      <c r="B315" s="56"/>
      <c r="K315" s="56"/>
      <c r="L315" s="56"/>
      <c r="O315" s="56"/>
    </row>
    <row r="316" spans="1:15" ht="13" x14ac:dyDescent="0.15">
      <c r="A316" s="56"/>
      <c r="B316" s="56"/>
      <c r="K316" s="56"/>
      <c r="L316" s="56"/>
      <c r="O316" s="56"/>
    </row>
    <row r="317" spans="1:15" ht="13" x14ac:dyDescent="0.15">
      <c r="A317" s="56"/>
      <c r="B317" s="56"/>
      <c r="K317" s="56"/>
      <c r="L317" s="56"/>
      <c r="O317" s="56"/>
    </row>
    <row r="318" spans="1:15" ht="13" x14ac:dyDescent="0.15">
      <c r="A318" s="56"/>
      <c r="B318" s="56"/>
      <c r="K318" s="56"/>
      <c r="L318" s="56"/>
      <c r="O318" s="56"/>
    </row>
    <row r="319" spans="1:15" ht="13" x14ac:dyDescent="0.15">
      <c r="A319" s="56"/>
      <c r="B319" s="56"/>
      <c r="K319" s="56"/>
      <c r="L319" s="56"/>
      <c r="O319" s="56"/>
    </row>
    <row r="320" spans="1:15" ht="13" x14ac:dyDescent="0.15">
      <c r="A320" s="56"/>
      <c r="B320" s="56"/>
      <c r="K320" s="56"/>
      <c r="L320" s="56"/>
      <c r="O320" s="56"/>
    </row>
    <row r="321" spans="1:15" ht="13" x14ac:dyDescent="0.15">
      <c r="A321" s="56"/>
      <c r="B321" s="56"/>
      <c r="K321" s="56"/>
      <c r="L321" s="56"/>
      <c r="O321" s="56"/>
    </row>
    <row r="322" spans="1:15" ht="13" x14ac:dyDescent="0.15">
      <c r="A322" s="56"/>
      <c r="B322" s="56"/>
      <c r="K322" s="56"/>
      <c r="L322" s="56"/>
      <c r="O322" s="56"/>
    </row>
    <row r="323" spans="1:15" ht="13" x14ac:dyDescent="0.15">
      <c r="A323" s="56"/>
      <c r="B323" s="56"/>
      <c r="K323" s="56"/>
      <c r="L323" s="56"/>
      <c r="O323" s="56"/>
    </row>
    <row r="324" spans="1:15" ht="13" x14ac:dyDescent="0.15">
      <c r="A324" s="56"/>
      <c r="B324" s="56"/>
      <c r="K324" s="56"/>
      <c r="L324" s="56"/>
      <c r="O324" s="56"/>
    </row>
    <row r="325" spans="1:15" ht="13" x14ac:dyDescent="0.15">
      <c r="A325" s="56"/>
      <c r="B325" s="56"/>
      <c r="K325" s="56"/>
      <c r="L325" s="56"/>
      <c r="O325" s="56"/>
    </row>
    <row r="326" spans="1:15" ht="13" x14ac:dyDescent="0.15">
      <c r="A326" s="56"/>
      <c r="B326" s="56"/>
      <c r="K326" s="56"/>
      <c r="L326" s="56"/>
      <c r="O326" s="56"/>
    </row>
    <row r="327" spans="1:15" ht="13" x14ac:dyDescent="0.15">
      <c r="A327" s="56"/>
      <c r="B327" s="56"/>
      <c r="K327" s="56"/>
      <c r="L327" s="56"/>
      <c r="O327" s="56"/>
    </row>
    <row r="328" spans="1:15" ht="13" x14ac:dyDescent="0.15">
      <c r="A328" s="56"/>
      <c r="B328" s="56"/>
      <c r="K328" s="56"/>
      <c r="L328" s="56"/>
      <c r="O328" s="56"/>
    </row>
    <row r="329" spans="1:15" ht="13" x14ac:dyDescent="0.15">
      <c r="A329" s="56"/>
      <c r="B329" s="56"/>
      <c r="K329" s="56"/>
      <c r="L329" s="56"/>
      <c r="O329" s="56"/>
    </row>
    <row r="330" spans="1:15" ht="13" x14ac:dyDescent="0.15">
      <c r="A330" s="56"/>
      <c r="B330" s="56"/>
      <c r="K330" s="56"/>
      <c r="L330" s="56"/>
      <c r="O330" s="56"/>
    </row>
    <row r="331" spans="1:15" ht="13" x14ac:dyDescent="0.15">
      <c r="A331" s="56"/>
      <c r="B331" s="56"/>
      <c r="K331" s="56"/>
      <c r="L331" s="56"/>
      <c r="O331" s="56"/>
    </row>
    <row r="332" spans="1:15" ht="13" x14ac:dyDescent="0.15">
      <c r="A332" s="56"/>
      <c r="B332" s="56"/>
      <c r="K332" s="56"/>
      <c r="L332" s="56"/>
      <c r="O332" s="56"/>
    </row>
    <row r="333" spans="1:15" ht="13" x14ac:dyDescent="0.15">
      <c r="A333" s="56"/>
      <c r="B333" s="56"/>
      <c r="K333" s="56"/>
      <c r="L333" s="56"/>
      <c r="O333" s="56"/>
    </row>
    <row r="334" spans="1:15" ht="13" x14ac:dyDescent="0.15">
      <c r="A334" s="56"/>
      <c r="B334" s="56"/>
      <c r="K334" s="56"/>
      <c r="L334" s="56"/>
      <c r="O334" s="56"/>
    </row>
    <row r="335" spans="1:15" ht="13" x14ac:dyDescent="0.15">
      <c r="A335" s="56"/>
      <c r="B335" s="56"/>
      <c r="K335" s="56"/>
      <c r="L335" s="56"/>
      <c r="O335" s="56"/>
    </row>
    <row r="336" spans="1:15" ht="13" x14ac:dyDescent="0.15">
      <c r="A336" s="56"/>
      <c r="B336" s="56"/>
      <c r="K336" s="56"/>
      <c r="L336" s="56"/>
      <c r="O336" s="56"/>
    </row>
    <row r="337" spans="1:15" ht="13" x14ac:dyDescent="0.15">
      <c r="A337" s="56"/>
      <c r="B337" s="56"/>
      <c r="K337" s="56"/>
      <c r="L337" s="56"/>
      <c r="O337" s="56"/>
    </row>
    <row r="338" spans="1:15" ht="13" x14ac:dyDescent="0.15">
      <c r="A338" s="56"/>
      <c r="B338" s="56"/>
      <c r="K338" s="56"/>
      <c r="L338" s="56"/>
      <c r="O338" s="56"/>
    </row>
    <row r="339" spans="1:15" ht="13" x14ac:dyDescent="0.15">
      <c r="A339" s="56"/>
      <c r="B339" s="56"/>
      <c r="K339" s="56"/>
      <c r="L339" s="56"/>
      <c r="O339" s="56"/>
    </row>
    <row r="340" spans="1:15" ht="13" x14ac:dyDescent="0.15">
      <c r="A340" s="56"/>
      <c r="B340" s="56"/>
      <c r="K340" s="56"/>
      <c r="L340" s="56"/>
      <c r="O340" s="56"/>
    </row>
    <row r="341" spans="1:15" ht="13" x14ac:dyDescent="0.15">
      <c r="A341" s="56"/>
      <c r="B341" s="56"/>
      <c r="K341" s="56"/>
      <c r="L341" s="56"/>
      <c r="O341" s="56"/>
    </row>
    <row r="342" spans="1:15" ht="13" x14ac:dyDescent="0.15">
      <c r="A342" s="56"/>
      <c r="B342" s="56"/>
      <c r="K342" s="56"/>
      <c r="L342" s="56"/>
      <c r="O342" s="56"/>
    </row>
    <row r="343" spans="1:15" ht="13" x14ac:dyDescent="0.15">
      <c r="A343" s="56"/>
      <c r="B343" s="56"/>
      <c r="K343" s="56"/>
      <c r="L343" s="56"/>
      <c r="O343" s="56"/>
    </row>
    <row r="344" spans="1:15" ht="13" x14ac:dyDescent="0.15">
      <c r="A344" s="56"/>
      <c r="B344" s="56"/>
      <c r="K344" s="56"/>
      <c r="L344" s="56"/>
      <c r="O344" s="56"/>
    </row>
    <row r="345" spans="1:15" ht="13" x14ac:dyDescent="0.15">
      <c r="A345" s="56"/>
      <c r="B345" s="56"/>
      <c r="K345" s="56"/>
      <c r="L345" s="56"/>
      <c r="O345" s="56"/>
    </row>
    <row r="346" spans="1:15" ht="13" x14ac:dyDescent="0.15">
      <c r="A346" s="56"/>
      <c r="B346" s="56"/>
      <c r="K346" s="56"/>
      <c r="L346" s="56"/>
      <c r="O346" s="56"/>
    </row>
    <row r="347" spans="1:15" ht="13" x14ac:dyDescent="0.15">
      <c r="A347" s="56"/>
      <c r="B347" s="56"/>
      <c r="K347" s="56"/>
      <c r="L347" s="56"/>
      <c r="O347" s="56"/>
    </row>
    <row r="348" spans="1:15" ht="13" x14ac:dyDescent="0.15">
      <c r="A348" s="56"/>
      <c r="B348" s="56"/>
      <c r="K348" s="56"/>
      <c r="L348" s="56"/>
      <c r="O348" s="56"/>
    </row>
    <row r="349" spans="1:15" ht="13" x14ac:dyDescent="0.15">
      <c r="A349" s="56"/>
      <c r="B349" s="56"/>
      <c r="K349" s="56"/>
      <c r="L349" s="56"/>
      <c r="O349" s="56"/>
    </row>
    <row r="350" spans="1:15" ht="13" x14ac:dyDescent="0.15">
      <c r="A350" s="56"/>
      <c r="B350" s="56"/>
      <c r="K350" s="56"/>
      <c r="L350" s="56"/>
      <c r="O350" s="56"/>
    </row>
    <row r="351" spans="1:15" ht="13" x14ac:dyDescent="0.15">
      <c r="A351" s="56"/>
      <c r="B351" s="56"/>
      <c r="K351" s="56"/>
      <c r="L351" s="56"/>
      <c r="O351" s="56"/>
    </row>
    <row r="352" spans="1:15" ht="13" x14ac:dyDescent="0.15">
      <c r="A352" s="56"/>
      <c r="B352" s="56"/>
      <c r="K352" s="56"/>
      <c r="L352" s="56"/>
      <c r="O352" s="56"/>
    </row>
    <row r="353" spans="1:15" ht="13" x14ac:dyDescent="0.15">
      <c r="A353" s="56"/>
      <c r="B353" s="56"/>
      <c r="K353" s="56"/>
      <c r="L353" s="56"/>
      <c r="O353" s="56"/>
    </row>
    <row r="354" spans="1:15" ht="13" x14ac:dyDescent="0.15">
      <c r="A354" s="56"/>
      <c r="B354" s="56"/>
      <c r="K354" s="56"/>
      <c r="L354" s="56"/>
      <c r="O354" s="56"/>
    </row>
    <row r="355" spans="1:15" ht="13" x14ac:dyDescent="0.15">
      <c r="A355" s="56"/>
      <c r="B355" s="56"/>
      <c r="K355" s="56"/>
      <c r="L355" s="56"/>
      <c r="O355" s="56"/>
    </row>
    <row r="356" spans="1:15" ht="13" x14ac:dyDescent="0.15">
      <c r="A356" s="56"/>
      <c r="B356" s="56"/>
      <c r="K356" s="56"/>
      <c r="L356" s="56"/>
      <c r="O356" s="56"/>
    </row>
    <row r="357" spans="1:15" ht="13" x14ac:dyDescent="0.15">
      <c r="A357" s="56"/>
      <c r="B357" s="56"/>
      <c r="K357" s="56"/>
      <c r="L357" s="56"/>
      <c r="O357" s="56"/>
    </row>
    <row r="358" spans="1:15" ht="13" x14ac:dyDescent="0.15">
      <c r="A358" s="56"/>
      <c r="B358" s="56"/>
      <c r="K358" s="56"/>
      <c r="L358" s="56"/>
      <c r="O358" s="56"/>
    </row>
    <row r="359" spans="1:15" ht="13" x14ac:dyDescent="0.15">
      <c r="A359" s="56"/>
      <c r="B359" s="56"/>
      <c r="K359" s="56"/>
      <c r="L359" s="56"/>
      <c r="O359" s="56"/>
    </row>
    <row r="360" spans="1:15" ht="13" x14ac:dyDescent="0.15">
      <c r="A360" s="56"/>
      <c r="B360" s="56"/>
      <c r="K360" s="56"/>
      <c r="L360" s="56"/>
      <c r="O360" s="56"/>
    </row>
    <row r="361" spans="1:15" ht="13" x14ac:dyDescent="0.15">
      <c r="A361" s="56"/>
      <c r="B361" s="56"/>
      <c r="K361" s="56"/>
      <c r="L361" s="56"/>
      <c r="O361" s="56"/>
    </row>
    <row r="362" spans="1:15" ht="13" x14ac:dyDescent="0.15">
      <c r="A362" s="56"/>
      <c r="B362" s="56"/>
      <c r="K362" s="56"/>
      <c r="L362" s="56"/>
      <c r="O362" s="56"/>
    </row>
    <row r="363" spans="1:15" ht="13" x14ac:dyDescent="0.15">
      <c r="A363" s="56"/>
      <c r="B363" s="56"/>
      <c r="K363" s="56"/>
      <c r="L363" s="56"/>
      <c r="O363" s="56"/>
    </row>
    <row r="364" spans="1:15" ht="13" x14ac:dyDescent="0.15">
      <c r="A364" s="56"/>
      <c r="B364" s="56"/>
      <c r="K364" s="56"/>
      <c r="L364" s="56"/>
      <c r="O364" s="56"/>
    </row>
    <row r="365" spans="1:15" ht="13" x14ac:dyDescent="0.15">
      <c r="A365" s="56"/>
      <c r="B365" s="56"/>
      <c r="K365" s="56"/>
      <c r="L365" s="56"/>
      <c r="O365" s="56"/>
    </row>
    <row r="366" spans="1:15" ht="13" x14ac:dyDescent="0.15">
      <c r="A366" s="56"/>
      <c r="B366" s="56"/>
      <c r="K366" s="56"/>
      <c r="L366" s="56"/>
      <c r="O366" s="56"/>
    </row>
    <row r="367" spans="1:15" ht="13" x14ac:dyDescent="0.15">
      <c r="A367" s="56"/>
      <c r="B367" s="56"/>
      <c r="K367" s="56"/>
      <c r="L367" s="56"/>
      <c r="O367" s="56"/>
    </row>
    <row r="368" spans="1:15" ht="13" x14ac:dyDescent="0.15">
      <c r="A368" s="56"/>
      <c r="B368" s="56"/>
      <c r="K368" s="56"/>
      <c r="L368" s="56"/>
      <c r="O368" s="56"/>
    </row>
    <row r="369" spans="1:15" ht="13" x14ac:dyDescent="0.15">
      <c r="A369" s="56"/>
      <c r="B369" s="56"/>
      <c r="K369" s="56"/>
      <c r="L369" s="56"/>
      <c r="O369" s="56"/>
    </row>
    <row r="370" spans="1:15" ht="13" x14ac:dyDescent="0.15">
      <c r="A370" s="56"/>
      <c r="B370" s="56"/>
      <c r="K370" s="56"/>
      <c r="L370" s="56"/>
      <c r="O370" s="56"/>
    </row>
    <row r="371" spans="1:15" ht="13" x14ac:dyDescent="0.15">
      <c r="A371" s="56"/>
      <c r="B371" s="56"/>
      <c r="K371" s="56"/>
      <c r="L371" s="56"/>
      <c r="O371" s="56"/>
    </row>
    <row r="372" spans="1:15" ht="13" x14ac:dyDescent="0.15">
      <c r="A372" s="56"/>
      <c r="B372" s="56"/>
      <c r="K372" s="56"/>
      <c r="L372" s="56"/>
      <c r="O372" s="56"/>
    </row>
    <row r="373" spans="1:15" ht="13" x14ac:dyDescent="0.15">
      <c r="A373" s="56"/>
      <c r="B373" s="56"/>
      <c r="K373" s="56"/>
      <c r="L373" s="56"/>
      <c r="O373" s="56"/>
    </row>
    <row r="374" spans="1:15" ht="13" x14ac:dyDescent="0.15">
      <c r="A374" s="56"/>
      <c r="B374" s="56"/>
      <c r="K374" s="56"/>
      <c r="L374" s="56"/>
      <c r="O374" s="56"/>
    </row>
    <row r="375" spans="1:15" ht="13" x14ac:dyDescent="0.15">
      <c r="A375" s="56"/>
      <c r="B375" s="56"/>
      <c r="K375" s="56"/>
      <c r="L375" s="56"/>
      <c r="O375" s="56"/>
    </row>
    <row r="376" spans="1:15" ht="13" x14ac:dyDescent="0.15">
      <c r="A376" s="56"/>
      <c r="B376" s="56"/>
      <c r="K376" s="56"/>
      <c r="L376" s="56"/>
      <c r="O376" s="56"/>
    </row>
    <row r="377" spans="1:15" ht="13" x14ac:dyDescent="0.15">
      <c r="A377" s="56"/>
      <c r="B377" s="56"/>
      <c r="K377" s="56"/>
      <c r="L377" s="56"/>
      <c r="O377" s="56"/>
    </row>
    <row r="378" spans="1:15" ht="13" x14ac:dyDescent="0.15">
      <c r="A378" s="56"/>
      <c r="B378" s="56"/>
      <c r="K378" s="56"/>
      <c r="L378" s="56"/>
      <c r="O378" s="56"/>
    </row>
    <row r="379" spans="1:15" ht="13" x14ac:dyDescent="0.15">
      <c r="A379" s="56"/>
      <c r="B379" s="56"/>
      <c r="K379" s="56"/>
      <c r="L379" s="56"/>
      <c r="O379" s="56"/>
    </row>
    <row r="380" spans="1:15" ht="13" x14ac:dyDescent="0.15">
      <c r="A380" s="56"/>
      <c r="B380" s="56"/>
      <c r="K380" s="56"/>
      <c r="L380" s="56"/>
      <c r="O380" s="56"/>
    </row>
    <row r="381" spans="1:15" ht="13" x14ac:dyDescent="0.15">
      <c r="A381" s="56"/>
      <c r="B381" s="56"/>
      <c r="K381" s="56"/>
      <c r="L381" s="56"/>
      <c r="O381" s="56"/>
    </row>
    <row r="382" spans="1:15" ht="13" x14ac:dyDescent="0.15">
      <c r="A382" s="56"/>
      <c r="B382" s="56"/>
      <c r="K382" s="56"/>
      <c r="L382" s="56"/>
      <c r="O382" s="56"/>
    </row>
    <row r="383" spans="1:15" ht="13" x14ac:dyDescent="0.15">
      <c r="A383" s="56"/>
      <c r="B383" s="56"/>
      <c r="K383" s="56"/>
      <c r="L383" s="56"/>
      <c r="O383" s="56"/>
    </row>
    <row r="384" spans="1:15" ht="13" x14ac:dyDescent="0.15">
      <c r="A384" s="56"/>
      <c r="B384" s="56"/>
      <c r="K384" s="56"/>
      <c r="L384" s="56"/>
      <c r="O384" s="56"/>
    </row>
    <row r="385" spans="1:15" ht="13" x14ac:dyDescent="0.15">
      <c r="A385" s="56"/>
      <c r="B385" s="56"/>
      <c r="K385" s="56"/>
      <c r="L385" s="56"/>
      <c r="O385" s="56"/>
    </row>
    <row r="386" spans="1:15" ht="13" x14ac:dyDescent="0.15">
      <c r="A386" s="56"/>
      <c r="B386" s="56"/>
      <c r="K386" s="56"/>
      <c r="L386" s="56"/>
      <c r="O386" s="56"/>
    </row>
    <row r="387" spans="1:15" ht="13" x14ac:dyDescent="0.15">
      <c r="A387" s="56"/>
      <c r="B387" s="56"/>
      <c r="K387" s="56"/>
      <c r="L387" s="56"/>
      <c r="O387" s="56"/>
    </row>
    <row r="388" spans="1:15" ht="13" x14ac:dyDescent="0.15">
      <c r="A388" s="56"/>
      <c r="B388" s="56"/>
      <c r="K388" s="56"/>
      <c r="L388" s="56"/>
      <c r="O388" s="56"/>
    </row>
    <row r="389" spans="1:15" ht="13" x14ac:dyDescent="0.15">
      <c r="A389" s="56"/>
      <c r="B389" s="56"/>
      <c r="K389" s="56"/>
      <c r="L389" s="56"/>
      <c r="O389" s="56"/>
    </row>
    <row r="390" spans="1:15" ht="13" x14ac:dyDescent="0.15">
      <c r="A390" s="56"/>
      <c r="B390" s="56"/>
      <c r="K390" s="56"/>
      <c r="L390" s="56"/>
      <c r="O390" s="56"/>
    </row>
    <row r="391" spans="1:15" ht="13" x14ac:dyDescent="0.15">
      <c r="A391" s="56"/>
      <c r="B391" s="56"/>
      <c r="K391" s="56"/>
      <c r="L391" s="56"/>
      <c r="O391" s="56"/>
    </row>
    <row r="392" spans="1:15" ht="13" x14ac:dyDescent="0.15">
      <c r="A392" s="56"/>
      <c r="B392" s="56"/>
      <c r="K392" s="56"/>
      <c r="L392" s="56"/>
      <c r="O392" s="56"/>
    </row>
    <row r="393" spans="1:15" ht="13" x14ac:dyDescent="0.15">
      <c r="A393" s="56"/>
      <c r="B393" s="56"/>
      <c r="K393" s="56"/>
      <c r="L393" s="56"/>
      <c r="O393" s="56"/>
    </row>
    <row r="394" spans="1:15" ht="13" x14ac:dyDescent="0.15">
      <c r="A394" s="56"/>
      <c r="B394" s="56"/>
      <c r="K394" s="56"/>
      <c r="L394" s="56"/>
      <c r="O394" s="56"/>
    </row>
    <row r="395" spans="1:15" ht="13" x14ac:dyDescent="0.15">
      <c r="A395" s="56"/>
      <c r="B395" s="56"/>
      <c r="K395" s="56"/>
      <c r="L395" s="56"/>
      <c r="O395" s="56"/>
    </row>
    <row r="396" spans="1:15" ht="13" x14ac:dyDescent="0.15">
      <c r="A396" s="56"/>
      <c r="B396" s="56"/>
      <c r="K396" s="56"/>
      <c r="L396" s="56"/>
      <c r="O396" s="56"/>
    </row>
    <row r="397" spans="1:15" ht="13" x14ac:dyDescent="0.15">
      <c r="A397" s="56"/>
      <c r="B397" s="56"/>
      <c r="K397" s="56"/>
      <c r="L397" s="56"/>
      <c r="O397" s="56"/>
    </row>
    <row r="398" spans="1:15" ht="13" x14ac:dyDescent="0.15">
      <c r="A398" s="56"/>
      <c r="B398" s="56"/>
      <c r="K398" s="56"/>
      <c r="L398" s="56"/>
      <c r="O398" s="56"/>
    </row>
    <row r="399" spans="1:15" ht="13" x14ac:dyDescent="0.15">
      <c r="A399" s="56"/>
      <c r="B399" s="56"/>
      <c r="K399" s="56"/>
      <c r="L399" s="56"/>
      <c r="O399" s="56"/>
    </row>
    <row r="400" spans="1:15" ht="13" x14ac:dyDescent="0.15">
      <c r="A400" s="56"/>
      <c r="B400" s="56"/>
      <c r="K400" s="56"/>
      <c r="L400" s="56"/>
      <c r="O400" s="56"/>
    </row>
    <row r="401" spans="1:15" ht="13" x14ac:dyDescent="0.15">
      <c r="A401" s="56"/>
      <c r="B401" s="56"/>
      <c r="K401" s="56"/>
      <c r="L401" s="56"/>
      <c r="O401" s="56"/>
    </row>
    <row r="402" spans="1:15" ht="13" x14ac:dyDescent="0.15">
      <c r="A402" s="56"/>
      <c r="B402" s="56"/>
      <c r="K402" s="56"/>
      <c r="L402" s="56"/>
      <c r="O402" s="56"/>
    </row>
    <row r="403" spans="1:15" ht="13" x14ac:dyDescent="0.15">
      <c r="A403" s="56"/>
      <c r="B403" s="56"/>
      <c r="K403" s="56"/>
      <c r="L403" s="56"/>
      <c r="O403" s="56"/>
    </row>
    <row r="404" spans="1:15" ht="13" x14ac:dyDescent="0.15">
      <c r="A404" s="56"/>
      <c r="B404" s="56"/>
      <c r="K404" s="56"/>
      <c r="L404" s="56"/>
      <c r="O404" s="56"/>
    </row>
    <row r="405" spans="1:15" ht="13" x14ac:dyDescent="0.15">
      <c r="A405" s="56"/>
      <c r="B405" s="56"/>
      <c r="K405" s="56"/>
      <c r="L405" s="56"/>
      <c r="O405" s="56"/>
    </row>
    <row r="406" spans="1:15" ht="13" x14ac:dyDescent="0.15">
      <c r="A406" s="56"/>
      <c r="B406" s="56"/>
      <c r="K406" s="56"/>
      <c r="L406" s="56"/>
      <c r="O406" s="56"/>
    </row>
    <row r="407" spans="1:15" ht="13" x14ac:dyDescent="0.15">
      <c r="A407" s="56"/>
      <c r="B407" s="56"/>
      <c r="K407" s="56"/>
      <c r="L407" s="56"/>
      <c r="O407" s="56"/>
    </row>
    <row r="408" spans="1:15" ht="13" x14ac:dyDescent="0.15">
      <c r="A408" s="56"/>
      <c r="B408" s="56"/>
      <c r="K408" s="56"/>
      <c r="L408" s="56"/>
      <c r="O408" s="56"/>
    </row>
    <row r="409" spans="1:15" ht="13" x14ac:dyDescent="0.15">
      <c r="A409" s="56"/>
      <c r="B409" s="56"/>
      <c r="K409" s="56"/>
      <c r="L409" s="56"/>
      <c r="O409" s="56"/>
    </row>
    <row r="410" spans="1:15" ht="13" x14ac:dyDescent="0.15">
      <c r="A410" s="56"/>
      <c r="B410" s="56"/>
      <c r="K410" s="56"/>
      <c r="L410" s="56"/>
      <c r="O410" s="56"/>
    </row>
    <row r="411" spans="1:15" ht="13" x14ac:dyDescent="0.15">
      <c r="A411" s="56"/>
      <c r="B411" s="56"/>
      <c r="K411" s="56"/>
      <c r="L411" s="56"/>
      <c r="O411" s="56"/>
    </row>
    <row r="412" spans="1:15" ht="13" x14ac:dyDescent="0.15">
      <c r="A412" s="56"/>
      <c r="B412" s="56"/>
      <c r="K412" s="56"/>
      <c r="L412" s="56"/>
      <c r="O412" s="56"/>
    </row>
    <row r="413" spans="1:15" ht="13" x14ac:dyDescent="0.15">
      <c r="A413" s="56"/>
      <c r="B413" s="56"/>
      <c r="K413" s="56"/>
      <c r="L413" s="56"/>
      <c r="O413" s="56"/>
    </row>
    <row r="414" spans="1:15" ht="13" x14ac:dyDescent="0.15">
      <c r="A414" s="56"/>
      <c r="B414" s="56"/>
      <c r="K414" s="56"/>
      <c r="L414" s="56"/>
      <c r="O414" s="56"/>
    </row>
    <row r="415" spans="1:15" ht="13" x14ac:dyDescent="0.15">
      <c r="A415" s="56"/>
      <c r="B415" s="56"/>
      <c r="K415" s="56"/>
      <c r="L415" s="56"/>
      <c r="O415" s="56"/>
    </row>
    <row r="416" spans="1:15" ht="13" x14ac:dyDescent="0.15">
      <c r="A416" s="56"/>
      <c r="B416" s="56"/>
      <c r="K416" s="56"/>
      <c r="L416" s="56"/>
      <c r="O416" s="56"/>
    </row>
    <row r="417" spans="1:15" ht="13" x14ac:dyDescent="0.15">
      <c r="A417" s="56"/>
      <c r="B417" s="56"/>
      <c r="K417" s="56"/>
      <c r="L417" s="56"/>
      <c r="O417" s="56"/>
    </row>
    <row r="418" spans="1:15" ht="13" x14ac:dyDescent="0.15">
      <c r="A418" s="56"/>
      <c r="B418" s="56"/>
      <c r="K418" s="56"/>
      <c r="L418" s="56"/>
      <c r="O418" s="56"/>
    </row>
    <row r="419" spans="1:15" ht="13" x14ac:dyDescent="0.15">
      <c r="A419" s="56"/>
      <c r="B419" s="56"/>
      <c r="K419" s="56"/>
      <c r="L419" s="56"/>
      <c r="O419" s="56"/>
    </row>
    <row r="420" spans="1:15" ht="13" x14ac:dyDescent="0.15">
      <c r="A420" s="56"/>
      <c r="B420" s="56"/>
      <c r="K420" s="56"/>
      <c r="L420" s="56"/>
      <c r="O420" s="56"/>
    </row>
    <row r="421" spans="1:15" ht="13" x14ac:dyDescent="0.15">
      <c r="A421" s="56"/>
      <c r="B421" s="56"/>
      <c r="K421" s="56"/>
      <c r="L421" s="56"/>
      <c r="O421" s="56"/>
    </row>
    <row r="422" spans="1:15" ht="13" x14ac:dyDescent="0.15">
      <c r="A422" s="56"/>
      <c r="B422" s="56"/>
      <c r="K422" s="56"/>
      <c r="L422" s="56"/>
      <c r="O422" s="56"/>
    </row>
    <row r="423" spans="1:15" ht="13" x14ac:dyDescent="0.15">
      <c r="A423" s="56"/>
      <c r="B423" s="56"/>
      <c r="K423" s="56"/>
      <c r="L423" s="56"/>
      <c r="O423" s="56"/>
    </row>
    <row r="424" spans="1:15" ht="13" x14ac:dyDescent="0.15">
      <c r="A424" s="56"/>
      <c r="B424" s="56"/>
      <c r="K424" s="56"/>
      <c r="L424" s="56"/>
      <c r="O424" s="56"/>
    </row>
    <row r="425" spans="1:15" ht="13" x14ac:dyDescent="0.15">
      <c r="A425" s="56"/>
      <c r="B425" s="56"/>
      <c r="K425" s="56"/>
      <c r="L425" s="56"/>
      <c r="O425" s="56"/>
    </row>
    <row r="426" spans="1:15" ht="13" x14ac:dyDescent="0.15">
      <c r="A426" s="56"/>
      <c r="B426" s="56"/>
      <c r="K426" s="56"/>
      <c r="L426" s="56"/>
      <c r="O426" s="56"/>
    </row>
    <row r="427" spans="1:15" ht="13" x14ac:dyDescent="0.15">
      <c r="A427" s="56"/>
      <c r="B427" s="56"/>
      <c r="K427" s="56"/>
      <c r="L427" s="56"/>
      <c r="O427" s="56"/>
    </row>
    <row r="428" spans="1:15" ht="13" x14ac:dyDescent="0.15">
      <c r="A428" s="56"/>
      <c r="B428" s="56"/>
      <c r="K428" s="56"/>
      <c r="L428" s="56"/>
      <c r="O428" s="56"/>
    </row>
    <row r="429" spans="1:15" ht="13" x14ac:dyDescent="0.15">
      <c r="A429" s="56"/>
      <c r="B429" s="56"/>
      <c r="K429" s="56"/>
      <c r="L429" s="56"/>
      <c r="O429" s="56"/>
    </row>
    <row r="430" spans="1:15" ht="13" x14ac:dyDescent="0.15">
      <c r="A430" s="56"/>
      <c r="B430" s="56"/>
      <c r="K430" s="56"/>
      <c r="L430" s="56"/>
      <c r="O430" s="56"/>
    </row>
    <row r="431" spans="1:15" ht="13" x14ac:dyDescent="0.15">
      <c r="A431" s="56"/>
      <c r="B431" s="56"/>
      <c r="K431" s="56"/>
      <c r="L431" s="56"/>
      <c r="O431" s="56"/>
    </row>
    <row r="432" spans="1:15" ht="13" x14ac:dyDescent="0.15">
      <c r="A432" s="56"/>
      <c r="B432" s="56"/>
      <c r="K432" s="56"/>
      <c r="L432" s="56"/>
      <c r="O432" s="56"/>
    </row>
    <row r="433" spans="1:15" ht="13" x14ac:dyDescent="0.15">
      <c r="A433" s="56"/>
      <c r="B433" s="56"/>
      <c r="K433" s="56"/>
      <c r="L433" s="56"/>
      <c r="O433" s="56"/>
    </row>
    <row r="434" spans="1:15" ht="13" x14ac:dyDescent="0.15">
      <c r="A434" s="56"/>
      <c r="B434" s="56"/>
      <c r="K434" s="56"/>
      <c r="L434" s="56"/>
      <c r="O434" s="56"/>
    </row>
    <row r="435" spans="1:15" ht="13" x14ac:dyDescent="0.15">
      <c r="A435" s="56"/>
      <c r="B435" s="56"/>
      <c r="K435" s="56"/>
      <c r="L435" s="56"/>
      <c r="O435" s="56"/>
    </row>
    <row r="436" spans="1:15" ht="13" x14ac:dyDescent="0.15">
      <c r="A436" s="56"/>
      <c r="B436" s="56"/>
      <c r="K436" s="56"/>
      <c r="L436" s="56"/>
      <c r="O436" s="56"/>
    </row>
    <row r="437" spans="1:15" ht="13" x14ac:dyDescent="0.15">
      <c r="A437" s="56"/>
      <c r="B437" s="56"/>
      <c r="K437" s="56"/>
      <c r="L437" s="56"/>
      <c r="O437" s="56"/>
    </row>
    <row r="438" spans="1:15" ht="13" x14ac:dyDescent="0.15">
      <c r="A438" s="56"/>
      <c r="B438" s="56"/>
      <c r="K438" s="56"/>
      <c r="L438" s="56"/>
      <c r="O438" s="56"/>
    </row>
    <row r="439" spans="1:15" ht="13" x14ac:dyDescent="0.15">
      <c r="A439" s="56"/>
      <c r="B439" s="56"/>
      <c r="K439" s="56"/>
      <c r="L439" s="56"/>
      <c r="O439" s="56"/>
    </row>
    <row r="440" spans="1:15" ht="13" x14ac:dyDescent="0.15">
      <c r="A440" s="56"/>
      <c r="B440" s="56"/>
      <c r="K440" s="56"/>
      <c r="L440" s="56"/>
      <c r="O440" s="56"/>
    </row>
    <row r="441" spans="1:15" ht="13" x14ac:dyDescent="0.15">
      <c r="A441" s="56"/>
      <c r="B441" s="56"/>
      <c r="K441" s="56"/>
      <c r="L441" s="56"/>
      <c r="O441" s="56"/>
    </row>
    <row r="442" spans="1:15" ht="13" x14ac:dyDescent="0.15">
      <c r="A442" s="56"/>
      <c r="B442" s="56"/>
      <c r="K442" s="56"/>
      <c r="L442" s="56"/>
      <c r="O442" s="56"/>
    </row>
    <row r="443" spans="1:15" ht="13" x14ac:dyDescent="0.15">
      <c r="A443" s="56"/>
      <c r="B443" s="56"/>
      <c r="K443" s="56"/>
      <c r="L443" s="56"/>
      <c r="O443" s="56"/>
    </row>
    <row r="444" spans="1:15" ht="13" x14ac:dyDescent="0.15">
      <c r="A444" s="56"/>
      <c r="B444" s="56"/>
      <c r="K444" s="56"/>
      <c r="L444" s="56"/>
      <c r="O444" s="56"/>
    </row>
    <row r="445" spans="1:15" ht="13" x14ac:dyDescent="0.15">
      <c r="A445" s="56"/>
      <c r="B445" s="56"/>
      <c r="K445" s="56"/>
      <c r="L445" s="56"/>
      <c r="O445" s="56"/>
    </row>
    <row r="446" spans="1:15" ht="13" x14ac:dyDescent="0.15">
      <c r="A446" s="56"/>
      <c r="B446" s="56"/>
      <c r="K446" s="56"/>
      <c r="L446" s="56"/>
      <c r="O446" s="56"/>
    </row>
    <row r="447" spans="1:15" ht="13" x14ac:dyDescent="0.15">
      <c r="A447" s="56"/>
      <c r="B447" s="56"/>
      <c r="K447" s="56"/>
      <c r="L447" s="56"/>
      <c r="O447" s="56"/>
    </row>
    <row r="448" spans="1:15" ht="13" x14ac:dyDescent="0.15">
      <c r="A448" s="56"/>
      <c r="B448" s="56"/>
      <c r="K448" s="56"/>
      <c r="L448" s="56"/>
      <c r="O448" s="56"/>
    </row>
    <row r="449" spans="1:15" ht="13" x14ac:dyDescent="0.15">
      <c r="A449" s="56"/>
      <c r="B449" s="56"/>
      <c r="K449" s="56"/>
      <c r="L449" s="56"/>
      <c r="O449" s="56"/>
    </row>
    <row r="450" spans="1:15" ht="13" x14ac:dyDescent="0.15">
      <c r="A450" s="56"/>
      <c r="B450" s="56"/>
      <c r="K450" s="56"/>
      <c r="L450" s="56"/>
      <c r="O450" s="56"/>
    </row>
    <row r="451" spans="1:15" ht="13" x14ac:dyDescent="0.15">
      <c r="A451" s="56"/>
      <c r="B451" s="56"/>
      <c r="K451" s="56"/>
      <c r="L451" s="56"/>
      <c r="O451" s="56"/>
    </row>
    <row r="452" spans="1:15" ht="13" x14ac:dyDescent="0.15">
      <c r="A452" s="56"/>
      <c r="B452" s="56"/>
      <c r="K452" s="56"/>
      <c r="L452" s="56"/>
      <c r="O452" s="56"/>
    </row>
    <row r="453" spans="1:15" ht="13" x14ac:dyDescent="0.15">
      <c r="A453" s="56"/>
      <c r="B453" s="56"/>
      <c r="K453" s="56"/>
      <c r="L453" s="56"/>
      <c r="O453" s="56"/>
    </row>
    <row r="454" spans="1:15" ht="13" x14ac:dyDescent="0.15">
      <c r="A454" s="56"/>
      <c r="B454" s="56"/>
      <c r="K454" s="56"/>
      <c r="L454" s="56"/>
      <c r="O454" s="56"/>
    </row>
    <row r="455" spans="1:15" ht="13" x14ac:dyDescent="0.15">
      <c r="A455" s="56"/>
      <c r="B455" s="56"/>
      <c r="K455" s="56"/>
      <c r="L455" s="56"/>
      <c r="O455" s="56"/>
    </row>
    <row r="456" spans="1:15" ht="13" x14ac:dyDescent="0.15">
      <c r="A456" s="56"/>
      <c r="B456" s="56"/>
      <c r="K456" s="56"/>
      <c r="L456" s="56"/>
      <c r="O456" s="56"/>
    </row>
    <row r="457" spans="1:15" ht="13" x14ac:dyDescent="0.15">
      <c r="A457" s="56"/>
      <c r="B457" s="56"/>
      <c r="K457" s="56"/>
      <c r="L457" s="56"/>
      <c r="O457" s="56"/>
    </row>
    <row r="458" spans="1:15" ht="13" x14ac:dyDescent="0.15">
      <c r="A458" s="56"/>
      <c r="B458" s="56"/>
      <c r="K458" s="56"/>
      <c r="L458" s="56"/>
      <c r="O458" s="56"/>
    </row>
    <row r="459" spans="1:15" ht="13" x14ac:dyDescent="0.15">
      <c r="A459" s="56"/>
      <c r="B459" s="56"/>
      <c r="K459" s="56"/>
      <c r="L459" s="56"/>
      <c r="O459" s="56"/>
    </row>
    <row r="460" spans="1:15" ht="13" x14ac:dyDescent="0.15">
      <c r="A460" s="56"/>
      <c r="B460" s="56"/>
      <c r="K460" s="56"/>
      <c r="L460" s="56"/>
      <c r="O460" s="56"/>
    </row>
    <row r="461" spans="1:15" ht="13" x14ac:dyDescent="0.15">
      <c r="A461" s="56"/>
      <c r="B461" s="56"/>
      <c r="K461" s="56"/>
      <c r="L461" s="56"/>
      <c r="O461" s="56"/>
    </row>
    <row r="462" spans="1:15" ht="13" x14ac:dyDescent="0.15">
      <c r="A462" s="56"/>
      <c r="B462" s="56"/>
      <c r="K462" s="56"/>
      <c r="L462" s="56"/>
      <c r="O462" s="56"/>
    </row>
    <row r="463" spans="1:15" ht="13" x14ac:dyDescent="0.15">
      <c r="A463" s="56"/>
      <c r="B463" s="56"/>
      <c r="K463" s="56"/>
      <c r="L463" s="56"/>
      <c r="O463" s="56"/>
    </row>
    <row r="464" spans="1:15" ht="13" x14ac:dyDescent="0.15">
      <c r="A464" s="56"/>
      <c r="B464" s="56"/>
      <c r="K464" s="56"/>
      <c r="L464" s="56"/>
      <c r="O464" s="56"/>
    </row>
    <row r="465" spans="1:15" ht="13" x14ac:dyDescent="0.15">
      <c r="A465" s="56"/>
      <c r="B465" s="56"/>
      <c r="K465" s="56"/>
      <c r="L465" s="56"/>
      <c r="O465" s="56"/>
    </row>
    <row r="466" spans="1:15" ht="13" x14ac:dyDescent="0.15">
      <c r="A466" s="56"/>
      <c r="B466" s="56"/>
      <c r="K466" s="56"/>
      <c r="L466" s="56"/>
      <c r="O466" s="56"/>
    </row>
    <row r="467" spans="1:15" ht="13" x14ac:dyDescent="0.15">
      <c r="A467" s="56"/>
      <c r="B467" s="56"/>
      <c r="K467" s="56"/>
      <c r="L467" s="56"/>
      <c r="O467" s="56"/>
    </row>
    <row r="468" spans="1:15" ht="13" x14ac:dyDescent="0.15">
      <c r="A468" s="56"/>
      <c r="B468" s="56"/>
      <c r="K468" s="56"/>
      <c r="L468" s="56"/>
      <c r="O468" s="56"/>
    </row>
    <row r="469" spans="1:15" ht="13" x14ac:dyDescent="0.15">
      <c r="A469" s="56"/>
      <c r="B469" s="56"/>
      <c r="K469" s="56"/>
      <c r="L469" s="56"/>
      <c r="O469" s="56"/>
    </row>
    <row r="470" spans="1:15" ht="13" x14ac:dyDescent="0.15">
      <c r="A470" s="56"/>
      <c r="B470" s="56"/>
      <c r="K470" s="56"/>
      <c r="L470" s="56"/>
      <c r="O470" s="56"/>
    </row>
    <row r="471" spans="1:15" ht="13" x14ac:dyDescent="0.15">
      <c r="A471" s="56"/>
      <c r="B471" s="56"/>
      <c r="K471" s="56"/>
      <c r="L471" s="56"/>
      <c r="O471" s="56"/>
    </row>
    <row r="472" spans="1:15" ht="13" x14ac:dyDescent="0.15">
      <c r="A472" s="56"/>
      <c r="B472" s="56"/>
      <c r="K472" s="56"/>
      <c r="L472" s="56"/>
      <c r="O472" s="56"/>
    </row>
    <row r="473" spans="1:15" ht="13" x14ac:dyDescent="0.15">
      <c r="A473" s="56"/>
      <c r="B473" s="56"/>
      <c r="K473" s="56"/>
      <c r="L473" s="56"/>
      <c r="O473" s="56"/>
    </row>
    <row r="474" spans="1:15" ht="13" x14ac:dyDescent="0.15">
      <c r="A474" s="56"/>
      <c r="B474" s="56"/>
      <c r="K474" s="56"/>
      <c r="L474" s="56"/>
      <c r="O474" s="56"/>
    </row>
    <row r="475" spans="1:15" ht="13" x14ac:dyDescent="0.15">
      <c r="A475" s="56"/>
      <c r="B475" s="56"/>
      <c r="K475" s="56"/>
      <c r="L475" s="56"/>
      <c r="O475" s="56"/>
    </row>
    <row r="476" spans="1:15" ht="13" x14ac:dyDescent="0.15">
      <c r="A476" s="56"/>
      <c r="B476" s="56"/>
      <c r="K476" s="56"/>
      <c r="L476" s="56"/>
      <c r="O476" s="56"/>
    </row>
    <row r="477" spans="1:15" ht="13" x14ac:dyDescent="0.15">
      <c r="A477" s="56"/>
      <c r="B477" s="56"/>
      <c r="K477" s="56"/>
      <c r="L477" s="56"/>
      <c r="O477" s="56"/>
    </row>
    <row r="478" spans="1:15" ht="13" x14ac:dyDescent="0.15">
      <c r="A478" s="56"/>
      <c r="B478" s="56"/>
      <c r="K478" s="56"/>
      <c r="L478" s="56"/>
      <c r="O478" s="56"/>
    </row>
    <row r="479" spans="1:15" ht="13" x14ac:dyDescent="0.15">
      <c r="A479" s="56"/>
      <c r="B479" s="56"/>
      <c r="K479" s="56"/>
      <c r="L479" s="56"/>
      <c r="O479" s="56"/>
    </row>
    <row r="480" spans="1:15" ht="13" x14ac:dyDescent="0.15">
      <c r="A480" s="56"/>
      <c r="B480" s="56"/>
      <c r="K480" s="56"/>
      <c r="L480" s="56"/>
      <c r="O480" s="56"/>
    </row>
    <row r="481" spans="1:15" ht="13" x14ac:dyDescent="0.15">
      <c r="A481" s="56"/>
      <c r="B481" s="56"/>
      <c r="K481" s="56"/>
      <c r="L481" s="56"/>
      <c r="O481" s="56"/>
    </row>
    <row r="482" spans="1:15" ht="13" x14ac:dyDescent="0.15">
      <c r="A482" s="56"/>
      <c r="B482" s="56"/>
      <c r="K482" s="56"/>
      <c r="L482" s="56"/>
      <c r="O482" s="56"/>
    </row>
    <row r="483" spans="1:15" ht="13" x14ac:dyDescent="0.15">
      <c r="A483" s="56"/>
      <c r="B483" s="56"/>
      <c r="K483" s="56"/>
      <c r="L483" s="56"/>
      <c r="O483" s="56"/>
    </row>
    <row r="484" spans="1:15" ht="13" x14ac:dyDescent="0.15">
      <c r="A484" s="56"/>
      <c r="B484" s="56"/>
      <c r="K484" s="56"/>
      <c r="L484" s="56"/>
      <c r="O484" s="56"/>
    </row>
    <row r="485" spans="1:15" ht="13" x14ac:dyDescent="0.15">
      <c r="A485" s="56"/>
      <c r="B485" s="56"/>
      <c r="K485" s="56"/>
      <c r="L485" s="56"/>
      <c r="O485" s="56"/>
    </row>
    <row r="486" spans="1:15" ht="13" x14ac:dyDescent="0.15">
      <c r="A486" s="56"/>
      <c r="B486" s="56"/>
      <c r="K486" s="56"/>
      <c r="L486" s="56"/>
      <c r="O486" s="56"/>
    </row>
    <row r="487" spans="1:15" ht="13" x14ac:dyDescent="0.15">
      <c r="A487" s="56"/>
      <c r="B487" s="56"/>
      <c r="K487" s="56"/>
      <c r="L487" s="56"/>
      <c r="O487" s="56"/>
    </row>
    <row r="488" spans="1:15" ht="13" x14ac:dyDescent="0.15">
      <c r="A488" s="56"/>
      <c r="B488" s="56"/>
      <c r="K488" s="56"/>
      <c r="L488" s="56"/>
      <c r="O488" s="56"/>
    </row>
    <row r="489" spans="1:15" ht="13" x14ac:dyDescent="0.15">
      <c r="A489" s="56"/>
      <c r="B489" s="56"/>
      <c r="K489" s="56"/>
      <c r="L489" s="56"/>
      <c r="O489" s="56"/>
    </row>
    <row r="490" spans="1:15" ht="13" x14ac:dyDescent="0.15">
      <c r="A490" s="56"/>
      <c r="B490" s="56"/>
      <c r="K490" s="56"/>
      <c r="L490" s="56"/>
      <c r="O490" s="56"/>
    </row>
    <row r="491" spans="1:15" ht="13" x14ac:dyDescent="0.15">
      <c r="A491" s="56"/>
      <c r="B491" s="56"/>
      <c r="K491" s="56"/>
      <c r="L491" s="56"/>
      <c r="O491" s="56"/>
    </row>
    <row r="492" spans="1:15" ht="13" x14ac:dyDescent="0.15">
      <c r="A492" s="56"/>
      <c r="B492" s="56"/>
      <c r="K492" s="56"/>
      <c r="L492" s="56"/>
      <c r="O492" s="56"/>
    </row>
    <row r="493" spans="1:15" ht="13" x14ac:dyDescent="0.15">
      <c r="A493" s="56"/>
      <c r="B493" s="56"/>
      <c r="K493" s="56"/>
      <c r="L493" s="56"/>
      <c r="O493" s="56"/>
    </row>
    <row r="494" spans="1:15" ht="13" x14ac:dyDescent="0.15">
      <c r="A494" s="56"/>
      <c r="B494" s="56"/>
      <c r="K494" s="56"/>
      <c r="L494" s="56"/>
      <c r="O494" s="56"/>
    </row>
    <row r="495" spans="1:15" ht="13" x14ac:dyDescent="0.15">
      <c r="A495" s="56"/>
      <c r="B495" s="56"/>
      <c r="K495" s="56"/>
      <c r="L495" s="56"/>
      <c r="O495" s="56"/>
    </row>
    <row r="496" spans="1:15" ht="13" x14ac:dyDescent="0.15">
      <c r="A496" s="56"/>
      <c r="B496" s="56"/>
      <c r="K496" s="56"/>
      <c r="L496" s="56"/>
      <c r="O496" s="56"/>
    </row>
    <row r="497" spans="1:15" ht="13" x14ac:dyDescent="0.15">
      <c r="A497" s="56"/>
      <c r="B497" s="56"/>
      <c r="K497" s="56"/>
      <c r="L497" s="56"/>
      <c r="O497" s="56"/>
    </row>
    <row r="498" spans="1:15" ht="13" x14ac:dyDescent="0.15">
      <c r="A498" s="56"/>
      <c r="B498" s="56"/>
      <c r="K498" s="56"/>
      <c r="L498" s="56"/>
      <c r="O498" s="56"/>
    </row>
    <row r="499" spans="1:15" ht="13" x14ac:dyDescent="0.15">
      <c r="A499" s="56"/>
      <c r="B499" s="56"/>
      <c r="K499" s="56"/>
      <c r="L499" s="56"/>
      <c r="O499" s="56"/>
    </row>
    <row r="500" spans="1:15" ht="13" x14ac:dyDescent="0.15">
      <c r="A500" s="56"/>
      <c r="B500" s="56"/>
      <c r="K500" s="56"/>
      <c r="L500" s="56"/>
      <c r="O500" s="56"/>
    </row>
    <row r="501" spans="1:15" ht="13" x14ac:dyDescent="0.15">
      <c r="A501" s="56"/>
      <c r="B501" s="56"/>
      <c r="K501" s="56"/>
      <c r="L501" s="56"/>
      <c r="O501" s="56"/>
    </row>
    <row r="502" spans="1:15" ht="13" x14ac:dyDescent="0.15">
      <c r="A502" s="56"/>
      <c r="B502" s="56"/>
      <c r="K502" s="56"/>
      <c r="L502" s="56"/>
      <c r="O502" s="56"/>
    </row>
    <row r="503" spans="1:15" ht="13" x14ac:dyDescent="0.15">
      <c r="A503" s="56"/>
      <c r="B503" s="56"/>
      <c r="K503" s="56"/>
      <c r="L503" s="56"/>
      <c r="O503" s="56"/>
    </row>
    <row r="504" spans="1:15" ht="13" x14ac:dyDescent="0.15">
      <c r="A504" s="56"/>
      <c r="B504" s="56"/>
      <c r="K504" s="56"/>
      <c r="L504" s="56"/>
      <c r="O504" s="56"/>
    </row>
    <row r="505" spans="1:15" ht="13" x14ac:dyDescent="0.15">
      <c r="A505" s="56"/>
      <c r="B505" s="56"/>
      <c r="K505" s="56"/>
      <c r="L505" s="56"/>
      <c r="O505" s="56"/>
    </row>
    <row r="506" spans="1:15" ht="13" x14ac:dyDescent="0.15">
      <c r="A506" s="56"/>
      <c r="B506" s="56"/>
      <c r="K506" s="56"/>
      <c r="L506" s="56"/>
      <c r="O506" s="56"/>
    </row>
    <row r="507" spans="1:15" ht="13" x14ac:dyDescent="0.15">
      <c r="A507" s="56"/>
      <c r="B507" s="56"/>
      <c r="K507" s="56"/>
      <c r="L507" s="56"/>
      <c r="O507" s="56"/>
    </row>
    <row r="508" spans="1:15" ht="13" x14ac:dyDescent="0.15">
      <c r="A508" s="56"/>
      <c r="B508" s="56"/>
      <c r="K508" s="56"/>
      <c r="L508" s="56"/>
      <c r="O508" s="56"/>
    </row>
    <row r="509" spans="1:15" ht="13" x14ac:dyDescent="0.15">
      <c r="A509" s="56"/>
      <c r="B509" s="56"/>
      <c r="K509" s="56"/>
      <c r="L509" s="56"/>
      <c r="O509" s="56"/>
    </row>
    <row r="510" spans="1:15" ht="13" x14ac:dyDescent="0.15">
      <c r="A510" s="56"/>
      <c r="B510" s="56"/>
      <c r="K510" s="56"/>
      <c r="L510" s="56"/>
      <c r="O510" s="56"/>
    </row>
    <row r="511" spans="1:15" ht="13" x14ac:dyDescent="0.15">
      <c r="A511" s="56"/>
      <c r="B511" s="56"/>
      <c r="K511" s="56"/>
      <c r="L511" s="56"/>
      <c r="O511" s="56"/>
    </row>
    <row r="512" spans="1:15" ht="13" x14ac:dyDescent="0.15">
      <c r="A512" s="56"/>
      <c r="B512" s="56"/>
      <c r="K512" s="56"/>
      <c r="L512" s="56"/>
      <c r="O512" s="56"/>
    </row>
    <row r="513" spans="1:15" ht="13" x14ac:dyDescent="0.15">
      <c r="A513" s="56"/>
      <c r="B513" s="56"/>
      <c r="K513" s="56"/>
      <c r="L513" s="56"/>
      <c r="O513" s="56"/>
    </row>
    <row r="514" spans="1:15" ht="13" x14ac:dyDescent="0.15">
      <c r="A514" s="56"/>
      <c r="B514" s="56"/>
      <c r="K514" s="56"/>
      <c r="L514" s="56"/>
      <c r="O514" s="56"/>
    </row>
    <row r="515" spans="1:15" ht="13" x14ac:dyDescent="0.15">
      <c r="A515" s="56"/>
      <c r="B515" s="56"/>
      <c r="K515" s="56"/>
      <c r="L515" s="56"/>
      <c r="O515" s="56"/>
    </row>
    <row r="516" spans="1:15" ht="13" x14ac:dyDescent="0.15">
      <c r="A516" s="56"/>
      <c r="B516" s="56"/>
      <c r="K516" s="56"/>
      <c r="L516" s="56"/>
      <c r="O516" s="56"/>
    </row>
    <row r="517" spans="1:15" ht="13" x14ac:dyDescent="0.15">
      <c r="A517" s="56"/>
      <c r="B517" s="56"/>
      <c r="K517" s="56"/>
      <c r="L517" s="56"/>
      <c r="O517" s="56"/>
    </row>
    <row r="518" spans="1:15" ht="13" x14ac:dyDescent="0.15">
      <c r="A518" s="56"/>
      <c r="B518" s="56"/>
      <c r="K518" s="56"/>
      <c r="L518" s="56"/>
      <c r="O518" s="56"/>
    </row>
    <row r="519" spans="1:15" ht="13" x14ac:dyDescent="0.15">
      <c r="A519" s="56"/>
      <c r="B519" s="56"/>
      <c r="K519" s="56"/>
      <c r="L519" s="56"/>
      <c r="O519" s="56"/>
    </row>
    <row r="520" spans="1:15" ht="13" x14ac:dyDescent="0.15">
      <c r="A520" s="56"/>
      <c r="B520" s="56"/>
      <c r="K520" s="56"/>
      <c r="L520" s="56"/>
      <c r="O520" s="56"/>
    </row>
    <row r="521" spans="1:15" ht="13" x14ac:dyDescent="0.15">
      <c r="A521" s="56"/>
      <c r="B521" s="56"/>
      <c r="K521" s="56"/>
      <c r="L521" s="56"/>
      <c r="O521" s="56"/>
    </row>
    <row r="522" spans="1:15" ht="13" x14ac:dyDescent="0.15">
      <c r="A522" s="56"/>
      <c r="B522" s="56"/>
      <c r="K522" s="56"/>
      <c r="L522" s="56"/>
      <c r="O522" s="56"/>
    </row>
    <row r="523" spans="1:15" ht="13" x14ac:dyDescent="0.15">
      <c r="A523" s="56"/>
      <c r="B523" s="56"/>
      <c r="K523" s="56"/>
      <c r="L523" s="56"/>
      <c r="O523" s="56"/>
    </row>
    <row r="524" spans="1:15" ht="13" x14ac:dyDescent="0.15">
      <c r="A524" s="56"/>
      <c r="B524" s="56"/>
      <c r="K524" s="56"/>
      <c r="L524" s="56"/>
      <c r="O524" s="56"/>
    </row>
    <row r="525" spans="1:15" ht="13" x14ac:dyDescent="0.15">
      <c r="A525" s="56"/>
      <c r="B525" s="56"/>
      <c r="K525" s="56"/>
      <c r="L525" s="56"/>
      <c r="O525" s="56"/>
    </row>
    <row r="526" spans="1:15" ht="13" x14ac:dyDescent="0.15">
      <c r="A526" s="56"/>
      <c r="B526" s="56"/>
      <c r="K526" s="56"/>
      <c r="L526" s="56"/>
      <c r="O526" s="56"/>
    </row>
    <row r="527" spans="1:15" ht="13" x14ac:dyDescent="0.15">
      <c r="A527" s="56"/>
      <c r="B527" s="56"/>
      <c r="K527" s="56"/>
      <c r="L527" s="56"/>
      <c r="O527" s="56"/>
    </row>
    <row r="528" spans="1:15" ht="13" x14ac:dyDescent="0.15">
      <c r="A528" s="56"/>
      <c r="B528" s="56"/>
      <c r="K528" s="56"/>
      <c r="L528" s="56"/>
      <c r="O528" s="56"/>
    </row>
    <row r="529" spans="1:15" ht="13" x14ac:dyDescent="0.15">
      <c r="A529" s="56"/>
      <c r="B529" s="56"/>
      <c r="K529" s="56"/>
      <c r="L529" s="56"/>
      <c r="O529" s="56"/>
    </row>
    <row r="530" spans="1:15" ht="13" x14ac:dyDescent="0.15">
      <c r="A530" s="56"/>
      <c r="B530" s="56"/>
      <c r="K530" s="56"/>
      <c r="L530" s="56"/>
      <c r="O530" s="56"/>
    </row>
    <row r="531" spans="1:15" ht="13" x14ac:dyDescent="0.15">
      <c r="A531" s="56"/>
      <c r="B531" s="56"/>
      <c r="K531" s="56"/>
      <c r="L531" s="56"/>
      <c r="O531" s="56"/>
    </row>
    <row r="532" spans="1:15" ht="13" x14ac:dyDescent="0.15">
      <c r="A532" s="56"/>
      <c r="B532" s="56"/>
      <c r="K532" s="56"/>
      <c r="L532" s="56"/>
      <c r="O532" s="56"/>
    </row>
    <row r="533" spans="1:15" ht="13" x14ac:dyDescent="0.15">
      <c r="A533" s="56"/>
      <c r="B533" s="56"/>
      <c r="K533" s="56"/>
      <c r="L533" s="56"/>
      <c r="O533" s="56"/>
    </row>
    <row r="534" spans="1:15" ht="13" x14ac:dyDescent="0.15">
      <c r="A534" s="56"/>
      <c r="B534" s="56"/>
      <c r="K534" s="56"/>
      <c r="L534" s="56"/>
      <c r="O534" s="56"/>
    </row>
    <row r="535" spans="1:15" ht="13" x14ac:dyDescent="0.15">
      <c r="A535" s="56"/>
      <c r="B535" s="56"/>
      <c r="K535" s="56"/>
      <c r="L535" s="56"/>
      <c r="O535" s="56"/>
    </row>
    <row r="536" spans="1:15" ht="13" x14ac:dyDescent="0.15">
      <c r="A536" s="56"/>
      <c r="B536" s="56"/>
      <c r="K536" s="56"/>
      <c r="L536" s="56"/>
      <c r="O536" s="56"/>
    </row>
    <row r="537" spans="1:15" ht="13" x14ac:dyDescent="0.15">
      <c r="A537" s="56"/>
      <c r="B537" s="56"/>
      <c r="K537" s="56"/>
      <c r="L537" s="56"/>
      <c r="O537" s="56"/>
    </row>
    <row r="538" spans="1:15" ht="13" x14ac:dyDescent="0.15">
      <c r="A538" s="56"/>
      <c r="B538" s="56"/>
      <c r="K538" s="56"/>
      <c r="L538" s="56"/>
      <c r="O538" s="56"/>
    </row>
    <row r="539" spans="1:15" ht="13" x14ac:dyDescent="0.15">
      <c r="A539" s="56"/>
      <c r="B539" s="56"/>
      <c r="K539" s="56"/>
      <c r="L539" s="56"/>
      <c r="O539" s="56"/>
    </row>
    <row r="540" spans="1:15" ht="13" x14ac:dyDescent="0.15">
      <c r="A540" s="56"/>
      <c r="B540" s="56"/>
      <c r="K540" s="56"/>
      <c r="L540" s="56"/>
      <c r="O540" s="56"/>
    </row>
    <row r="541" spans="1:15" ht="13" x14ac:dyDescent="0.15">
      <c r="A541" s="56"/>
      <c r="B541" s="56"/>
      <c r="K541" s="56"/>
      <c r="L541" s="56"/>
      <c r="O541" s="56"/>
    </row>
    <row r="542" spans="1:15" ht="13" x14ac:dyDescent="0.15">
      <c r="A542" s="56"/>
      <c r="B542" s="56"/>
      <c r="K542" s="56"/>
      <c r="L542" s="56"/>
      <c r="O542" s="56"/>
    </row>
    <row r="543" spans="1:15" ht="13" x14ac:dyDescent="0.15">
      <c r="A543" s="56"/>
      <c r="B543" s="56"/>
      <c r="K543" s="56"/>
      <c r="L543" s="56"/>
      <c r="O543" s="56"/>
    </row>
    <row r="544" spans="1:15" ht="13" x14ac:dyDescent="0.15">
      <c r="A544" s="56"/>
      <c r="B544" s="56"/>
      <c r="K544" s="56"/>
      <c r="L544" s="56"/>
      <c r="O544" s="56"/>
    </row>
    <row r="545" spans="1:15" ht="13" x14ac:dyDescent="0.15">
      <c r="A545" s="56"/>
      <c r="B545" s="56"/>
      <c r="K545" s="56"/>
      <c r="L545" s="56"/>
      <c r="O545" s="56"/>
    </row>
    <row r="546" spans="1:15" ht="13" x14ac:dyDescent="0.15">
      <c r="A546" s="56"/>
      <c r="B546" s="56"/>
      <c r="K546" s="56"/>
      <c r="L546" s="56"/>
      <c r="O546" s="56"/>
    </row>
    <row r="547" spans="1:15" ht="13" x14ac:dyDescent="0.15">
      <c r="A547" s="56"/>
      <c r="B547" s="56"/>
      <c r="K547" s="56"/>
      <c r="L547" s="56"/>
      <c r="O547" s="56"/>
    </row>
    <row r="548" spans="1:15" ht="13" x14ac:dyDescent="0.15">
      <c r="A548" s="56"/>
      <c r="B548" s="56"/>
      <c r="K548" s="56"/>
      <c r="L548" s="56"/>
      <c r="O548" s="56"/>
    </row>
    <row r="549" spans="1:15" ht="13" x14ac:dyDescent="0.15">
      <c r="A549" s="56"/>
      <c r="B549" s="56"/>
      <c r="K549" s="56"/>
      <c r="L549" s="56"/>
      <c r="O549" s="56"/>
    </row>
    <row r="550" spans="1:15" ht="13" x14ac:dyDescent="0.15">
      <c r="A550" s="56"/>
      <c r="B550" s="56"/>
      <c r="K550" s="56"/>
      <c r="L550" s="56"/>
      <c r="O550" s="56"/>
    </row>
    <row r="551" spans="1:15" ht="13" x14ac:dyDescent="0.15">
      <c r="A551" s="56"/>
      <c r="B551" s="56"/>
      <c r="K551" s="56"/>
      <c r="L551" s="56"/>
      <c r="O551" s="56"/>
    </row>
    <row r="552" spans="1:15" ht="13" x14ac:dyDescent="0.15">
      <c r="A552" s="56"/>
      <c r="B552" s="56"/>
      <c r="K552" s="56"/>
      <c r="L552" s="56"/>
      <c r="O552" s="56"/>
    </row>
    <row r="553" spans="1:15" ht="13" x14ac:dyDescent="0.15">
      <c r="A553" s="56"/>
      <c r="B553" s="56"/>
      <c r="K553" s="56"/>
      <c r="L553" s="56"/>
      <c r="O553" s="56"/>
    </row>
    <row r="554" spans="1:15" ht="13" x14ac:dyDescent="0.15">
      <c r="A554" s="56"/>
      <c r="B554" s="56"/>
      <c r="K554" s="56"/>
      <c r="L554" s="56"/>
      <c r="O554" s="56"/>
    </row>
    <row r="555" spans="1:15" ht="13" x14ac:dyDescent="0.15">
      <c r="A555" s="56"/>
      <c r="B555" s="56"/>
      <c r="K555" s="56"/>
      <c r="L555" s="56"/>
      <c r="O555" s="56"/>
    </row>
    <row r="556" spans="1:15" ht="13" x14ac:dyDescent="0.15">
      <c r="A556" s="56"/>
      <c r="B556" s="56"/>
      <c r="K556" s="56"/>
      <c r="L556" s="56"/>
      <c r="O556" s="56"/>
    </row>
    <row r="557" spans="1:15" ht="13" x14ac:dyDescent="0.15">
      <c r="A557" s="56"/>
      <c r="B557" s="56"/>
      <c r="K557" s="56"/>
      <c r="L557" s="56"/>
      <c r="O557" s="56"/>
    </row>
    <row r="558" spans="1:15" ht="13" x14ac:dyDescent="0.15">
      <c r="A558" s="56"/>
      <c r="B558" s="56"/>
      <c r="K558" s="56"/>
      <c r="L558" s="56"/>
      <c r="O558" s="56"/>
    </row>
    <row r="559" spans="1:15" ht="13" x14ac:dyDescent="0.15">
      <c r="A559" s="56"/>
      <c r="B559" s="56"/>
      <c r="K559" s="56"/>
      <c r="L559" s="56"/>
      <c r="O559" s="56"/>
    </row>
    <row r="560" spans="1:15" ht="13" x14ac:dyDescent="0.15">
      <c r="A560" s="56"/>
      <c r="B560" s="56"/>
      <c r="K560" s="56"/>
      <c r="L560" s="56"/>
      <c r="O560" s="56"/>
    </row>
    <row r="561" spans="1:15" ht="13" x14ac:dyDescent="0.15">
      <c r="A561" s="56"/>
      <c r="B561" s="56"/>
      <c r="K561" s="56"/>
      <c r="L561" s="56"/>
      <c r="O561" s="56"/>
    </row>
    <row r="562" spans="1:15" ht="13" x14ac:dyDescent="0.15">
      <c r="A562" s="56"/>
      <c r="B562" s="56"/>
      <c r="K562" s="56"/>
      <c r="L562" s="56"/>
      <c r="O562" s="56"/>
    </row>
    <row r="563" spans="1:15" ht="13" x14ac:dyDescent="0.15">
      <c r="A563" s="56"/>
      <c r="B563" s="56"/>
      <c r="K563" s="56"/>
      <c r="L563" s="56"/>
      <c r="O563" s="56"/>
    </row>
    <row r="564" spans="1:15" ht="13" x14ac:dyDescent="0.15">
      <c r="A564" s="56"/>
      <c r="B564" s="56"/>
      <c r="K564" s="56"/>
      <c r="L564" s="56"/>
      <c r="O564" s="56"/>
    </row>
    <row r="565" spans="1:15" ht="13" x14ac:dyDescent="0.15">
      <c r="A565" s="56"/>
      <c r="B565" s="56"/>
      <c r="K565" s="56"/>
      <c r="L565" s="56"/>
      <c r="O565" s="56"/>
    </row>
    <row r="566" spans="1:15" ht="13" x14ac:dyDescent="0.15">
      <c r="A566" s="56"/>
      <c r="B566" s="56"/>
      <c r="K566" s="56"/>
      <c r="L566" s="56"/>
      <c r="O566" s="56"/>
    </row>
    <row r="567" spans="1:15" ht="13" x14ac:dyDescent="0.15">
      <c r="A567" s="56"/>
      <c r="B567" s="56"/>
      <c r="K567" s="56"/>
      <c r="L567" s="56"/>
      <c r="O567" s="56"/>
    </row>
    <row r="568" spans="1:15" ht="13" x14ac:dyDescent="0.15">
      <c r="A568" s="56"/>
      <c r="B568" s="56"/>
      <c r="K568" s="56"/>
      <c r="L568" s="56"/>
      <c r="O568" s="56"/>
    </row>
    <row r="569" spans="1:15" ht="13" x14ac:dyDescent="0.15">
      <c r="A569" s="56"/>
      <c r="B569" s="56"/>
      <c r="K569" s="56"/>
      <c r="L569" s="56"/>
      <c r="O569" s="56"/>
    </row>
    <row r="570" spans="1:15" ht="13" x14ac:dyDescent="0.15">
      <c r="A570" s="56"/>
      <c r="B570" s="56"/>
      <c r="K570" s="56"/>
      <c r="L570" s="56"/>
      <c r="O570" s="56"/>
    </row>
    <row r="571" spans="1:15" ht="13" x14ac:dyDescent="0.15">
      <c r="A571" s="56"/>
      <c r="B571" s="56"/>
      <c r="K571" s="56"/>
      <c r="L571" s="56"/>
      <c r="O571" s="56"/>
    </row>
    <row r="572" spans="1:15" ht="13" x14ac:dyDescent="0.15">
      <c r="A572" s="56"/>
      <c r="B572" s="56"/>
      <c r="K572" s="56"/>
      <c r="L572" s="56"/>
      <c r="O572" s="56"/>
    </row>
    <row r="573" spans="1:15" ht="13" x14ac:dyDescent="0.15">
      <c r="A573" s="56"/>
      <c r="B573" s="56"/>
      <c r="K573" s="56"/>
      <c r="L573" s="56"/>
      <c r="O573" s="56"/>
    </row>
    <row r="574" spans="1:15" ht="13" x14ac:dyDescent="0.15">
      <c r="A574" s="56"/>
      <c r="B574" s="56"/>
      <c r="K574" s="56"/>
      <c r="L574" s="56"/>
      <c r="O574" s="56"/>
    </row>
    <row r="575" spans="1:15" ht="13" x14ac:dyDescent="0.15">
      <c r="A575" s="56"/>
      <c r="B575" s="56"/>
      <c r="K575" s="56"/>
      <c r="L575" s="56"/>
      <c r="O575" s="56"/>
    </row>
    <row r="576" spans="1:15" ht="13" x14ac:dyDescent="0.15">
      <c r="A576" s="56"/>
      <c r="B576" s="56"/>
      <c r="K576" s="56"/>
      <c r="L576" s="56"/>
      <c r="O576" s="56"/>
    </row>
    <row r="577" spans="1:15" ht="13" x14ac:dyDescent="0.15">
      <c r="A577" s="56"/>
      <c r="B577" s="56"/>
      <c r="K577" s="56"/>
      <c r="L577" s="56"/>
      <c r="O577" s="56"/>
    </row>
    <row r="578" spans="1:15" ht="13" x14ac:dyDescent="0.15">
      <c r="A578" s="56"/>
      <c r="B578" s="56"/>
      <c r="K578" s="56"/>
      <c r="L578" s="56"/>
      <c r="O578" s="56"/>
    </row>
    <row r="579" spans="1:15" ht="13" x14ac:dyDescent="0.15">
      <c r="A579" s="56"/>
      <c r="B579" s="56"/>
      <c r="K579" s="56"/>
      <c r="L579" s="56"/>
      <c r="O579" s="56"/>
    </row>
    <row r="580" spans="1:15" ht="13" x14ac:dyDescent="0.15">
      <c r="A580" s="56"/>
      <c r="B580" s="56"/>
      <c r="K580" s="56"/>
      <c r="L580" s="56"/>
      <c r="O580" s="56"/>
    </row>
    <row r="581" spans="1:15" ht="13" x14ac:dyDescent="0.15">
      <c r="A581" s="56"/>
      <c r="B581" s="56"/>
      <c r="K581" s="56"/>
      <c r="L581" s="56"/>
      <c r="O581" s="56"/>
    </row>
    <row r="582" spans="1:15" ht="13" x14ac:dyDescent="0.15">
      <c r="A582" s="56"/>
      <c r="B582" s="56"/>
      <c r="K582" s="56"/>
      <c r="L582" s="56"/>
      <c r="O582" s="56"/>
    </row>
    <row r="583" spans="1:15" ht="13" x14ac:dyDescent="0.15">
      <c r="A583" s="56"/>
      <c r="B583" s="56"/>
      <c r="K583" s="56"/>
      <c r="L583" s="56"/>
      <c r="O583" s="56"/>
    </row>
    <row r="584" spans="1:15" ht="13" x14ac:dyDescent="0.15">
      <c r="A584" s="56"/>
      <c r="B584" s="56"/>
      <c r="K584" s="56"/>
      <c r="L584" s="56"/>
      <c r="O584" s="56"/>
    </row>
    <row r="585" spans="1:15" ht="13" x14ac:dyDescent="0.15">
      <c r="A585" s="56"/>
      <c r="B585" s="56"/>
      <c r="K585" s="56"/>
      <c r="L585" s="56"/>
      <c r="O585" s="56"/>
    </row>
    <row r="586" spans="1:15" ht="13" x14ac:dyDescent="0.15">
      <c r="A586" s="56"/>
      <c r="B586" s="56"/>
      <c r="K586" s="56"/>
      <c r="L586" s="56"/>
      <c r="O586" s="56"/>
    </row>
    <row r="587" spans="1:15" ht="13" x14ac:dyDescent="0.15">
      <c r="A587" s="56"/>
      <c r="B587" s="56"/>
      <c r="K587" s="56"/>
      <c r="L587" s="56"/>
      <c r="O587" s="56"/>
    </row>
    <row r="588" spans="1:15" ht="13" x14ac:dyDescent="0.15">
      <c r="A588" s="56"/>
      <c r="B588" s="56"/>
      <c r="K588" s="56"/>
      <c r="L588" s="56"/>
      <c r="O588" s="56"/>
    </row>
    <row r="589" spans="1:15" ht="13" x14ac:dyDescent="0.15">
      <c r="A589" s="56"/>
      <c r="B589" s="56"/>
      <c r="K589" s="56"/>
      <c r="L589" s="56"/>
      <c r="O589" s="56"/>
    </row>
    <row r="590" spans="1:15" ht="13" x14ac:dyDescent="0.15">
      <c r="A590" s="56"/>
      <c r="B590" s="56"/>
      <c r="K590" s="56"/>
      <c r="L590" s="56"/>
      <c r="O590" s="56"/>
    </row>
    <row r="591" spans="1:15" ht="13" x14ac:dyDescent="0.15">
      <c r="A591" s="56"/>
      <c r="B591" s="56"/>
      <c r="K591" s="56"/>
      <c r="L591" s="56"/>
      <c r="O591" s="56"/>
    </row>
    <row r="592" spans="1:15" ht="13" x14ac:dyDescent="0.15">
      <c r="A592" s="56"/>
      <c r="B592" s="56"/>
      <c r="K592" s="56"/>
      <c r="L592" s="56"/>
      <c r="O592" s="56"/>
    </row>
    <row r="593" spans="1:15" ht="13" x14ac:dyDescent="0.15">
      <c r="A593" s="56"/>
      <c r="B593" s="56"/>
      <c r="K593" s="56"/>
      <c r="L593" s="56"/>
      <c r="O593" s="56"/>
    </row>
    <row r="594" spans="1:15" ht="13" x14ac:dyDescent="0.15">
      <c r="A594" s="56"/>
      <c r="B594" s="56"/>
      <c r="K594" s="56"/>
      <c r="L594" s="56"/>
      <c r="O594" s="56"/>
    </row>
    <row r="595" spans="1:15" ht="13" x14ac:dyDescent="0.15">
      <c r="A595" s="56"/>
      <c r="B595" s="56"/>
      <c r="K595" s="56"/>
      <c r="L595" s="56"/>
      <c r="O595" s="56"/>
    </row>
    <row r="596" spans="1:15" ht="13" x14ac:dyDescent="0.15">
      <c r="A596" s="56"/>
      <c r="B596" s="56"/>
      <c r="K596" s="56"/>
      <c r="L596" s="56"/>
      <c r="O596" s="56"/>
    </row>
    <row r="597" spans="1:15" ht="13" x14ac:dyDescent="0.15">
      <c r="A597" s="56"/>
      <c r="B597" s="56"/>
      <c r="K597" s="56"/>
      <c r="L597" s="56"/>
      <c r="O597" s="56"/>
    </row>
    <row r="598" spans="1:15" ht="13" x14ac:dyDescent="0.15">
      <c r="A598" s="56"/>
      <c r="B598" s="56"/>
      <c r="K598" s="56"/>
      <c r="L598" s="56"/>
      <c r="O598" s="56"/>
    </row>
    <row r="599" spans="1:15" ht="13" x14ac:dyDescent="0.15">
      <c r="A599" s="56"/>
      <c r="B599" s="56"/>
      <c r="K599" s="56"/>
      <c r="L599" s="56"/>
      <c r="O599" s="56"/>
    </row>
    <row r="600" spans="1:15" ht="13" x14ac:dyDescent="0.15">
      <c r="A600" s="56"/>
      <c r="B600" s="56"/>
      <c r="K600" s="56"/>
      <c r="L600" s="56"/>
      <c r="O600" s="56"/>
    </row>
    <row r="601" spans="1:15" ht="13" x14ac:dyDescent="0.15">
      <c r="A601" s="56"/>
      <c r="B601" s="56"/>
      <c r="K601" s="56"/>
      <c r="L601" s="56"/>
      <c r="O601" s="56"/>
    </row>
    <row r="602" spans="1:15" ht="13" x14ac:dyDescent="0.15">
      <c r="A602" s="56"/>
      <c r="B602" s="56"/>
      <c r="K602" s="56"/>
      <c r="L602" s="56"/>
      <c r="O602" s="56"/>
    </row>
    <row r="603" spans="1:15" ht="13" x14ac:dyDescent="0.15">
      <c r="A603" s="56"/>
      <c r="B603" s="56"/>
      <c r="K603" s="56"/>
      <c r="L603" s="56"/>
      <c r="O603" s="56"/>
    </row>
    <row r="604" spans="1:15" ht="13" x14ac:dyDescent="0.15">
      <c r="A604" s="56"/>
      <c r="B604" s="56"/>
      <c r="K604" s="56"/>
      <c r="L604" s="56"/>
      <c r="O604" s="56"/>
    </row>
    <row r="605" spans="1:15" ht="13" x14ac:dyDescent="0.15">
      <c r="A605" s="56"/>
      <c r="B605" s="56"/>
      <c r="K605" s="56"/>
      <c r="L605" s="56"/>
      <c r="O605" s="56"/>
    </row>
    <row r="606" spans="1:15" ht="13" x14ac:dyDescent="0.15">
      <c r="A606" s="56"/>
      <c r="B606" s="56"/>
      <c r="K606" s="56"/>
      <c r="L606" s="56"/>
      <c r="O606" s="56"/>
    </row>
    <row r="607" spans="1:15" ht="13" x14ac:dyDescent="0.15">
      <c r="A607" s="56"/>
      <c r="B607" s="56"/>
      <c r="K607" s="56"/>
      <c r="L607" s="56"/>
      <c r="O607" s="56"/>
    </row>
    <row r="608" spans="1:15" ht="13" x14ac:dyDescent="0.15">
      <c r="A608" s="56"/>
      <c r="B608" s="56"/>
      <c r="K608" s="56"/>
      <c r="L608" s="56"/>
      <c r="O608" s="56"/>
    </row>
    <row r="609" spans="1:15" ht="13" x14ac:dyDescent="0.15">
      <c r="A609" s="56"/>
      <c r="B609" s="56"/>
      <c r="K609" s="56"/>
      <c r="L609" s="56"/>
      <c r="O609" s="56"/>
    </row>
    <row r="610" spans="1:15" ht="13" x14ac:dyDescent="0.15">
      <c r="A610" s="56"/>
      <c r="B610" s="56"/>
      <c r="K610" s="56"/>
      <c r="L610" s="56"/>
      <c r="O610" s="56"/>
    </row>
    <row r="611" spans="1:15" ht="13" x14ac:dyDescent="0.15">
      <c r="A611" s="56"/>
      <c r="B611" s="56"/>
      <c r="K611" s="56"/>
      <c r="L611" s="56"/>
      <c r="O611" s="56"/>
    </row>
    <row r="612" spans="1:15" ht="13" x14ac:dyDescent="0.15">
      <c r="A612" s="56"/>
      <c r="B612" s="56"/>
      <c r="K612" s="56"/>
      <c r="L612" s="56"/>
      <c r="O612" s="56"/>
    </row>
    <row r="613" spans="1:15" ht="13" x14ac:dyDescent="0.15">
      <c r="A613" s="56"/>
      <c r="B613" s="56"/>
      <c r="K613" s="56"/>
      <c r="L613" s="56"/>
      <c r="O613" s="56"/>
    </row>
    <row r="614" spans="1:15" ht="13" x14ac:dyDescent="0.15">
      <c r="A614" s="56"/>
      <c r="B614" s="56"/>
      <c r="K614" s="56"/>
      <c r="L614" s="56"/>
      <c r="O614" s="56"/>
    </row>
    <row r="615" spans="1:15" ht="13" x14ac:dyDescent="0.15">
      <c r="A615" s="56"/>
      <c r="B615" s="56"/>
      <c r="K615" s="56"/>
      <c r="L615" s="56"/>
      <c r="O615" s="56"/>
    </row>
    <row r="616" spans="1:15" ht="13" x14ac:dyDescent="0.15">
      <c r="A616" s="56"/>
      <c r="B616" s="56"/>
      <c r="K616" s="56"/>
      <c r="L616" s="56"/>
      <c r="O616" s="56"/>
    </row>
    <row r="617" spans="1:15" ht="13" x14ac:dyDescent="0.15">
      <c r="A617" s="56"/>
      <c r="B617" s="56"/>
      <c r="K617" s="56"/>
      <c r="L617" s="56"/>
      <c r="O617" s="56"/>
    </row>
    <row r="618" spans="1:15" ht="13" x14ac:dyDescent="0.15">
      <c r="A618" s="56"/>
      <c r="B618" s="56"/>
      <c r="K618" s="56"/>
      <c r="L618" s="56"/>
      <c r="O618" s="56"/>
    </row>
    <row r="619" spans="1:15" ht="13" x14ac:dyDescent="0.15">
      <c r="A619" s="56"/>
      <c r="B619" s="56"/>
      <c r="K619" s="56"/>
      <c r="L619" s="56"/>
      <c r="O619" s="56"/>
    </row>
    <row r="620" spans="1:15" ht="13" x14ac:dyDescent="0.15">
      <c r="A620" s="56"/>
      <c r="B620" s="56"/>
      <c r="K620" s="56"/>
      <c r="L620" s="56"/>
      <c r="O620" s="56"/>
    </row>
    <row r="621" spans="1:15" ht="13" x14ac:dyDescent="0.15">
      <c r="A621" s="56"/>
      <c r="B621" s="56"/>
      <c r="K621" s="56"/>
      <c r="L621" s="56"/>
      <c r="O621" s="56"/>
    </row>
    <row r="622" spans="1:15" ht="13" x14ac:dyDescent="0.15">
      <c r="A622" s="56"/>
      <c r="B622" s="56"/>
      <c r="K622" s="56"/>
      <c r="L622" s="56"/>
      <c r="O622" s="56"/>
    </row>
    <row r="623" spans="1:15" ht="13" x14ac:dyDescent="0.15">
      <c r="A623" s="56"/>
      <c r="B623" s="56"/>
      <c r="K623" s="56"/>
      <c r="L623" s="56"/>
      <c r="O623" s="56"/>
    </row>
    <row r="624" spans="1:15" ht="13" x14ac:dyDescent="0.15">
      <c r="A624" s="56"/>
      <c r="B624" s="56"/>
      <c r="K624" s="56"/>
      <c r="L624" s="56"/>
      <c r="O624" s="56"/>
    </row>
    <row r="625" spans="1:15" ht="13" x14ac:dyDescent="0.15">
      <c r="A625" s="56"/>
      <c r="B625" s="56"/>
      <c r="K625" s="56"/>
      <c r="L625" s="56"/>
      <c r="O625" s="56"/>
    </row>
    <row r="626" spans="1:15" ht="13" x14ac:dyDescent="0.15">
      <c r="A626" s="56"/>
      <c r="B626" s="56"/>
      <c r="K626" s="56"/>
      <c r="L626" s="56"/>
      <c r="O626" s="56"/>
    </row>
    <row r="627" spans="1:15" ht="13" x14ac:dyDescent="0.15">
      <c r="A627" s="56"/>
      <c r="B627" s="56"/>
      <c r="K627" s="56"/>
      <c r="L627" s="56"/>
      <c r="O627" s="56"/>
    </row>
    <row r="628" spans="1:15" ht="13" x14ac:dyDescent="0.15">
      <c r="A628" s="56"/>
      <c r="B628" s="56"/>
      <c r="K628" s="56"/>
      <c r="L628" s="56"/>
      <c r="O628" s="56"/>
    </row>
    <row r="629" spans="1:15" ht="13" x14ac:dyDescent="0.15">
      <c r="A629" s="56"/>
      <c r="B629" s="56"/>
      <c r="K629" s="56"/>
      <c r="L629" s="56"/>
      <c r="O629" s="56"/>
    </row>
    <row r="630" spans="1:15" ht="13" x14ac:dyDescent="0.15">
      <c r="A630" s="56"/>
      <c r="B630" s="56"/>
      <c r="K630" s="56"/>
      <c r="L630" s="56"/>
      <c r="O630" s="56"/>
    </row>
    <row r="631" spans="1:15" ht="13" x14ac:dyDescent="0.15">
      <c r="A631" s="56"/>
      <c r="B631" s="56"/>
      <c r="K631" s="56"/>
      <c r="L631" s="56"/>
      <c r="O631" s="56"/>
    </row>
    <row r="632" spans="1:15" ht="13" x14ac:dyDescent="0.15">
      <c r="A632" s="56"/>
      <c r="B632" s="56"/>
      <c r="K632" s="56"/>
      <c r="L632" s="56"/>
      <c r="O632" s="56"/>
    </row>
    <row r="633" spans="1:15" ht="13" x14ac:dyDescent="0.15">
      <c r="A633" s="56"/>
      <c r="B633" s="56"/>
      <c r="K633" s="56"/>
      <c r="L633" s="56"/>
      <c r="O633" s="56"/>
    </row>
    <row r="634" spans="1:15" ht="13" x14ac:dyDescent="0.15">
      <c r="A634" s="56"/>
      <c r="B634" s="56"/>
      <c r="K634" s="56"/>
      <c r="L634" s="56"/>
      <c r="O634" s="56"/>
    </row>
    <row r="635" spans="1:15" ht="13" x14ac:dyDescent="0.15">
      <c r="A635" s="56"/>
      <c r="B635" s="56"/>
      <c r="K635" s="56"/>
      <c r="L635" s="56"/>
      <c r="O635" s="56"/>
    </row>
    <row r="636" spans="1:15" ht="13" x14ac:dyDescent="0.15">
      <c r="A636" s="56"/>
      <c r="B636" s="56"/>
      <c r="K636" s="56"/>
      <c r="L636" s="56"/>
      <c r="O636" s="56"/>
    </row>
    <row r="637" spans="1:15" ht="13" x14ac:dyDescent="0.15">
      <c r="A637" s="56"/>
      <c r="B637" s="56"/>
      <c r="K637" s="56"/>
      <c r="L637" s="56"/>
      <c r="O637" s="56"/>
    </row>
    <row r="638" spans="1:15" ht="13" x14ac:dyDescent="0.15">
      <c r="A638" s="56"/>
      <c r="B638" s="56"/>
      <c r="K638" s="56"/>
      <c r="L638" s="56"/>
      <c r="O638" s="56"/>
    </row>
    <row r="639" spans="1:15" ht="13" x14ac:dyDescent="0.15">
      <c r="A639" s="56"/>
      <c r="B639" s="56"/>
      <c r="K639" s="56"/>
      <c r="L639" s="56"/>
      <c r="O639" s="56"/>
    </row>
    <row r="640" spans="1:15" ht="13" x14ac:dyDescent="0.15">
      <c r="A640" s="56"/>
      <c r="B640" s="56"/>
      <c r="K640" s="56"/>
      <c r="L640" s="56"/>
      <c r="O640" s="56"/>
    </row>
    <row r="641" spans="1:15" ht="13" x14ac:dyDescent="0.15">
      <c r="A641" s="56"/>
      <c r="B641" s="56"/>
      <c r="K641" s="56"/>
      <c r="L641" s="56"/>
      <c r="O641" s="56"/>
    </row>
    <row r="642" spans="1:15" ht="13" x14ac:dyDescent="0.15">
      <c r="A642" s="56"/>
      <c r="B642" s="56"/>
      <c r="K642" s="56"/>
      <c r="L642" s="56"/>
      <c r="O642" s="56"/>
    </row>
    <row r="643" spans="1:15" ht="13" x14ac:dyDescent="0.15">
      <c r="A643" s="56"/>
      <c r="B643" s="56"/>
      <c r="K643" s="56"/>
      <c r="L643" s="56"/>
      <c r="O643" s="56"/>
    </row>
    <row r="644" spans="1:15" ht="13" x14ac:dyDescent="0.15">
      <c r="A644" s="56"/>
      <c r="B644" s="56"/>
      <c r="K644" s="56"/>
      <c r="L644" s="56"/>
      <c r="O644" s="56"/>
    </row>
    <row r="645" spans="1:15" ht="13" x14ac:dyDescent="0.15">
      <c r="A645" s="56"/>
      <c r="B645" s="56"/>
      <c r="K645" s="56"/>
      <c r="L645" s="56"/>
      <c r="O645" s="56"/>
    </row>
    <row r="646" spans="1:15" ht="13" x14ac:dyDescent="0.15">
      <c r="A646" s="56"/>
      <c r="B646" s="56"/>
      <c r="K646" s="56"/>
      <c r="L646" s="56"/>
      <c r="O646" s="56"/>
    </row>
    <row r="647" spans="1:15" ht="13" x14ac:dyDescent="0.15">
      <c r="A647" s="56"/>
      <c r="B647" s="56"/>
      <c r="K647" s="56"/>
      <c r="L647" s="56"/>
      <c r="O647" s="56"/>
    </row>
    <row r="648" spans="1:15" ht="13" x14ac:dyDescent="0.15">
      <c r="A648" s="56"/>
      <c r="B648" s="56"/>
      <c r="K648" s="56"/>
      <c r="L648" s="56"/>
      <c r="O648" s="56"/>
    </row>
    <row r="649" spans="1:15" ht="13" x14ac:dyDescent="0.15">
      <c r="A649" s="56"/>
      <c r="B649" s="56"/>
      <c r="K649" s="56"/>
      <c r="L649" s="56"/>
      <c r="O649" s="56"/>
    </row>
    <row r="650" spans="1:15" ht="13" x14ac:dyDescent="0.15">
      <c r="A650" s="56"/>
      <c r="B650" s="56"/>
      <c r="K650" s="56"/>
      <c r="L650" s="56"/>
      <c r="O650" s="56"/>
    </row>
    <row r="651" spans="1:15" ht="13" x14ac:dyDescent="0.15">
      <c r="A651" s="56"/>
      <c r="B651" s="56"/>
      <c r="K651" s="56"/>
      <c r="L651" s="56"/>
      <c r="O651" s="56"/>
    </row>
    <row r="652" spans="1:15" ht="13" x14ac:dyDescent="0.15">
      <c r="A652" s="56"/>
      <c r="B652" s="56"/>
      <c r="K652" s="56"/>
      <c r="L652" s="56"/>
      <c r="O652" s="56"/>
    </row>
    <row r="653" spans="1:15" ht="13" x14ac:dyDescent="0.15">
      <c r="A653" s="56"/>
      <c r="B653" s="56"/>
      <c r="K653" s="56"/>
      <c r="L653" s="56"/>
      <c r="O653" s="56"/>
    </row>
    <row r="654" spans="1:15" ht="13" x14ac:dyDescent="0.15">
      <c r="A654" s="56"/>
      <c r="B654" s="56"/>
      <c r="K654" s="56"/>
      <c r="L654" s="56"/>
      <c r="O654" s="56"/>
    </row>
    <row r="655" spans="1:15" ht="13" x14ac:dyDescent="0.15">
      <c r="A655" s="56"/>
      <c r="B655" s="56"/>
      <c r="K655" s="56"/>
      <c r="L655" s="56"/>
      <c r="O655" s="56"/>
    </row>
    <row r="656" spans="1:15" ht="13" x14ac:dyDescent="0.15">
      <c r="A656" s="56"/>
      <c r="B656" s="56"/>
      <c r="K656" s="56"/>
      <c r="L656" s="56"/>
      <c r="O656" s="56"/>
    </row>
    <row r="657" spans="1:15" ht="13" x14ac:dyDescent="0.15">
      <c r="A657" s="56"/>
      <c r="B657" s="56"/>
      <c r="K657" s="56"/>
      <c r="L657" s="56"/>
      <c r="O657" s="56"/>
    </row>
    <row r="658" spans="1:15" ht="13" x14ac:dyDescent="0.15">
      <c r="A658" s="56"/>
      <c r="B658" s="56"/>
      <c r="K658" s="56"/>
      <c r="L658" s="56"/>
      <c r="O658" s="56"/>
    </row>
    <row r="659" spans="1:15" ht="13" x14ac:dyDescent="0.15">
      <c r="A659" s="56"/>
      <c r="B659" s="56"/>
      <c r="K659" s="56"/>
      <c r="L659" s="56"/>
      <c r="O659" s="56"/>
    </row>
    <row r="660" spans="1:15" ht="13" x14ac:dyDescent="0.15">
      <c r="A660" s="56"/>
      <c r="B660" s="56"/>
      <c r="K660" s="56"/>
      <c r="L660" s="56"/>
      <c r="O660" s="56"/>
    </row>
    <row r="661" spans="1:15" ht="13" x14ac:dyDescent="0.15">
      <c r="A661" s="56"/>
      <c r="B661" s="56"/>
      <c r="K661" s="56"/>
      <c r="L661" s="56"/>
      <c r="O661" s="56"/>
    </row>
    <row r="662" spans="1:15" ht="13" x14ac:dyDescent="0.15">
      <c r="A662" s="56"/>
      <c r="B662" s="56"/>
      <c r="K662" s="56"/>
      <c r="L662" s="56"/>
      <c r="O662" s="56"/>
    </row>
    <row r="663" spans="1:15" ht="13" x14ac:dyDescent="0.15">
      <c r="A663" s="56"/>
      <c r="B663" s="56"/>
      <c r="K663" s="56"/>
      <c r="L663" s="56"/>
      <c r="O663" s="56"/>
    </row>
    <row r="664" spans="1:15" ht="13" x14ac:dyDescent="0.15">
      <c r="A664" s="56"/>
      <c r="B664" s="56"/>
      <c r="K664" s="56"/>
      <c r="L664" s="56"/>
      <c r="O664" s="56"/>
    </row>
    <row r="665" spans="1:15" ht="13" x14ac:dyDescent="0.15">
      <c r="A665" s="56"/>
      <c r="B665" s="56"/>
      <c r="K665" s="56"/>
      <c r="L665" s="56"/>
      <c r="O665" s="56"/>
    </row>
    <row r="666" spans="1:15" ht="13" x14ac:dyDescent="0.15">
      <c r="A666" s="56"/>
      <c r="B666" s="56"/>
      <c r="K666" s="56"/>
      <c r="L666" s="56"/>
      <c r="O666" s="56"/>
    </row>
    <row r="667" spans="1:15" ht="13" x14ac:dyDescent="0.15">
      <c r="A667" s="56"/>
      <c r="B667" s="56"/>
      <c r="K667" s="56"/>
      <c r="L667" s="56"/>
      <c r="O667" s="56"/>
    </row>
    <row r="668" spans="1:15" ht="13" x14ac:dyDescent="0.15">
      <c r="A668" s="56"/>
      <c r="B668" s="56"/>
      <c r="K668" s="56"/>
      <c r="L668" s="56"/>
      <c r="O668" s="56"/>
    </row>
    <row r="669" spans="1:15" ht="13" x14ac:dyDescent="0.15">
      <c r="A669" s="56"/>
      <c r="B669" s="56"/>
      <c r="K669" s="56"/>
      <c r="L669" s="56"/>
      <c r="O669" s="56"/>
    </row>
    <row r="670" spans="1:15" ht="13" x14ac:dyDescent="0.15">
      <c r="A670" s="56"/>
      <c r="B670" s="56"/>
      <c r="K670" s="56"/>
      <c r="L670" s="56"/>
      <c r="O670" s="56"/>
    </row>
    <row r="671" spans="1:15" ht="13" x14ac:dyDescent="0.15">
      <c r="A671" s="56"/>
      <c r="B671" s="56"/>
      <c r="K671" s="56"/>
      <c r="L671" s="56"/>
      <c r="O671" s="56"/>
    </row>
    <row r="672" spans="1:15" ht="13" x14ac:dyDescent="0.15">
      <c r="A672" s="56"/>
      <c r="B672" s="56"/>
      <c r="K672" s="56"/>
      <c r="L672" s="56"/>
      <c r="O672" s="56"/>
    </row>
    <row r="673" spans="1:15" ht="13" x14ac:dyDescent="0.15">
      <c r="A673" s="56"/>
      <c r="B673" s="56"/>
      <c r="K673" s="56"/>
      <c r="L673" s="56"/>
      <c r="O673" s="56"/>
    </row>
    <row r="674" spans="1:15" ht="13" x14ac:dyDescent="0.15">
      <c r="A674" s="56"/>
      <c r="B674" s="56"/>
      <c r="K674" s="56"/>
      <c r="L674" s="56"/>
      <c r="O674" s="56"/>
    </row>
    <row r="675" spans="1:15" ht="13" x14ac:dyDescent="0.15">
      <c r="A675" s="56"/>
      <c r="B675" s="56"/>
      <c r="K675" s="56"/>
      <c r="L675" s="56"/>
      <c r="O675" s="56"/>
    </row>
    <row r="676" spans="1:15" ht="13" x14ac:dyDescent="0.15">
      <c r="A676" s="56"/>
      <c r="B676" s="56"/>
      <c r="K676" s="56"/>
      <c r="L676" s="56"/>
      <c r="O676" s="56"/>
    </row>
    <row r="677" spans="1:15" ht="13" x14ac:dyDescent="0.15">
      <c r="A677" s="56"/>
      <c r="B677" s="56"/>
      <c r="K677" s="56"/>
      <c r="L677" s="56"/>
      <c r="O677" s="56"/>
    </row>
    <row r="678" spans="1:15" ht="13" x14ac:dyDescent="0.15">
      <c r="A678" s="56"/>
      <c r="B678" s="56"/>
      <c r="K678" s="56"/>
      <c r="L678" s="56"/>
      <c r="O678" s="56"/>
    </row>
    <row r="679" spans="1:15" ht="13" x14ac:dyDescent="0.15">
      <c r="A679" s="56"/>
      <c r="B679" s="56"/>
      <c r="K679" s="56"/>
      <c r="L679" s="56"/>
      <c r="O679" s="56"/>
    </row>
    <row r="680" spans="1:15" ht="13" x14ac:dyDescent="0.15">
      <c r="A680" s="56"/>
      <c r="B680" s="56"/>
      <c r="K680" s="56"/>
      <c r="L680" s="56"/>
      <c r="O680" s="56"/>
    </row>
    <row r="681" spans="1:15" ht="13" x14ac:dyDescent="0.15">
      <c r="A681" s="56"/>
      <c r="B681" s="56"/>
      <c r="K681" s="56"/>
      <c r="L681" s="56"/>
      <c r="O681" s="56"/>
    </row>
    <row r="682" spans="1:15" ht="13" x14ac:dyDescent="0.15">
      <c r="A682" s="56"/>
      <c r="B682" s="56"/>
      <c r="K682" s="56"/>
      <c r="L682" s="56"/>
      <c r="O682" s="56"/>
    </row>
    <row r="683" spans="1:15" ht="13" x14ac:dyDescent="0.15">
      <c r="A683" s="56"/>
      <c r="B683" s="56"/>
      <c r="K683" s="56"/>
      <c r="L683" s="56"/>
      <c r="O683" s="56"/>
    </row>
    <row r="684" spans="1:15" ht="13" x14ac:dyDescent="0.15">
      <c r="A684" s="56"/>
      <c r="B684" s="56"/>
      <c r="K684" s="56"/>
      <c r="L684" s="56"/>
      <c r="O684" s="56"/>
    </row>
    <row r="685" spans="1:15" ht="13" x14ac:dyDescent="0.15">
      <c r="A685" s="56"/>
      <c r="B685" s="56"/>
      <c r="K685" s="56"/>
      <c r="L685" s="56"/>
      <c r="O685" s="56"/>
    </row>
    <row r="686" spans="1:15" ht="13" x14ac:dyDescent="0.15">
      <c r="A686" s="56"/>
      <c r="B686" s="56"/>
      <c r="K686" s="56"/>
      <c r="L686" s="56"/>
      <c r="O686" s="56"/>
    </row>
    <row r="687" spans="1:15" ht="13" x14ac:dyDescent="0.15">
      <c r="A687" s="56"/>
      <c r="B687" s="56"/>
      <c r="K687" s="56"/>
      <c r="L687" s="56"/>
      <c r="O687" s="56"/>
    </row>
    <row r="688" spans="1:15" ht="13" x14ac:dyDescent="0.15">
      <c r="A688" s="56"/>
      <c r="B688" s="56"/>
      <c r="K688" s="56"/>
      <c r="L688" s="56"/>
      <c r="O688" s="56"/>
    </row>
    <row r="689" spans="1:15" ht="13" x14ac:dyDescent="0.15">
      <c r="A689" s="56"/>
      <c r="B689" s="56"/>
      <c r="K689" s="56"/>
      <c r="L689" s="56"/>
      <c r="O689" s="56"/>
    </row>
    <row r="690" spans="1:15" ht="13" x14ac:dyDescent="0.15">
      <c r="A690" s="56"/>
      <c r="B690" s="56"/>
      <c r="K690" s="56"/>
      <c r="L690" s="56"/>
      <c r="O690" s="56"/>
    </row>
    <row r="691" spans="1:15" ht="13" x14ac:dyDescent="0.15">
      <c r="A691" s="56"/>
      <c r="B691" s="56"/>
      <c r="K691" s="56"/>
      <c r="L691" s="56"/>
      <c r="O691" s="56"/>
    </row>
    <row r="692" spans="1:15" ht="13" x14ac:dyDescent="0.15">
      <c r="A692" s="56"/>
      <c r="B692" s="56"/>
      <c r="K692" s="56"/>
      <c r="L692" s="56"/>
      <c r="O692" s="56"/>
    </row>
    <row r="693" spans="1:15" ht="13" x14ac:dyDescent="0.15">
      <c r="A693" s="56"/>
      <c r="B693" s="56"/>
      <c r="K693" s="56"/>
      <c r="L693" s="56"/>
      <c r="O693" s="56"/>
    </row>
    <row r="694" spans="1:15" ht="13" x14ac:dyDescent="0.15">
      <c r="A694" s="56"/>
      <c r="B694" s="56"/>
      <c r="K694" s="56"/>
      <c r="L694" s="56"/>
      <c r="O694" s="56"/>
    </row>
    <row r="695" spans="1:15" ht="13" x14ac:dyDescent="0.15">
      <c r="A695" s="56"/>
      <c r="B695" s="56"/>
      <c r="K695" s="56"/>
      <c r="L695" s="56"/>
      <c r="O695" s="56"/>
    </row>
    <row r="696" spans="1:15" ht="13" x14ac:dyDescent="0.15">
      <c r="A696" s="56"/>
      <c r="B696" s="56"/>
      <c r="K696" s="56"/>
      <c r="L696" s="56"/>
      <c r="O696" s="56"/>
    </row>
    <row r="697" spans="1:15" ht="13" x14ac:dyDescent="0.15">
      <c r="A697" s="56"/>
      <c r="B697" s="56"/>
      <c r="K697" s="56"/>
      <c r="L697" s="56"/>
      <c r="O697" s="56"/>
    </row>
    <row r="698" spans="1:15" ht="13" x14ac:dyDescent="0.15">
      <c r="A698" s="56"/>
      <c r="B698" s="56"/>
      <c r="K698" s="56"/>
      <c r="L698" s="56"/>
      <c r="O698" s="56"/>
    </row>
    <row r="699" spans="1:15" ht="13" x14ac:dyDescent="0.15">
      <c r="A699" s="56"/>
      <c r="B699" s="56"/>
      <c r="K699" s="56"/>
      <c r="L699" s="56"/>
      <c r="O699" s="56"/>
    </row>
    <row r="700" spans="1:15" ht="13" x14ac:dyDescent="0.15">
      <c r="A700" s="56"/>
      <c r="B700" s="56"/>
      <c r="K700" s="56"/>
      <c r="L700" s="56"/>
      <c r="O700" s="56"/>
    </row>
    <row r="701" spans="1:15" ht="13" x14ac:dyDescent="0.15">
      <c r="A701" s="56"/>
      <c r="B701" s="56"/>
      <c r="K701" s="56"/>
      <c r="L701" s="56"/>
      <c r="O701" s="56"/>
    </row>
    <row r="702" spans="1:15" ht="13" x14ac:dyDescent="0.15">
      <c r="A702" s="56"/>
      <c r="B702" s="56"/>
      <c r="K702" s="56"/>
      <c r="L702" s="56"/>
      <c r="O702" s="56"/>
    </row>
    <row r="703" spans="1:15" ht="13" x14ac:dyDescent="0.15">
      <c r="A703" s="56"/>
      <c r="B703" s="56"/>
      <c r="K703" s="56"/>
      <c r="L703" s="56"/>
      <c r="O703" s="56"/>
    </row>
    <row r="704" spans="1:15" ht="13" x14ac:dyDescent="0.15">
      <c r="A704" s="56"/>
      <c r="B704" s="56"/>
      <c r="K704" s="56"/>
      <c r="L704" s="56"/>
      <c r="O704" s="56"/>
    </row>
    <row r="705" spans="1:15" ht="13" x14ac:dyDescent="0.15">
      <c r="A705" s="56"/>
      <c r="B705" s="56"/>
      <c r="K705" s="56"/>
      <c r="L705" s="56"/>
      <c r="O705" s="56"/>
    </row>
    <row r="706" spans="1:15" ht="13" x14ac:dyDescent="0.15">
      <c r="A706" s="56"/>
      <c r="B706" s="56"/>
      <c r="K706" s="56"/>
      <c r="L706" s="56"/>
      <c r="O706" s="56"/>
    </row>
    <row r="707" spans="1:15" ht="13" x14ac:dyDescent="0.15">
      <c r="A707" s="56"/>
      <c r="B707" s="56"/>
      <c r="K707" s="56"/>
      <c r="L707" s="56"/>
      <c r="O707" s="56"/>
    </row>
    <row r="708" spans="1:15" ht="13" x14ac:dyDescent="0.15">
      <c r="A708" s="56"/>
      <c r="B708" s="56"/>
      <c r="K708" s="56"/>
      <c r="L708" s="56"/>
      <c r="O708" s="56"/>
    </row>
    <row r="709" spans="1:15" ht="13" x14ac:dyDescent="0.15">
      <c r="A709" s="56"/>
      <c r="B709" s="56"/>
      <c r="K709" s="56"/>
      <c r="L709" s="56"/>
      <c r="O709" s="56"/>
    </row>
    <row r="710" spans="1:15" ht="13" x14ac:dyDescent="0.15">
      <c r="A710" s="56"/>
      <c r="B710" s="56"/>
      <c r="K710" s="56"/>
      <c r="L710" s="56"/>
      <c r="O710" s="56"/>
    </row>
    <row r="711" spans="1:15" ht="13" x14ac:dyDescent="0.15">
      <c r="A711" s="56"/>
      <c r="B711" s="56"/>
      <c r="K711" s="56"/>
      <c r="L711" s="56"/>
      <c r="O711" s="56"/>
    </row>
    <row r="712" spans="1:15" ht="13" x14ac:dyDescent="0.15">
      <c r="A712" s="56"/>
      <c r="B712" s="56"/>
      <c r="K712" s="56"/>
      <c r="L712" s="56"/>
      <c r="O712" s="56"/>
    </row>
    <row r="713" spans="1:15" ht="13" x14ac:dyDescent="0.15">
      <c r="A713" s="56"/>
      <c r="B713" s="56"/>
      <c r="K713" s="56"/>
      <c r="L713" s="56"/>
      <c r="O713" s="56"/>
    </row>
    <row r="714" spans="1:15" ht="13" x14ac:dyDescent="0.15">
      <c r="A714" s="56"/>
      <c r="B714" s="56"/>
      <c r="K714" s="56"/>
      <c r="L714" s="56"/>
      <c r="O714" s="56"/>
    </row>
    <row r="715" spans="1:15" ht="13" x14ac:dyDescent="0.15">
      <c r="A715" s="56"/>
      <c r="B715" s="56"/>
      <c r="K715" s="56"/>
      <c r="L715" s="56"/>
      <c r="O715" s="56"/>
    </row>
    <row r="716" spans="1:15" ht="13" x14ac:dyDescent="0.15">
      <c r="A716" s="56"/>
      <c r="B716" s="56"/>
      <c r="K716" s="56"/>
      <c r="L716" s="56"/>
      <c r="O716" s="56"/>
    </row>
    <row r="717" spans="1:15" ht="13" x14ac:dyDescent="0.15">
      <c r="A717" s="56"/>
      <c r="B717" s="56"/>
      <c r="K717" s="56"/>
      <c r="L717" s="56"/>
      <c r="O717" s="56"/>
    </row>
    <row r="718" spans="1:15" ht="13" x14ac:dyDescent="0.15">
      <c r="A718" s="56"/>
      <c r="B718" s="56"/>
      <c r="K718" s="56"/>
      <c r="L718" s="56"/>
      <c r="O718" s="56"/>
    </row>
    <row r="719" spans="1:15" ht="13" x14ac:dyDescent="0.15">
      <c r="A719" s="56"/>
      <c r="B719" s="56"/>
      <c r="K719" s="56"/>
      <c r="L719" s="56"/>
      <c r="O719" s="56"/>
    </row>
    <row r="720" spans="1:15" ht="13" x14ac:dyDescent="0.15">
      <c r="A720" s="56"/>
      <c r="B720" s="56"/>
      <c r="K720" s="56"/>
      <c r="L720" s="56"/>
      <c r="O720" s="56"/>
    </row>
    <row r="721" spans="1:15" ht="13" x14ac:dyDescent="0.15">
      <c r="A721" s="56"/>
      <c r="B721" s="56"/>
      <c r="K721" s="56"/>
      <c r="L721" s="56"/>
      <c r="O721" s="56"/>
    </row>
    <row r="722" spans="1:15" ht="13" x14ac:dyDescent="0.15">
      <c r="A722" s="56"/>
      <c r="B722" s="56"/>
      <c r="K722" s="56"/>
      <c r="L722" s="56"/>
      <c r="O722" s="56"/>
    </row>
    <row r="723" spans="1:15" ht="13" x14ac:dyDescent="0.15">
      <c r="A723" s="56"/>
      <c r="B723" s="56"/>
      <c r="K723" s="56"/>
      <c r="L723" s="56"/>
      <c r="O723" s="56"/>
    </row>
    <row r="724" spans="1:15" ht="13" x14ac:dyDescent="0.15">
      <c r="A724" s="56"/>
      <c r="B724" s="56"/>
      <c r="K724" s="56"/>
      <c r="L724" s="56"/>
      <c r="O724" s="56"/>
    </row>
    <row r="725" spans="1:15" ht="13" x14ac:dyDescent="0.15">
      <c r="A725" s="56"/>
      <c r="B725" s="56"/>
      <c r="K725" s="56"/>
      <c r="L725" s="56"/>
      <c r="O725" s="56"/>
    </row>
    <row r="726" spans="1:15" ht="13" x14ac:dyDescent="0.15">
      <c r="A726" s="56"/>
      <c r="B726" s="56"/>
      <c r="K726" s="56"/>
      <c r="L726" s="56"/>
      <c r="O726" s="56"/>
    </row>
    <row r="727" spans="1:15" ht="13" x14ac:dyDescent="0.15">
      <c r="A727" s="56"/>
      <c r="B727" s="56"/>
      <c r="K727" s="56"/>
      <c r="L727" s="56"/>
      <c r="O727" s="56"/>
    </row>
    <row r="728" spans="1:15" ht="13" x14ac:dyDescent="0.15">
      <c r="A728" s="56"/>
      <c r="B728" s="56"/>
      <c r="K728" s="56"/>
      <c r="L728" s="56"/>
      <c r="O728" s="56"/>
    </row>
    <row r="729" spans="1:15" ht="13" x14ac:dyDescent="0.15">
      <c r="A729" s="56"/>
      <c r="B729" s="56"/>
      <c r="K729" s="56"/>
      <c r="L729" s="56"/>
      <c r="O729" s="56"/>
    </row>
    <row r="730" spans="1:15" ht="13" x14ac:dyDescent="0.15">
      <c r="A730" s="56"/>
      <c r="B730" s="56"/>
      <c r="K730" s="56"/>
      <c r="L730" s="56"/>
      <c r="O730" s="56"/>
    </row>
    <row r="731" spans="1:15" ht="13" x14ac:dyDescent="0.15">
      <c r="A731" s="56"/>
      <c r="B731" s="56"/>
      <c r="K731" s="56"/>
      <c r="L731" s="56"/>
      <c r="O731" s="56"/>
    </row>
    <row r="732" spans="1:15" ht="13" x14ac:dyDescent="0.15">
      <c r="A732" s="56"/>
      <c r="B732" s="56"/>
      <c r="K732" s="56"/>
      <c r="L732" s="56"/>
      <c r="O732" s="56"/>
    </row>
    <row r="733" spans="1:15" ht="13" x14ac:dyDescent="0.15">
      <c r="A733" s="56"/>
      <c r="B733" s="56"/>
      <c r="K733" s="56"/>
      <c r="L733" s="56"/>
      <c r="O733" s="56"/>
    </row>
    <row r="734" spans="1:15" ht="13" x14ac:dyDescent="0.15">
      <c r="A734" s="56"/>
      <c r="B734" s="56"/>
      <c r="K734" s="56"/>
      <c r="L734" s="56"/>
      <c r="O734" s="56"/>
    </row>
    <row r="735" spans="1:15" ht="13" x14ac:dyDescent="0.15">
      <c r="A735" s="56"/>
      <c r="B735" s="56"/>
      <c r="K735" s="56"/>
      <c r="L735" s="56"/>
      <c r="O735" s="56"/>
    </row>
    <row r="736" spans="1:15" ht="13" x14ac:dyDescent="0.15">
      <c r="A736" s="56"/>
      <c r="B736" s="56"/>
      <c r="K736" s="56"/>
      <c r="L736" s="56"/>
      <c r="O736" s="56"/>
    </row>
    <row r="737" spans="1:15" ht="13" x14ac:dyDescent="0.15">
      <c r="A737" s="56"/>
      <c r="B737" s="56"/>
      <c r="K737" s="56"/>
      <c r="L737" s="56"/>
      <c r="O737" s="56"/>
    </row>
    <row r="738" spans="1:15" ht="13" x14ac:dyDescent="0.15">
      <c r="A738" s="56"/>
      <c r="B738" s="56"/>
      <c r="K738" s="56"/>
      <c r="L738" s="56"/>
      <c r="O738" s="56"/>
    </row>
    <row r="739" spans="1:15" ht="13" x14ac:dyDescent="0.15">
      <c r="A739" s="56"/>
      <c r="B739" s="56"/>
      <c r="K739" s="56"/>
      <c r="L739" s="56"/>
      <c r="O739" s="56"/>
    </row>
    <row r="740" spans="1:15" ht="13" x14ac:dyDescent="0.15">
      <c r="A740" s="56"/>
      <c r="B740" s="56"/>
      <c r="K740" s="56"/>
      <c r="L740" s="56"/>
      <c r="O740" s="56"/>
    </row>
    <row r="741" spans="1:15" ht="13" x14ac:dyDescent="0.15">
      <c r="A741" s="56"/>
      <c r="B741" s="56"/>
      <c r="K741" s="56"/>
      <c r="L741" s="56"/>
      <c r="O741" s="56"/>
    </row>
    <row r="742" spans="1:15" ht="13" x14ac:dyDescent="0.15">
      <c r="A742" s="56"/>
      <c r="B742" s="56"/>
      <c r="K742" s="56"/>
      <c r="L742" s="56"/>
      <c r="O742" s="56"/>
    </row>
    <row r="743" spans="1:15" ht="13" x14ac:dyDescent="0.15">
      <c r="A743" s="56"/>
      <c r="B743" s="56"/>
      <c r="K743" s="56"/>
      <c r="L743" s="56"/>
      <c r="O743" s="56"/>
    </row>
    <row r="744" spans="1:15" ht="13" x14ac:dyDescent="0.15">
      <c r="A744" s="56"/>
      <c r="B744" s="56"/>
      <c r="K744" s="56"/>
      <c r="L744" s="56"/>
      <c r="O744" s="56"/>
    </row>
    <row r="745" spans="1:15" ht="13" x14ac:dyDescent="0.15">
      <c r="A745" s="56"/>
      <c r="B745" s="56"/>
      <c r="K745" s="56"/>
      <c r="L745" s="56"/>
      <c r="O745" s="56"/>
    </row>
    <row r="746" spans="1:15" ht="13" x14ac:dyDescent="0.15">
      <c r="A746" s="56"/>
      <c r="B746" s="56"/>
      <c r="K746" s="56"/>
      <c r="L746" s="56"/>
      <c r="O746" s="56"/>
    </row>
    <row r="747" spans="1:15" ht="13" x14ac:dyDescent="0.15">
      <c r="A747" s="56"/>
      <c r="B747" s="56"/>
      <c r="K747" s="56"/>
      <c r="L747" s="56"/>
      <c r="O747" s="56"/>
    </row>
    <row r="748" spans="1:15" ht="13" x14ac:dyDescent="0.15">
      <c r="A748" s="56"/>
      <c r="B748" s="56"/>
      <c r="K748" s="56"/>
      <c r="L748" s="56"/>
      <c r="O748" s="56"/>
    </row>
    <row r="749" spans="1:15" ht="13" x14ac:dyDescent="0.15">
      <c r="A749" s="56"/>
      <c r="B749" s="56"/>
      <c r="K749" s="56"/>
      <c r="L749" s="56"/>
      <c r="O749" s="56"/>
    </row>
    <row r="750" spans="1:15" ht="13" x14ac:dyDescent="0.15">
      <c r="A750" s="56"/>
      <c r="B750" s="56"/>
      <c r="K750" s="56"/>
      <c r="L750" s="56"/>
      <c r="O750" s="56"/>
    </row>
    <row r="751" spans="1:15" ht="13" x14ac:dyDescent="0.15">
      <c r="A751" s="56"/>
      <c r="B751" s="56"/>
      <c r="K751" s="56"/>
      <c r="L751" s="56"/>
      <c r="O751" s="56"/>
    </row>
    <row r="752" spans="1:15" ht="13" x14ac:dyDescent="0.15">
      <c r="A752" s="56"/>
      <c r="B752" s="56"/>
      <c r="K752" s="56"/>
      <c r="L752" s="56"/>
      <c r="O752" s="56"/>
    </row>
    <row r="753" spans="1:15" ht="13" x14ac:dyDescent="0.15">
      <c r="A753" s="56"/>
      <c r="B753" s="56"/>
      <c r="K753" s="56"/>
      <c r="L753" s="56"/>
      <c r="O753" s="56"/>
    </row>
    <row r="754" spans="1:15" ht="13" x14ac:dyDescent="0.15">
      <c r="A754" s="56"/>
      <c r="B754" s="56"/>
      <c r="K754" s="56"/>
      <c r="L754" s="56"/>
      <c r="O754" s="56"/>
    </row>
    <row r="755" spans="1:15" ht="13" x14ac:dyDescent="0.15">
      <c r="A755" s="56"/>
      <c r="B755" s="56"/>
      <c r="K755" s="56"/>
      <c r="L755" s="56"/>
      <c r="O755" s="56"/>
    </row>
    <row r="756" spans="1:15" ht="13" x14ac:dyDescent="0.15">
      <c r="A756" s="56"/>
      <c r="B756" s="56"/>
      <c r="K756" s="56"/>
      <c r="L756" s="56"/>
      <c r="O756" s="56"/>
    </row>
    <row r="757" spans="1:15" ht="13" x14ac:dyDescent="0.15">
      <c r="A757" s="56"/>
      <c r="B757" s="56"/>
      <c r="K757" s="56"/>
      <c r="L757" s="56"/>
      <c r="O757" s="56"/>
    </row>
    <row r="758" spans="1:15" ht="13" x14ac:dyDescent="0.15">
      <c r="A758" s="56"/>
      <c r="B758" s="56"/>
      <c r="K758" s="56"/>
      <c r="L758" s="56"/>
      <c r="O758" s="56"/>
    </row>
    <row r="759" spans="1:15" ht="13" x14ac:dyDescent="0.15">
      <c r="A759" s="56"/>
      <c r="B759" s="56"/>
      <c r="K759" s="56"/>
      <c r="L759" s="56"/>
      <c r="O759" s="56"/>
    </row>
    <row r="760" spans="1:15" ht="13" x14ac:dyDescent="0.15">
      <c r="A760" s="56"/>
      <c r="B760" s="56"/>
      <c r="K760" s="56"/>
      <c r="L760" s="56"/>
      <c r="O760" s="56"/>
    </row>
    <row r="761" spans="1:15" ht="13" x14ac:dyDescent="0.15">
      <c r="A761" s="56"/>
      <c r="B761" s="56"/>
      <c r="K761" s="56"/>
      <c r="L761" s="56"/>
      <c r="O761" s="56"/>
    </row>
    <row r="762" spans="1:15" ht="13" x14ac:dyDescent="0.15">
      <c r="A762" s="56"/>
      <c r="B762" s="56"/>
      <c r="K762" s="56"/>
      <c r="L762" s="56"/>
      <c r="O762" s="56"/>
    </row>
    <row r="763" spans="1:15" ht="13" x14ac:dyDescent="0.15">
      <c r="A763" s="56"/>
      <c r="B763" s="56"/>
      <c r="K763" s="56"/>
      <c r="L763" s="56"/>
      <c r="O763" s="56"/>
    </row>
    <row r="764" spans="1:15" ht="13" x14ac:dyDescent="0.15">
      <c r="A764" s="56"/>
      <c r="B764" s="56"/>
      <c r="K764" s="56"/>
      <c r="L764" s="56"/>
      <c r="O764" s="56"/>
    </row>
    <row r="765" spans="1:15" ht="13" x14ac:dyDescent="0.15">
      <c r="A765" s="56"/>
      <c r="B765" s="56"/>
      <c r="K765" s="56"/>
      <c r="L765" s="56"/>
      <c r="O765" s="56"/>
    </row>
    <row r="766" spans="1:15" ht="13" x14ac:dyDescent="0.15">
      <c r="A766" s="56"/>
      <c r="B766" s="56"/>
      <c r="K766" s="56"/>
      <c r="L766" s="56"/>
      <c r="O766" s="56"/>
    </row>
    <row r="767" spans="1:15" ht="13" x14ac:dyDescent="0.15">
      <c r="A767" s="56"/>
      <c r="B767" s="56"/>
      <c r="K767" s="56"/>
      <c r="L767" s="56"/>
      <c r="O767" s="56"/>
    </row>
    <row r="768" spans="1:15" ht="13" x14ac:dyDescent="0.15">
      <c r="A768" s="56"/>
      <c r="B768" s="56"/>
      <c r="K768" s="56"/>
      <c r="L768" s="56"/>
      <c r="O768" s="56"/>
    </row>
    <row r="769" spans="1:15" ht="13" x14ac:dyDescent="0.15">
      <c r="A769" s="56"/>
      <c r="B769" s="56"/>
      <c r="K769" s="56"/>
      <c r="L769" s="56"/>
      <c r="O769" s="56"/>
    </row>
    <row r="770" spans="1:15" ht="13" x14ac:dyDescent="0.15">
      <c r="A770" s="56"/>
      <c r="B770" s="56"/>
      <c r="K770" s="56"/>
      <c r="L770" s="56"/>
      <c r="O770" s="56"/>
    </row>
    <row r="771" spans="1:15" ht="13" x14ac:dyDescent="0.15">
      <c r="A771" s="56"/>
      <c r="B771" s="56"/>
      <c r="K771" s="56"/>
      <c r="L771" s="56"/>
      <c r="O771" s="56"/>
    </row>
    <row r="772" spans="1:15" ht="13" x14ac:dyDescent="0.15">
      <c r="A772" s="56"/>
      <c r="B772" s="56"/>
      <c r="K772" s="56"/>
      <c r="L772" s="56"/>
      <c r="O772" s="56"/>
    </row>
    <row r="773" spans="1:15" ht="13" x14ac:dyDescent="0.15">
      <c r="A773" s="56"/>
      <c r="B773" s="56"/>
      <c r="K773" s="56"/>
      <c r="L773" s="56"/>
      <c r="O773" s="56"/>
    </row>
    <row r="774" spans="1:15" ht="13" x14ac:dyDescent="0.15">
      <c r="A774" s="56"/>
      <c r="B774" s="56"/>
      <c r="K774" s="56"/>
      <c r="L774" s="56"/>
      <c r="O774" s="56"/>
    </row>
    <row r="775" spans="1:15" ht="13" x14ac:dyDescent="0.15">
      <c r="A775" s="56"/>
      <c r="B775" s="56"/>
      <c r="K775" s="56"/>
      <c r="L775" s="56"/>
      <c r="O775" s="56"/>
    </row>
    <row r="776" spans="1:15" ht="13" x14ac:dyDescent="0.15">
      <c r="A776" s="56"/>
      <c r="B776" s="56"/>
      <c r="K776" s="56"/>
      <c r="L776" s="56"/>
      <c r="O776" s="56"/>
    </row>
    <row r="777" spans="1:15" ht="13" x14ac:dyDescent="0.15">
      <c r="A777" s="56"/>
      <c r="B777" s="56"/>
      <c r="K777" s="56"/>
      <c r="L777" s="56"/>
      <c r="O777" s="56"/>
    </row>
    <row r="778" spans="1:15" ht="13" x14ac:dyDescent="0.15">
      <c r="A778" s="56"/>
      <c r="B778" s="56"/>
      <c r="K778" s="56"/>
      <c r="L778" s="56"/>
      <c r="O778" s="56"/>
    </row>
    <row r="779" spans="1:15" ht="13" x14ac:dyDescent="0.15">
      <c r="A779" s="56"/>
      <c r="B779" s="56"/>
      <c r="K779" s="56"/>
      <c r="L779" s="56"/>
      <c r="O779" s="56"/>
    </row>
    <row r="780" spans="1:15" ht="13" x14ac:dyDescent="0.15">
      <c r="A780" s="56"/>
      <c r="B780" s="56"/>
      <c r="K780" s="56"/>
      <c r="L780" s="56"/>
      <c r="O780" s="56"/>
    </row>
    <row r="781" spans="1:15" ht="13" x14ac:dyDescent="0.15">
      <c r="A781" s="56"/>
      <c r="B781" s="56"/>
      <c r="K781" s="56"/>
      <c r="L781" s="56"/>
      <c r="O781" s="56"/>
    </row>
    <row r="782" spans="1:15" ht="13" x14ac:dyDescent="0.15">
      <c r="A782" s="56"/>
      <c r="B782" s="56"/>
      <c r="K782" s="56"/>
      <c r="L782" s="56"/>
      <c r="O782" s="56"/>
    </row>
    <row r="783" spans="1:15" ht="13" x14ac:dyDescent="0.15">
      <c r="A783" s="56"/>
      <c r="B783" s="56"/>
      <c r="K783" s="56"/>
      <c r="L783" s="56"/>
      <c r="O783" s="56"/>
    </row>
    <row r="784" spans="1:15" ht="13" x14ac:dyDescent="0.15">
      <c r="A784" s="56"/>
      <c r="B784" s="56"/>
      <c r="K784" s="56"/>
      <c r="L784" s="56"/>
      <c r="O784" s="56"/>
    </row>
    <row r="785" spans="1:15" ht="13" x14ac:dyDescent="0.15">
      <c r="A785" s="56"/>
      <c r="B785" s="56"/>
      <c r="K785" s="56"/>
      <c r="L785" s="56"/>
      <c r="O785" s="56"/>
    </row>
    <row r="786" spans="1:15" ht="13" x14ac:dyDescent="0.15">
      <c r="A786" s="56"/>
      <c r="B786" s="56"/>
      <c r="K786" s="56"/>
      <c r="L786" s="56"/>
      <c r="O786" s="56"/>
    </row>
    <row r="787" spans="1:15" ht="13" x14ac:dyDescent="0.15">
      <c r="A787" s="56"/>
      <c r="B787" s="56"/>
      <c r="K787" s="56"/>
      <c r="L787" s="56"/>
      <c r="O787" s="56"/>
    </row>
    <row r="788" spans="1:15" ht="13" x14ac:dyDescent="0.15">
      <c r="A788" s="56"/>
      <c r="B788" s="56"/>
      <c r="K788" s="56"/>
      <c r="L788" s="56"/>
      <c r="O788" s="56"/>
    </row>
    <row r="789" spans="1:15" ht="13" x14ac:dyDescent="0.15">
      <c r="A789" s="56"/>
      <c r="B789" s="56"/>
      <c r="K789" s="56"/>
      <c r="L789" s="56"/>
      <c r="O789" s="56"/>
    </row>
    <row r="790" spans="1:15" ht="13" x14ac:dyDescent="0.15">
      <c r="A790" s="56"/>
      <c r="B790" s="56"/>
      <c r="K790" s="56"/>
      <c r="L790" s="56"/>
      <c r="O790" s="56"/>
    </row>
    <row r="791" spans="1:15" ht="13" x14ac:dyDescent="0.15">
      <c r="A791" s="56"/>
      <c r="B791" s="56"/>
      <c r="K791" s="56"/>
      <c r="L791" s="56"/>
      <c r="O791" s="56"/>
    </row>
    <row r="792" spans="1:15" ht="13" x14ac:dyDescent="0.15">
      <c r="A792" s="56"/>
      <c r="B792" s="56"/>
      <c r="K792" s="56"/>
      <c r="L792" s="56"/>
      <c r="O792" s="56"/>
    </row>
    <row r="793" spans="1:15" ht="13" x14ac:dyDescent="0.15">
      <c r="A793" s="56"/>
      <c r="B793" s="56"/>
      <c r="K793" s="56"/>
      <c r="L793" s="56"/>
      <c r="O793" s="56"/>
    </row>
    <row r="794" spans="1:15" ht="13" x14ac:dyDescent="0.15">
      <c r="A794" s="56"/>
      <c r="B794" s="56"/>
      <c r="K794" s="56"/>
      <c r="L794" s="56"/>
      <c r="O794" s="56"/>
    </row>
    <row r="795" spans="1:15" ht="13" x14ac:dyDescent="0.15">
      <c r="A795" s="56"/>
      <c r="B795" s="56"/>
      <c r="K795" s="56"/>
      <c r="L795" s="56"/>
      <c r="O795" s="56"/>
    </row>
    <row r="796" spans="1:15" ht="13" x14ac:dyDescent="0.15">
      <c r="A796" s="56"/>
      <c r="B796" s="56"/>
      <c r="K796" s="56"/>
      <c r="L796" s="56"/>
      <c r="O796" s="56"/>
    </row>
    <row r="797" spans="1:15" ht="13" x14ac:dyDescent="0.15">
      <c r="A797" s="56"/>
      <c r="B797" s="56"/>
      <c r="K797" s="56"/>
      <c r="L797" s="56"/>
      <c r="O797" s="56"/>
    </row>
    <row r="798" spans="1:15" ht="13" x14ac:dyDescent="0.15">
      <c r="A798" s="56"/>
      <c r="B798" s="56"/>
      <c r="K798" s="56"/>
      <c r="L798" s="56"/>
      <c r="O798" s="56"/>
    </row>
    <row r="799" spans="1:15" ht="13" x14ac:dyDescent="0.15">
      <c r="A799" s="56"/>
      <c r="B799" s="56"/>
      <c r="K799" s="56"/>
      <c r="L799" s="56"/>
      <c r="O799" s="56"/>
    </row>
    <row r="800" spans="1:15" ht="13" x14ac:dyDescent="0.15">
      <c r="A800" s="56"/>
      <c r="B800" s="56"/>
      <c r="K800" s="56"/>
      <c r="L800" s="56"/>
      <c r="O800" s="56"/>
    </row>
    <row r="801" spans="1:15" ht="13" x14ac:dyDescent="0.15">
      <c r="A801" s="56"/>
      <c r="B801" s="56"/>
      <c r="K801" s="56"/>
      <c r="L801" s="56"/>
      <c r="O801" s="56"/>
    </row>
    <row r="802" spans="1:15" ht="13" x14ac:dyDescent="0.15">
      <c r="A802" s="56"/>
      <c r="B802" s="56"/>
      <c r="K802" s="56"/>
      <c r="L802" s="56"/>
      <c r="O802" s="56"/>
    </row>
    <row r="803" spans="1:15" ht="13" x14ac:dyDescent="0.15">
      <c r="A803" s="56"/>
      <c r="B803" s="56"/>
      <c r="K803" s="56"/>
      <c r="L803" s="56"/>
      <c r="O803" s="56"/>
    </row>
    <row r="804" spans="1:15" ht="13" x14ac:dyDescent="0.15">
      <c r="A804" s="56"/>
      <c r="B804" s="56"/>
      <c r="K804" s="56"/>
      <c r="L804" s="56"/>
      <c r="O804" s="56"/>
    </row>
    <row r="805" spans="1:15" ht="13" x14ac:dyDescent="0.15">
      <c r="A805" s="56"/>
      <c r="B805" s="56"/>
      <c r="K805" s="56"/>
      <c r="L805" s="56"/>
      <c r="O805" s="56"/>
    </row>
    <row r="806" spans="1:15" ht="13" x14ac:dyDescent="0.15">
      <c r="A806" s="56"/>
      <c r="B806" s="56"/>
      <c r="K806" s="56"/>
      <c r="L806" s="56"/>
      <c r="O806" s="56"/>
    </row>
    <row r="807" spans="1:15" ht="13" x14ac:dyDescent="0.15">
      <c r="A807" s="56"/>
      <c r="B807" s="56"/>
      <c r="K807" s="56"/>
      <c r="L807" s="56"/>
      <c r="O807" s="56"/>
    </row>
    <row r="808" spans="1:15" ht="13" x14ac:dyDescent="0.15">
      <c r="A808" s="56"/>
      <c r="B808" s="56"/>
      <c r="K808" s="56"/>
      <c r="L808" s="56"/>
      <c r="O808" s="56"/>
    </row>
    <row r="809" spans="1:15" ht="13" x14ac:dyDescent="0.15">
      <c r="A809" s="56"/>
      <c r="B809" s="56"/>
      <c r="K809" s="56"/>
      <c r="L809" s="56"/>
      <c r="O809" s="56"/>
    </row>
    <row r="810" spans="1:15" ht="13" x14ac:dyDescent="0.15">
      <c r="A810" s="56"/>
      <c r="B810" s="56"/>
      <c r="K810" s="56"/>
      <c r="L810" s="56"/>
      <c r="O810" s="56"/>
    </row>
    <row r="811" spans="1:15" ht="13" x14ac:dyDescent="0.15">
      <c r="A811" s="56"/>
      <c r="B811" s="56"/>
      <c r="K811" s="56"/>
      <c r="L811" s="56"/>
      <c r="O811" s="56"/>
    </row>
    <row r="812" spans="1:15" ht="13" x14ac:dyDescent="0.15">
      <c r="A812" s="56"/>
      <c r="B812" s="56"/>
      <c r="K812" s="56"/>
      <c r="L812" s="56"/>
      <c r="O812" s="56"/>
    </row>
    <row r="813" spans="1:15" ht="13" x14ac:dyDescent="0.15">
      <c r="A813" s="56"/>
      <c r="B813" s="56"/>
      <c r="K813" s="56"/>
      <c r="L813" s="56"/>
      <c r="O813" s="56"/>
    </row>
    <row r="814" spans="1:15" ht="13" x14ac:dyDescent="0.15">
      <c r="A814" s="56"/>
      <c r="B814" s="56"/>
      <c r="K814" s="56"/>
      <c r="L814" s="56"/>
      <c r="O814" s="56"/>
    </row>
    <row r="815" spans="1:15" ht="13" x14ac:dyDescent="0.15">
      <c r="A815" s="56"/>
      <c r="B815" s="56"/>
      <c r="K815" s="56"/>
      <c r="L815" s="56"/>
      <c r="O815" s="56"/>
    </row>
    <row r="816" spans="1:15" ht="13" x14ac:dyDescent="0.15">
      <c r="A816" s="56"/>
      <c r="B816" s="56"/>
      <c r="K816" s="56"/>
      <c r="L816" s="56"/>
      <c r="O816" s="56"/>
    </row>
    <row r="817" spans="1:15" ht="13" x14ac:dyDescent="0.15">
      <c r="A817" s="56"/>
      <c r="B817" s="56"/>
      <c r="K817" s="56"/>
      <c r="L817" s="56"/>
      <c r="O817" s="56"/>
    </row>
    <row r="818" spans="1:15" ht="13" x14ac:dyDescent="0.15">
      <c r="A818" s="56"/>
      <c r="B818" s="56"/>
      <c r="K818" s="56"/>
      <c r="L818" s="56"/>
      <c r="O818" s="56"/>
    </row>
    <row r="819" spans="1:15" ht="13" x14ac:dyDescent="0.15">
      <c r="A819" s="56"/>
      <c r="B819" s="56"/>
      <c r="K819" s="56"/>
      <c r="L819" s="56"/>
      <c r="O819" s="56"/>
    </row>
    <row r="820" spans="1:15" ht="13" x14ac:dyDescent="0.15">
      <c r="A820" s="56"/>
      <c r="B820" s="56"/>
      <c r="K820" s="56"/>
      <c r="L820" s="56"/>
      <c r="O820" s="56"/>
    </row>
    <row r="821" spans="1:15" ht="13" x14ac:dyDescent="0.15">
      <c r="A821" s="56"/>
      <c r="B821" s="56"/>
      <c r="K821" s="56"/>
      <c r="L821" s="56"/>
      <c r="O821" s="56"/>
    </row>
    <row r="822" spans="1:15" ht="13" x14ac:dyDescent="0.15">
      <c r="A822" s="56"/>
      <c r="B822" s="56"/>
      <c r="K822" s="56"/>
      <c r="L822" s="56"/>
      <c r="O822" s="56"/>
    </row>
    <row r="823" spans="1:15" ht="13" x14ac:dyDescent="0.15">
      <c r="A823" s="56"/>
      <c r="B823" s="56"/>
      <c r="K823" s="56"/>
      <c r="L823" s="56"/>
      <c r="O823" s="56"/>
    </row>
    <row r="824" spans="1:15" ht="13" x14ac:dyDescent="0.15">
      <c r="A824" s="56"/>
      <c r="B824" s="56"/>
      <c r="K824" s="56"/>
      <c r="L824" s="56"/>
      <c r="O824" s="56"/>
    </row>
    <row r="825" spans="1:15" ht="13" x14ac:dyDescent="0.15">
      <c r="A825" s="56"/>
      <c r="B825" s="56"/>
      <c r="K825" s="56"/>
      <c r="L825" s="56"/>
      <c r="O825" s="56"/>
    </row>
    <row r="826" spans="1:15" ht="13" x14ac:dyDescent="0.15">
      <c r="A826" s="56"/>
      <c r="B826" s="56"/>
      <c r="K826" s="56"/>
      <c r="L826" s="56"/>
      <c r="O826" s="56"/>
    </row>
    <row r="827" spans="1:15" ht="13" x14ac:dyDescent="0.15">
      <c r="A827" s="56"/>
      <c r="B827" s="56"/>
      <c r="K827" s="56"/>
      <c r="L827" s="56"/>
      <c r="O827" s="56"/>
    </row>
    <row r="828" spans="1:15" ht="13" x14ac:dyDescent="0.15">
      <c r="A828" s="56"/>
      <c r="B828" s="56"/>
      <c r="K828" s="56"/>
      <c r="L828" s="56"/>
      <c r="O828" s="56"/>
    </row>
    <row r="829" spans="1:15" ht="13" x14ac:dyDescent="0.15">
      <c r="A829" s="56"/>
      <c r="B829" s="56"/>
      <c r="K829" s="56"/>
      <c r="L829" s="56"/>
      <c r="O829" s="56"/>
    </row>
    <row r="830" spans="1:15" ht="13" x14ac:dyDescent="0.15">
      <c r="A830" s="56"/>
      <c r="B830" s="56"/>
      <c r="K830" s="56"/>
      <c r="L830" s="56"/>
      <c r="O830" s="56"/>
    </row>
    <row r="831" spans="1:15" ht="13" x14ac:dyDescent="0.15">
      <c r="A831" s="56"/>
      <c r="B831" s="56"/>
      <c r="K831" s="56"/>
      <c r="L831" s="56"/>
      <c r="O831" s="56"/>
    </row>
    <row r="832" spans="1:15" ht="13" x14ac:dyDescent="0.15">
      <c r="A832" s="56"/>
      <c r="B832" s="56"/>
      <c r="K832" s="56"/>
      <c r="L832" s="56"/>
      <c r="O832" s="56"/>
    </row>
    <row r="833" spans="1:15" ht="13" x14ac:dyDescent="0.15">
      <c r="A833" s="56"/>
      <c r="B833" s="56"/>
      <c r="K833" s="56"/>
      <c r="L833" s="56"/>
      <c r="O833" s="56"/>
    </row>
    <row r="834" spans="1:15" ht="13" x14ac:dyDescent="0.15">
      <c r="A834" s="56"/>
      <c r="B834" s="56"/>
      <c r="K834" s="56"/>
      <c r="L834" s="56"/>
      <c r="O834" s="56"/>
    </row>
    <row r="835" spans="1:15" ht="13" x14ac:dyDescent="0.15">
      <c r="A835" s="56"/>
      <c r="B835" s="56"/>
      <c r="K835" s="56"/>
      <c r="L835" s="56"/>
      <c r="O835" s="56"/>
    </row>
    <row r="836" spans="1:15" ht="13" x14ac:dyDescent="0.15">
      <c r="A836" s="56"/>
      <c r="B836" s="56"/>
      <c r="K836" s="56"/>
      <c r="L836" s="56"/>
      <c r="O836" s="56"/>
    </row>
    <row r="837" spans="1:15" ht="13" x14ac:dyDescent="0.15">
      <c r="A837" s="56"/>
      <c r="B837" s="56"/>
      <c r="K837" s="56"/>
      <c r="L837" s="56"/>
      <c r="O837" s="56"/>
    </row>
    <row r="838" spans="1:15" ht="13" x14ac:dyDescent="0.15">
      <c r="A838" s="56"/>
      <c r="B838" s="56"/>
      <c r="K838" s="56"/>
      <c r="L838" s="56"/>
      <c r="O838" s="56"/>
    </row>
    <row r="839" spans="1:15" ht="13" x14ac:dyDescent="0.15">
      <c r="A839" s="56"/>
      <c r="B839" s="56"/>
      <c r="K839" s="56"/>
      <c r="L839" s="56"/>
      <c r="O839" s="56"/>
    </row>
    <row r="840" spans="1:15" ht="13" x14ac:dyDescent="0.15">
      <c r="A840" s="56"/>
      <c r="B840" s="56"/>
      <c r="K840" s="56"/>
      <c r="L840" s="56"/>
      <c r="O840" s="56"/>
    </row>
    <row r="841" spans="1:15" ht="13" x14ac:dyDescent="0.15">
      <c r="A841" s="56"/>
      <c r="B841" s="56"/>
      <c r="K841" s="56"/>
      <c r="L841" s="56"/>
      <c r="O841" s="56"/>
    </row>
    <row r="842" spans="1:15" ht="13" x14ac:dyDescent="0.15">
      <c r="A842" s="56"/>
      <c r="B842" s="56"/>
      <c r="K842" s="56"/>
      <c r="L842" s="56"/>
      <c r="O842" s="56"/>
    </row>
    <row r="843" spans="1:15" ht="13" x14ac:dyDescent="0.15">
      <c r="A843" s="56"/>
      <c r="B843" s="56"/>
      <c r="K843" s="56"/>
      <c r="L843" s="56"/>
      <c r="O843" s="56"/>
    </row>
    <row r="844" spans="1:15" ht="13" x14ac:dyDescent="0.15">
      <c r="A844" s="56"/>
      <c r="B844" s="56"/>
      <c r="K844" s="56"/>
      <c r="L844" s="56"/>
      <c r="O844" s="56"/>
    </row>
    <row r="845" spans="1:15" ht="13" x14ac:dyDescent="0.15">
      <c r="A845" s="56"/>
      <c r="B845" s="56"/>
      <c r="K845" s="56"/>
      <c r="L845" s="56"/>
      <c r="O845" s="56"/>
    </row>
    <row r="846" spans="1:15" ht="13" x14ac:dyDescent="0.15">
      <c r="A846" s="56"/>
      <c r="B846" s="56"/>
      <c r="K846" s="56"/>
      <c r="L846" s="56"/>
      <c r="O846" s="56"/>
    </row>
    <row r="847" spans="1:15" ht="13" x14ac:dyDescent="0.15">
      <c r="A847" s="56"/>
      <c r="B847" s="56"/>
      <c r="K847" s="56"/>
      <c r="L847" s="56"/>
      <c r="O847" s="56"/>
    </row>
    <row r="848" spans="1:15" ht="13" x14ac:dyDescent="0.15">
      <c r="A848" s="56"/>
      <c r="B848" s="56"/>
      <c r="K848" s="56"/>
      <c r="L848" s="56"/>
      <c r="O848" s="56"/>
    </row>
    <row r="849" spans="1:15" ht="13" x14ac:dyDescent="0.15">
      <c r="A849" s="56"/>
      <c r="B849" s="56"/>
      <c r="K849" s="56"/>
      <c r="L849" s="56"/>
      <c r="O849" s="56"/>
    </row>
    <row r="850" spans="1:15" ht="13" x14ac:dyDescent="0.15">
      <c r="A850" s="56"/>
      <c r="B850" s="56"/>
      <c r="K850" s="56"/>
      <c r="L850" s="56"/>
      <c r="O850" s="56"/>
    </row>
    <row r="851" spans="1:15" ht="13" x14ac:dyDescent="0.15">
      <c r="A851" s="56"/>
      <c r="B851" s="56"/>
      <c r="K851" s="56"/>
      <c r="L851" s="56"/>
      <c r="O851" s="56"/>
    </row>
    <row r="852" spans="1:15" ht="13" x14ac:dyDescent="0.15">
      <c r="A852" s="56"/>
      <c r="B852" s="56"/>
      <c r="K852" s="56"/>
      <c r="L852" s="56"/>
      <c r="O852" s="56"/>
    </row>
    <row r="853" spans="1:15" ht="13" x14ac:dyDescent="0.15">
      <c r="A853" s="56"/>
      <c r="B853" s="56"/>
      <c r="K853" s="56"/>
      <c r="L853" s="56"/>
      <c r="O853" s="56"/>
    </row>
    <row r="854" spans="1:15" ht="13" x14ac:dyDescent="0.15">
      <c r="A854" s="56"/>
      <c r="B854" s="56"/>
      <c r="K854" s="56"/>
      <c r="L854" s="56"/>
      <c r="O854" s="56"/>
    </row>
    <row r="855" spans="1:15" ht="13" x14ac:dyDescent="0.15">
      <c r="A855" s="56"/>
      <c r="B855" s="56"/>
      <c r="K855" s="56"/>
      <c r="L855" s="56"/>
      <c r="O855" s="56"/>
    </row>
    <row r="856" spans="1:15" ht="13" x14ac:dyDescent="0.15">
      <c r="A856" s="56"/>
      <c r="B856" s="56"/>
      <c r="K856" s="56"/>
      <c r="L856" s="56"/>
      <c r="O856" s="56"/>
    </row>
    <row r="857" spans="1:15" ht="13" x14ac:dyDescent="0.15">
      <c r="A857" s="56"/>
      <c r="B857" s="56"/>
      <c r="K857" s="56"/>
      <c r="L857" s="56"/>
      <c r="O857" s="56"/>
    </row>
    <row r="858" spans="1:15" ht="13" x14ac:dyDescent="0.15">
      <c r="A858" s="56"/>
      <c r="B858" s="56"/>
      <c r="K858" s="56"/>
      <c r="L858" s="56"/>
      <c r="O858" s="56"/>
    </row>
    <row r="859" spans="1:15" ht="13" x14ac:dyDescent="0.15">
      <c r="A859" s="56"/>
      <c r="B859" s="56"/>
      <c r="K859" s="56"/>
      <c r="L859" s="56"/>
      <c r="O859" s="56"/>
    </row>
    <row r="860" spans="1:15" ht="13" x14ac:dyDescent="0.15">
      <c r="A860" s="56"/>
      <c r="B860" s="56"/>
      <c r="K860" s="56"/>
      <c r="L860" s="56"/>
      <c r="O860" s="56"/>
    </row>
    <row r="861" spans="1:15" ht="13" x14ac:dyDescent="0.15">
      <c r="A861" s="56"/>
      <c r="B861" s="56"/>
      <c r="K861" s="56"/>
      <c r="L861" s="56"/>
      <c r="O861" s="56"/>
    </row>
    <row r="862" spans="1:15" ht="13" x14ac:dyDescent="0.15">
      <c r="A862" s="56"/>
      <c r="B862" s="56"/>
      <c r="K862" s="56"/>
      <c r="L862" s="56"/>
      <c r="O862" s="56"/>
    </row>
    <row r="863" spans="1:15" ht="13" x14ac:dyDescent="0.15">
      <c r="A863" s="56"/>
      <c r="B863" s="56"/>
      <c r="K863" s="56"/>
      <c r="L863" s="56"/>
      <c r="O863" s="56"/>
    </row>
    <row r="864" spans="1:15" ht="13" x14ac:dyDescent="0.15">
      <c r="A864" s="56"/>
      <c r="B864" s="56"/>
      <c r="K864" s="56"/>
      <c r="L864" s="56"/>
      <c r="O864" s="56"/>
    </row>
    <row r="865" spans="1:15" ht="13" x14ac:dyDescent="0.15">
      <c r="A865" s="56"/>
      <c r="B865" s="56"/>
      <c r="K865" s="56"/>
      <c r="L865" s="56"/>
      <c r="O865" s="56"/>
    </row>
    <row r="866" spans="1:15" ht="13" x14ac:dyDescent="0.15">
      <c r="A866" s="56"/>
      <c r="B866" s="56"/>
      <c r="K866" s="56"/>
      <c r="L866" s="56"/>
      <c r="O866" s="56"/>
    </row>
    <row r="867" spans="1:15" ht="13" x14ac:dyDescent="0.15">
      <c r="A867" s="56"/>
      <c r="B867" s="56"/>
      <c r="K867" s="56"/>
      <c r="L867" s="56"/>
      <c r="O867" s="56"/>
    </row>
    <row r="868" spans="1:15" ht="13" x14ac:dyDescent="0.15">
      <c r="A868" s="56"/>
      <c r="B868" s="56"/>
      <c r="K868" s="56"/>
      <c r="L868" s="56"/>
      <c r="O868" s="56"/>
    </row>
    <row r="869" spans="1:15" ht="13" x14ac:dyDescent="0.15">
      <c r="A869" s="56"/>
      <c r="B869" s="56"/>
      <c r="K869" s="56"/>
      <c r="L869" s="56"/>
      <c r="O869" s="56"/>
    </row>
    <row r="870" spans="1:15" ht="13" x14ac:dyDescent="0.15">
      <c r="A870" s="56"/>
      <c r="B870" s="56"/>
      <c r="K870" s="56"/>
      <c r="L870" s="56"/>
      <c r="O870" s="56"/>
    </row>
    <row r="871" spans="1:15" ht="13" x14ac:dyDescent="0.15">
      <c r="A871" s="56"/>
      <c r="B871" s="56"/>
      <c r="K871" s="56"/>
      <c r="L871" s="56"/>
      <c r="O871" s="56"/>
    </row>
    <row r="872" spans="1:15" ht="13" x14ac:dyDescent="0.15">
      <c r="A872" s="56"/>
      <c r="B872" s="56"/>
      <c r="K872" s="56"/>
      <c r="L872" s="56"/>
      <c r="O872" s="56"/>
    </row>
    <row r="873" spans="1:15" ht="13" x14ac:dyDescent="0.15">
      <c r="A873" s="56"/>
      <c r="B873" s="56"/>
      <c r="K873" s="56"/>
      <c r="L873" s="56"/>
      <c r="O873" s="56"/>
    </row>
    <row r="874" spans="1:15" ht="13" x14ac:dyDescent="0.15">
      <c r="A874" s="56"/>
      <c r="B874" s="56"/>
      <c r="K874" s="56"/>
      <c r="L874" s="56"/>
      <c r="O874" s="56"/>
    </row>
    <row r="875" spans="1:15" ht="13" x14ac:dyDescent="0.15">
      <c r="A875" s="56"/>
      <c r="B875" s="56"/>
      <c r="K875" s="56"/>
      <c r="L875" s="56"/>
      <c r="O875" s="56"/>
    </row>
    <row r="876" spans="1:15" ht="13" x14ac:dyDescent="0.15">
      <c r="A876" s="56"/>
      <c r="B876" s="56"/>
      <c r="K876" s="56"/>
      <c r="L876" s="56"/>
      <c r="O876" s="56"/>
    </row>
    <row r="877" spans="1:15" ht="13" x14ac:dyDescent="0.15">
      <c r="A877" s="56"/>
      <c r="B877" s="56"/>
      <c r="K877" s="56"/>
      <c r="L877" s="56"/>
      <c r="O877" s="56"/>
    </row>
    <row r="878" spans="1:15" ht="13" x14ac:dyDescent="0.15">
      <c r="A878" s="56"/>
      <c r="B878" s="56"/>
      <c r="K878" s="56"/>
      <c r="L878" s="56"/>
      <c r="O878" s="56"/>
    </row>
    <row r="879" spans="1:15" ht="13" x14ac:dyDescent="0.15">
      <c r="A879" s="56"/>
      <c r="B879" s="56"/>
      <c r="K879" s="56"/>
      <c r="L879" s="56"/>
      <c r="O879" s="56"/>
    </row>
    <row r="880" spans="1:15" ht="13" x14ac:dyDescent="0.15">
      <c r="A880" s="56"/>
      <c r="B880" s="56"/>
      <c r="K880" s="56"/>
      <c r="L880" s="56"/>
      <c r="O880" s="56"/>
    </row>
    <row r="881" spans="1:15" ht="13" x14ac:dyDescent="0.15">
      <c r="A881" s="56"/>
      <c r="B881" s="56"/>
      <c r="K881" s="56"/>
      <c r="L881" s="56"/>
      <c r="O881" s="56"/>
    </row>
    <row r="882" spans="1:15" ht="13" x14ac:dyDescent="0.15">
      <c r="A882" s="56"/>
      <c r="B882" s="56"/>
      <c r="K882" s="56"/>
      <c r="L882" s="56"/>
      <c r="O882" s="56"/>
    </row>
    <row r="883" spans="1:15" ht="13" x14ac:dyDescent="0.15">
      <c r="A883" s="56"/>
      <c r="B883" s="56"/>
      <c r="K883" s="56"/>
      <c r="L883" s="56"/>
      <c r="O883" s="56"/>
    </row>
    <row r="884" spans="1:15" ht="13" x14ac:dyDescent="0.15">
      <c r="A884" s="56"/>
      <c r="B884" s="56"/>
      <c r="K884" s="56"/>
      <c r="L884" s="56"/>
      <c r="O884" s="56"/>
    </row>
    <row r="885" spans="1:15" ht="13" x14ac:dyDescent="0.15">
      <c r="A885" s="56"/>
      <c r="B885" s="56"/>
      <c r="K885" s="56"/>
      <c r="L885" s="56"/>
      <c r="O885" s="56"/>
    </row>
    <row r="886" spans="1:15" ht="13" x14ac:dyDescent="0.15">
      <c r="A886" s="56"/>
      <c r="B886" s="56"/>
      <c r="K886" s="56"/>
      <c r="L886" s="56"/>
      <c r="O886" s="56"/>
    </row>
    <row r="887" spans="1:15" ht="13" x14ac:dyDescent="0.15">
      <c r="A887" s="56"/>
      <c r="B887" s="56"/>
      <c r="K887" s="56"/>
      <c r="L887" s="56"/>
      <c r="O887" s="56"/>
    </row>
    <row r="888" spans="1:15" ht="13" x14ac:dyDescent="0.15">
      <c r="A888" s="56"/>
      <c r="B888" s="56"/>
      <c r="K888" s="56"/>
      <c r="L888" s="56"/>
      <c r="O888" s="56"/>
    </row>
    <row r="889" spans="1:15" ht="13" x14ac:dyDescent="0.15">
      <c r="A889" s="56"/>
      <c r="B889" s="56"/>
      <c r="K889" s="56"/>
      <c r="L889" s="56"/>
      <c r="O889" s="56"/>
    </row>
    <row r="890" spans="1:15" ht="13" x14ac:dyDescent="0.15">
      <c r="A890" s="56"/>
      <c r="B890" s="56"/>
      <c r="K890" s="56"/>
      <c r="L890" s="56"/>
      <c r="O890" s="56"/>
    </row>
    <row r="891" spans="1:15" ht="13" x14ac:dyDescent="0.15">
      <c r="A891" s="56"/>
      <c r="B891" s="56"/>
      <c r="K891" s="56"/>
      <c r="L891" s="56"/>
      <c r="O891" s="56"/>
    </row>
    <row r="892" spans="1:15" ht="13" x14ac:dyDescent="0.15">
      <c r="A892" s="56"/>
      <c r="B892" s="56"/>
      <c r="K892" s="56"/>
      <c r="L892" s="56"/>
      <c r="O892" s="56"/>
    </row>
    <row r="893" spans="1:15" ht="13" x14ac:dyDescent="0.15">
      <c r="A893" s="56"/>
      <c r="B893" s="56"/>
      <c r="K893" s="56"/>
      <c r="L893" s="56"/>
      <c r="O893" s="56"/>
    </row>
    <row r="894" spans="1:15" ht="13" x14ac:dyDescent="0.15">
      <c r="A894" s="56"/>
      <c r="B894" s="56"/>
      <c r="K894" s="56"/>
      <c r="L894" s="56"/>
      <c r="O894" s="56"/>
    </row>
    <row r="895" spans="1:15" ht="13" x14ac:dyDescent="0.15">
      <c r="A895" s="56"/>
      <c r="B895" s="56"/>
      <c r="K895" s="56"/>
      <c r="L895" s="56"/>
      <c r="O895" s="56"/>
    </row>
    <row r="896" spans="1:15" ht="13" x14ac:dyDescent="0.15">
      <c r="A896" s="56"/>
      <c r="B896" s="56"/>
      <c r="K896" s="56"/>
      <c r="L896" s="56"/>
      <c r="O896" s="56"/>
    </row>
    <row r="897" spans="1:15" ht="13" x14ac:dyDescent="0.15">
      <c r="A897" s="56"/>
      <c r="B897" s="56"/>
      <c r="K897" s="56"/>
      <c r="L897" s="56"/>
      <c r="O897" s="56"/>
    </row>
    <row r="898" spans="1:15" ht="13" x14ac:dyDescent="0.15">
      <c r="A898" s="56"/>
      <c r="B898" s="56"/>
      <c r="K898" s="56"/>
      <c r="L898" s="56"/>
      <c r="O898" s="56"/>
    </row>
    <row r="899" spans="1:15" ht="13" x14ac:dyDescent="0.15">
      <c r="A899" s="56"/>
      <c r="B899" s="56"/>
      <c r="K899" s="56"/>
      <c r="L899" s="56"/>
      <c r="O899" s="56"/>
    </row>
    <row r="900" spans="1:15" ht="13" x14ac:dyDescent="0.15">
      <c r="A900" s="56"/>
      <c r="B900" s="56"/>
      <c r="K900" s="56"/>
      <c r="L900" s="56"/>
      <c r="O900" s="56"/>
    </row>
    <row r="901" spans="1:15" ht="13" x14ac:dyDescent="0.15">
      <c r="A901" s="56"/>
      <c r="B901" s="56"/>
      <c r="K901" s="56"/>
      <c r="L901" s="56"/>
      <c r="O901" s="56"/>
    </row>
    <row r="902" spans="1:15" ht="13" x14ac:dyDescent="0.15">
      <c r="A902" s="56"/>
      <c r="B902" s="56"/>
      <c r="K902" s="56"/>
      <c r="L902" s="56"/>
      <c r="O902" s="56"/>
    </row>
    <row r="903" spans="1:15" ht="13" x14ac:dyDescent="0.15">
      <c r="A903" s="56"/>
      <c r="B903" s="56"/>
      <c r="K903" s="56"/>
      <c r="L903" s="56"/>
      <c r="O903" s="56"/>
    </row>
    <row r="904" spans="1:15" ht="13" x14ac:dyDescent="0.15">
      <c r="A904" s="56"/>
      <c r="B904" s="56"/>
      <c r="K904" s="56"/>
      <c r="L904" s="56"/>
      <c r="O904" s="56"/>
    </row>
    <row r="905" spans="1:15" ht="13" x14ac:dyDescent="0.15">
      <c r="A905" s="56"/>
      <c r="B905" s="56"/>
      <c r="K905" s="56"/>
      <c r="L905" s="56"/>
      <c r="O905" s="56"/>
    </row>
    <row r="906" spans="1:15" ht="13" x14ac:dyDescent="0.15">
      <c r="A906" s="56"/>
      <c r="B906" s="56"/>
      <c r="K906" s="56"/>
      <c r="L906" s="56"/>
      <c r="O906" s="56"/>
    </row>
    <row r="907" spans="1:15" ht="13" x14ac:dyDescent="0.15">
      <c r="A907" s="56"/>
      <c r="B907" s="56"/>
      <c r="K907" s="56"/>
      <c r="L907" s="56"/>
      <c r="O907" s="56"/>
    </row>
    <row r="908" spans="1:15" ht="13" x14ac:dyDescent="0.15">
      <c r="A908" s="56"/>
      <c r="B908" s="56"/>
      <c r="K908" s="56"/>
      <c r="L908" s="56"/>
      <c r="O908" s="56"/>
    </row>
    <row r="909" spans="1:15" ht="13" x14ac:dyDescent="0.15">
      <c r="A909" s="56"/>
      <c r="B909" s="56"/>
      <c r="K909" s="56"/>
      <c r="L909" s="56"/>
      <c r="O909" s="56"/>
    </row>
    <row r="910" spans="1:15" ht="13" x14ac:dyDescent="0.15">
      <c r="A910" s="56"/>
      <c r="B910" s="56"/>
      <c r="K910" s="56"/>
      <c r="L910" s="56"/>
      <c r="O910" s="56"/>
    </row>
    <row r="911" spans="1:15" ht="13" x14ac:dyDescent="0.15">
      <c r="A911" s="56"/>
      <c r="B911" s="56"/>
      <c r="K911" s="56"/>
      <c r="L911" s="56"/>
      <c r="O911" s="56"/>
    </row>
    <row r="912" spans="1:15" ht="13" x14ac:dyDescent="0.15">
      <c r="A912" s="56"/>
      <c r="B912" s="56"/>
      <c r="K912" s="56"/>
      <c r="L912" s="56"/>
      <c r="O912" s="56"/>
    </row>
    <row r="913" spans="1:15" ht="13" x14ac:dyDescent="0.15">
      <c r="A913" s="56"/>
      <c r="B913" s="56"/>
      <c r="K913" s="56"/>
      <c r="L913" s="56"/>
      <c r="O913" s="56"/>
    </row>
    <row r="914" spans="1:15" ht="13" x14ac:dyDescent="0.15">
      <c r="A914" s="56"/>
      <c r="B914" s="56"/>
      <c r="K914" s="56"/>
      <c r="L914" s="56"/>
      <c r="O914" s="56"/>
    </row>
    <row r="915" spans="1:15" ht="13" x14ac:dyDescent="0.15">
      <c r="A915" s="56"/>
      <c r="B915" s="56"/>
      <c r="K915" s="56"/>
      <c r="L915" s="56"/>
      <c r="O915" s="56"/>
    </row>
    <row r="916" spans="1:15" ht="13" x14ac:dyDescent="0.15">
      <c r="A916" s="56"/>
      <c r="B916" s="56"/>
      <c r="K916" s="56"/>
      <c r="L916" s="56"/>
      <c r="O916" s="56"/>
    </row>
    <row r="917" spans="1:15" ht="13" x14ac:dyDescent="0.15">
      <c r="A917" s="56"/>
      <c r="B917" s="56"/>
      <c r="K917" s="56"/>
      <c r="L917" s="56"/>
      <c r="O917" s="56"/>
    </row>
    <row r="918" spans="1:15" ht="13" x14ac:dyDescent="0.15">
      <c r="A918" s="56"/>
      <c r="B918" s="56"/>
      <c r="K918" s="56"/>
      <c r="L918" s="56"/>
      <c r="O918" s="56"/>
    </row>
    <row r="919" spans="1:15" ht="13" x14ac:dyDescent="0.15">
      <c r="A919" s="56"/>
      <c r="B919" s="56"/>
      <c r="K919" s="56"/>
      <c r="L919" s="56"/>
      <c r="O919" s="56"/>
    </row>
    <row r="920" spans="1:15" ht="13" x14ac:dyDescent="0.15">
      <c r="A920" s="56"/>
      <c r="B920" s="56"/>
      <c r="K920" s="56"/>
      <c r="L920" s="56"/>
      <c r="O920" s="56"/>
    </row>
    <row r="921" spans="1:15" ht="13" x14ac:dyDescent="0.15">
      <c r="A921" s="56"/>
      <c r="B921" s="56"/>
      <c r="K921" s="56"/>
      <c r="L921" s="56"/>
      <c r="O921" s="56"/>
    </row>
    <row r="922" spans="1:15" ht="13" x14ac:dyDescent="0.15">
      <c r="A922" s="56"/>
      <c r="B922" s="56"/>
      <c r="K922" s="56"/>
      <c r="L922" s="56"/>
      <c r="O922" s="56"/>
    </row>
    <row r="923" spans="1:15" ht="13" x14ac:dyDescent="0.15">
      <c r="A923" s="56"/>
      <c r="B923" s="56"/>
      <c r="K923" s="56"/>
      <c r="L923" s="56"/>
      <c r="O923" s="56"/>
    </row>
    <row r="924" spans="1:15" ht="13" x14ac:dyDescent="0.15">
      <c r="A924" s="56"/>
      <c r="B924" s="56"/>
      <c r="K924" s="56"/>
      <c r="L924" s="56"/>
      <c r="O924" s="56"/>
    </row>
    <row r="925" spans="1:15" ht="13" x14ac:dyDescent="0.15">
      <c r="A925" s="56"/>
      <c r="B925" s="56"/>
      <c r="K925" s="56"/>
      <c r="L925" s="56"/>
      <c r="O925" s="56"/>
    </row>
    <row r="926" spans="1:15" ht="13" x14ac:dyDescent="0.15">
      <c r="A926" s="56"/>
      <c r="B926" s="56"/>
      <c r="K926" s="56"/>
      <c r="L926" s="56"/>
      <c r="O926" s="56"/>
    </row>
    <row r="927" spans="1:15" ht="13" x14ac:dyDescent="0.15">
      <c r="A927" s="56"/>
      <c r="B927" s="56"/>
      <c r="K927" s="56"/>
      <c r="L927" s="56"/>
      <c r="O927" s="56"/>
    </row>
    <row r="928" spans="1:15" ht="13" x14ac:dyDescent="0.15">
      <c r="A928" s="56"/>
      <c r="B928" s="56"/>
      <c r="K928" s="56"/>
      <c r="L928" s="56"/>
      <c r="O928" s="56"/>
    </row>
    <row r="929" spans="1:15" ht="13" x14ac:dyDescent="0.15">
      <c r="A929" s="56"/>
      <c r="B929" s="56"/>
      <c r="K929" s="56"/>
      <c r="L929" s="56"/>
      <c r="O929" s="56"/>
    </row>
    <row r="930" spans="1:15" ht="13" x14ac:dyDescent="0.15">
      <c r="A930" s="56"/>
      <c r="B930" s="56"/>
      <c r="K930" s="56"/>
      <c r="L930" s="56"/>
      <c r="O930" s="56"/>
    </row>
    <row r="931" spans="1:15" ht="13" x14ac:dyDescent="0.15">
      <c r="A931" s="56"/>
      <c r="B931" s="56"/>
      <c r="K931" s="56"/>
      <c r="L931" s="56"/>
      <c r="O931" s="56"/>
    </row>
    <row r="932" spans="1:15" ht="13" x14ac:dyDescent="0.15">
      <c r="A932" s="56"/>
      <c r="B932" s="56"/>
      <c r="K932" s="56"/>
      <c r="L932" s="56"/>
      <c r="O932" s="56"/>
    </row>
    <row r="933" spans="1:15" ht="13" x14ac:dyDescent="0.15">
      <c r="A933" s="56"/>
      <c r="B933" s="56"/>
      <c r="K933" s="56"/>
      <c r="L933" s="56"/>
      <c r="O933" s="56"/>
    </row>
    <row r="934" spans="1:15" ht="13" x14ac:dyDescent="0.15">
      <c r="A934" s="56"/>
      <c r="B934" s="56"/>
      <c r="K934" s="56"/>
      <c r="L934" s="56"/>
      <c r="O934" s="56"/>
    </row>
    <row r="935" spans="1:15" ht="13" x14ac:dyDescent="0.15">
      <c r="A935" s="56"/>
      <c r="B935" s="56"/>
      <c r="K935" s="56"/>
      <c r="L935" s="56"/>
      <c r="O935" s="56"/>
    </row>
    <row r="936" spans="1:15" ht="13" x14ac:dyDescent="0.15">
      <c r="A936" s="56"/>
      <c r="B936" s="56"/>
      <c r="K936" s="56"/>
      <c r="L936" s="56"/>
      <c r="O936" s="56"/>
    </row>
    <row r="937" spans="1:15" ht="13" x14ac:dyDescent="0.15">
      <c r="A937" s="56"/>
      <c r="B937" s="56"/>
      <c r="K937" s="56"/>
      <c r="L937" s="56"/>
      <c r="O937" s="56"/>
    </row>
    <row r="938" spans="1:15" ht="13" x14ac:dyDescent="0.15">
      <c r="A938" s="56"/>
      <c r="B938" s="56"/>
      <c r="K938" s="56"/>
      <c r="L938" s="56"/>
      <c r="O938" s="56"/>
    </row>
    <row r="939" spans="1:15" ht="13" x14ac:dyDescent="0.15">
      <c r="A939" s="56"/>
      <c r="B939" s="56"/>
      <c r="K939" s="56"/>
      <c r="L939" s="56"/>
      <c r="O939" s="56"/>
    </row>
    <row r="940" spans="1:15" ht="13" x14ac:dyDescent="0.15">
      <c r="A940" s="56"/>
      <c r="B940" s="56"/>
      <c r="K940" s="56"/>
      <c r="L940" s="56"/>
      <c r="O940" s="56"/>
    </row>
    <row r="941" spans="1:15" ht="13" x14ac:dyDescent="0.15">
      <c r="A941" s="56"/>
      <c r="B941" s="56"/>
      <c r="K941" s="56"/>
      <c r="L941" s="56"/>
      <c r="O941" s="56"/>
    </row>
    <row r="942" spans="1:15" ht="13" x14ac:dyDescent="0.15">
      <c r="A942" s="56"/>
      <c r="B942" s="56"/>
      <c r="K942" s="56"/>
      <c r="L942" s="56"/>
      <c r="O942" s="56"/>
    </row>
    <row r="943" spans="1:15" ht="13" x14ac:dyDescent="0.15">
      <c r="A943" s="56"/>
      <c r="B943" s="56"/>
      <c r="K943" s="56"/>
      <c r="L943" s="56"/>
      <c r="O943" s="56"/>
    </row>
    <row r="944" spans="1:15" ht="13" x14ac:dyDescent="0.15">
      <c r="A944" s="56"/>
      <c r="B944" s="56"/>
      <c r="K944" s="56"/>
      <c r="L944" s="56"/>
      <c r="O944" s="56"/>
    </row>
    <row r="945" spans="1:15" ht="13" x14ac:dyDescent="0.15">
      <c r="A945" s="56"/>
      <c r="B945" s="56"/>
      <c r="K945" s="56"/>
      <c r="L945" s="56"/>
      <c r="O945" s="56"/>
    </row>
    <row r="946" spans="1:15" ht="13" x14ac:dyDescent="0.15">
      <c r="A946" s="56"/>
      <c r="B946" s="56"/>
      <c r="K946" s="56"/>
      <c r="L946" s="56"/>
      <c r="O946" s="56"/>
    </row>
    <row r="947" spans="1:15" ht="13" x14ac:dyDescent="0.15">
      <c r="A947" s="56"/>
      <c r="B947" s="56"/>
      <c r="K947" s="56"/>
      <c r="L947" s="56"/>
      <c r="O947" s="56"/>
    </row>
    <row r="948" spans="1:15" ht="13" x14ac:dyDescent="0.15">
      <c r="A948" s="56"/>
      <c r="B948" s="56"/>
      <c r="K948" s="56"/>
      <c r="L948" s="56"/>
      <c r="O948" s="56"/>
    </row>
    <row r="949" spans="1:15" ht="13" x14ac:dyDescent="0.15">
      <c r="A949" s="56"/>
      <c r="B949" s="56"/>
      <c r="K949" s="56"/>
      <c r="L949" s="56"/>
      <c r="O949" s="56"/>
    </row>
    <row r="950" spans="1:15" ht="13" x14ac:dyDescent="0.15">
      <c r="A950" s="56"/>
      <c r="B950" s="56"/>
      <c r="K950" s="56"/>
      <c r="L950" s="56"/>
      <c r="O950" s="56"/>
    </row>
    <row r="951" spans="1:15" ht="13" x14ac:dyDescent="0.15">
      <c r="A951" s="56"/>
      <c r="B951" s="56"/>
      <c r="K951" s="56"/>
      <c r="L951" s="56"/>
      <c r="O951" s="56"/>
    </row>
    <row r="952" spans="1:15" ht="13" x14ac:dyDescent="0.15">
      <c r="A952" s="56"/>
      <c r="B952" s="56"/>
      <c r="K952" s="56"/>
      <c r="L952" s="56"/>
      <c r="O952" s="56"/>
    </row>
    <row r="953" spans="1:15" ht="13" x14ac:dyDescent="0.15">
      <c r="A953" s="56"/>
      <c r="B953" s="56"/>
      <c r="K953" s="56"/>
      <c r="L953" s="56"/>
      <c r="O953" s="56"/>
    </row>
    <row r="954" spans="1:15" ht="13" x14ac:dyDescent="0.15">
      <c r="A954" s="56"/>
      <c r="B954" s="56"/>
      <c r="K954" s="56"/>
      <c r="L954" s="56"/>
      <c r="O954" s="56"/>
    </row>
    <row r="955" spans="1:15" ht="13" x14ac:dyDescent="0.15">
      <c r="A955" s="56"/>
      <c r="B955" s="56"/>
      <c r="K955" s="56"/>
      <c r="L955" s="56"/>
      <c r="O955" s="56"/>
    </row>
    <row r="956" spans="1:15" ht="13" x14ac:dyDescent="0.15">
      <c r="A956" s="56"/>
      <c r="B956" s="56"/>
      <c r="K956" s="56"/>
      <c r="L956" s="56"/>
      <c r="O956" s="56"/>
    </row>
    <row r="957" spans="1:15" ht="13" x14ac:dyDescent="0.15">
      <c r="A957" s="56"/>
      <c r="B957" s="56"/>
      <c r="K957" s="56"/>
      <c r="L957" s="56"/>
      <c r="O957" s="56"/>
    </row>
    <row r="958" spans="1:15" ht="13" x14ac:dyDescent="0.15">
      <c r="A958" s="56"/>
      <c r="B958" s="56"/>
      <c r="K958" s="56"/>
      <c r="L958" s="56"/>
      <c r="O958" s="56"/>
    </row>
    <row r="959" spans="1:15" ht="13" x14ac:dyDescent="0.15">
      <c r="A959" s="56"/>
      <c r="B959" s="56"/>
      <c r="K959" s="56"/>
      <c r="L959" s="56"/>
      <c r="O959" s="56"/>
    </row>
    <row r="960" spans="1:15" ht="13" x14ac:dyDescent="0.15">
      <c r="A960" s="56"/>
      <c r="B960" s="56"/>
      <c r="K960" s="56"/>
      <c r="L960" s="56"/>
      <c r="O960" s="56"/>
    </row>
    <row r="961" spans="1:15" ht="13" x14ac:dyDescent="0.15">
      <c r="A961" s="56"/>
      <c r="B961" s="56"/>
      <c r="K961" s="56"/>
      <c r="L961" s="56"/>
      <c r="O961" s="56"/>
    </row>
    <row r="962" spans="1:15" ht="13" x14ac:dyDescent="0.15">
      <c r="A962" s="56"/>
      <c r="B962" s="56"/>
      <c r="K962" s="56"/>
      <c r="L962" s="56"/>
      <c r="O962" s="56"/>
    </row>
    <row r="963" spans="1:15" ht="13" x14ac:dyDescent="0.15">
      <c r="A963" s="56"/>
      <c r="B963" s="56"/>
      <c r="K963" s="56"/>
      <c r="L963" s="56"/>
      <c r="O963" s="56"/>
    </row>
    <row r="964" spans="1:15" ht="13" x14ac:dyDescent="0.15">
      <c r="A964" s="56"/>
      <c r="B964" s="56"/>
      <c r="K964" s="56"/>
      <c r="L964" s="56"/>
      <c r="O964" s="56"/>
    </row>
    <row r="965" spans="1:15" ht="13" x14ac:dyDescent="0.15">
      <c r="A965" s="56"/>
      <c r="B965" s="56"/>
      <c r="K965" s="56"/>
      <c r="L965" s="56"/>
      <c r="O965" s="56"/>
    </row>
    <row r="966" spans="1:15" ht="13" x14ac:dyDescent="0.15">
      <c r="A966" s="56"/>
      <c r="B966" s="56"/>
      <c r="K966" s="56"/>
      <c r="L966" s="56"/>
      <c r="O966" s="56"/>
    </row>
    <row r="967" spans="1:15" ht="13" x14ac:dyDescent="0.15">
      <c r="A967" s="56"/>
      <c r="B967" s="56"/>
      <c r="K967" s="56"/>
      <c r="L967" s="56"/>
      <c r="O967" s="56"/>
    </row>
    <row r="968" spans="1:15" ht="13" x14ac:dyDescent="0.15">
      <c r="A968" s="56"/>
      <c r="B968" s="56"/>
      <c r="K968" s="56"/>
      <c r="L968" s="56"/>
      <c r="O968" s="56"/>
    </row>
    <row r="969" spans="1:15" ht="13" x14ac:dyDescent="0.15">
      <c r="A969" s="56"/>
      <c r="B969" s="56"/>
      <c r="K969" s="56"/>
      <c r="L969" s="56"/>
      <c r="O969" s="56"/>
    </row>
    <row r="970" spans="1:15" ht="13" x14ac:dyDescent="0.15">
      <c r="A970" s="56"/>
      <c r="B970" s="56"/>
      <c r="K970" s="56"/>
      <c r="L970" s="56"/>
      <c r="O970" s="56"/>
    </row>
    <row r="971" spans="1:15" ht="13" x14ac:dyDescent="0.15">
      <c r="A971" s="56"/>
      <c r="B971" s="56"/>
      <c r="K971" s="56"/>
      <c r="L971" s="56"/>
      <c r="O971" s="56"/>
    </row>
    <row r="972" spans="1:15" ht="13" x14ac:dyDescent="0.15">
      <c r="A972" s="56"/>
      <c r="B972" s="56"/>
      <c r="K972" s="56"/>
      <c r="L972" s="56"/>
      <c r="O972" s="56"/>
    </row>
    <row r="973" spans="1:15" ht="13" x14ac:dyDescent="0.15">
      <c r="A973" s="56"/>
      <c r="B973" s="56"/>
      <c r="K973" s="56"/>
      <c r="L973" s="56"/>
      <c r="O973" s="56"/>
    </row>
    <row r="974" spans="1:15" ht="13" x14ac:dyDescent="0.15">
      <c r="A974" s="56"/>
      <c r="B974" s="56"/>
      <c r="K974" s="56"/>
      <c r="L974" s="56"/>
      <c r="O974" s="56"/>
    </row>
    <row r="975" spans="1:15" ht="13" x14ac:dyDescent="0.15">
      <c r="A975" s="56"/>
      <c r="B975" s="56"/>
      <c r="K975" s="56"/>
      <c r="L975" s="56"/>
      <c r="O975" s="56"/>
    </row>
    <row r="976" spans="1:15" ht="13" x14ac:dyDescent="0.15">
      <c r="A976" s="56"/>
      <c r="B976" s="56"/>
      <c r="K976" s="56"/>
      <c r="L976" s="56"/>
      <c r="O976" s="56"/>
    </row>
    <row r="977" spans="1:15" ht="13" x14ac:dyDescent="0.15">
      <c r="A977" s="56"/>
      <c r="B977" s="56"/>
      <c r="K977" s="56"/>
      <c r="L977" s="56"/>
      <c r="O977" s="56"/>
    </row>
    <row r="978" spans="1:15" ht="13" x14ac:dyDescent="0.15">
      <c r="A978" s="56"/>
      <c r="B978" s="56"/>
      <c r="K978" s="56"/>
      <c r="L978" s="56"/>
      <c r="O978" s="56"/>
    </row>
    <row r="979" spans="1:15" ht="13" x14ac:dyDescent="0.15">
      <c r="A979" s="56"/>
      <c r="B979" s="56"/>
      <c r="K979" s="56"/>
      <c r="L979" s="56"/>
      <c r="O979" s="56"/>
    </row>
  </sheetData>
  <mergeCells count="1">
    <mergeCell ref="C1:D1"/>
  </mergeCells>
  <hyperlinks>
    <hyperlink ref="M6" r:id="rId1" xr:uid="{00000000-0004-0000-0B00-000000000000}"/>
    <hyperlink ref="M30" r:id="rId2" xr:uid="{00000000-0004-0000-0B00-000001000000}"/>
  </hyperlinks>
  <pageMargins left="0.7" right="0.7" top="0.3" bottom="0.3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96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9.6640625" customWidth="1"/>
    <col min="2" max="2" width="15.33203125" customWidth="1"/>
    <col min="3" max="4" width="12.1640625" customWidth="1"/>
    <col min="5" max="5" width="65.33203125" customWidth="1"/>
    <col min="6" max="6" width="91.6640625" customWidth="1"/>
    <col min="7" max="7" width="25.6640625" customWidth="1"/>
    <col min="8" max="8" width="29.1640625" customWidth="1"/>
    <col min="9" max="9" width="32.1640625" customWidth="1"/>
    <col min="10" max="10" width="26.33203125" customWidth="1"/>
    <col min="11" max="11" width="24.6640625" customWidth="1"/>
    <col min="12" max="12" width="26" customWidth="1"/>
    <col min="13" max="13" width="12.1640625" customWidth="1"/>
    <col min="14" max="14" width="52" customWidth="1"/>
    <col min="15" max="15" width="18.6640625" customWidth="1"/>
    <col min="16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80" t="s">
        <v>38</v>
      </c>
      <c r="D1" s="80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20</v>
      </c>
      <c r="B2" s="61" t="s">
        <v>3968</v>
      </c>
      <c r="C2" s="201">
        <v>1</v>
      </c>
      <c r="D2" s="62" t="str">
        <f t="shared" ref="D2:D133" si="0">A2&amp;B2&amp;C2</f>
        <v>20121</v>
      </c>
      <c r="E2" s="202" t="s">
        <v>3969</v>
      </c>
      <c r="F2" s="202" t="s">
        <v>3970</v>
      </c>
      <c r="G2" s="202" t="s">
        <v>3971</v>
      </c>
      <c r="H2" s="202" t="s">
        <v>3972</v>
      </c>
      <c r="I2" s="203" t="s">
        <v>3973</v>
      </c>
      <c r="J2" s="202"/>
      <c r="K2" s="204" t="s">
        <v>3974</v>
      </c>
      <c r="L2" s="62"/>
      <c r="M2" s="205" t="s">
        <v>3975</v>
      </c>
      <c r="N2" s="205" t="s">
        <v>3976</v>
      </c>
      <c r="O2" s="61">
        <v>15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20</v>
      </c>
      <c r="B3" s="61" t="s">
        <v>3968</v>
      </c>
      <c r="C3" s="201">
        <v>2</v>
      </c>
      <c r="D3" s="62" t="str">
        <f t="shared" si="0"/>
        <v>20122</v>
      </c>
      <c r="E3" s="202" t="s">
        <v>3977</v>
      </c>
      <c r="F3" s="202" t="s">
        <v>3978</v>
      </c>
      <c r="G3" s="202" t="s">
        <v>3979</v>
      </c>
      <c r="H3" s="202" t="s">
        <v>3980</v>
      </c>
      <c r="I3" s="202" t="s">
        <v>3981</v>
      </c>
      <c r="J3" s="202" t="s">
        <v>3982</v>
      </c>
      <c r="K3" s="62">
        <v>85334554827</v>
      </c>
      <c r="L3" s="62" t="s">
        <v>3983</v>
      </c>
      <c r="M3" s="205" t="s">
        <v>3984</v>
      </c>
      <c r="N3" s="202" t="s">
        <v>3985</v>
      </c>
      <c r="O3" s="6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21</v>
      </c>
      <c r="B4" s="61" t="s">
        <v>3968</v>
      </c>
      <c r="C4" s="201">
        <v>3</v>
      </c>
      <c r="D4" s="62" t="str">
        <f t="shared" si="0"/>
        <v>21123</v>
      </c>
      <c r="E4" s="202" t="s">
        <v>3986</v>
      </c>
      <c r="F4" s="202" t="s">
        <v>3987</v>
      </c>
      <c r="G4" s="202" t="s">
        <v>3988</v>
      </c>
      <c r="H4" s="202" t="s">
        <v>3989</v>
      </c>
      <c r="I4" s="202" t="s">
        <v>3990</v>
      </c>
      <c r="J4" s="202" t="s">
        <v>3991</v>
      </c>
      <c r="K4" s="62">
        <v>85852777750</v>
      </c>
      <c r="L4" s="62">
        <v>85852202333</v>
      </c>
      <c r="M4" s="205" t="s">
        <v>3992</v>
      </c>
      <c r="N4" s="202" t="s">
        <v>3993</v>
      </c>
      <c r="O4" s="61">
        <v>8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21</v>
      </c>
      <c r="B5" s="61" t="s">
        <v>3968</v>
      </c>
      <c r="C5" s="201">
        <v>4</v>
      </c>
      <c r="D5" s="62" t="str">
        <f t="shared" si="0"/>
        <v>21124</v>
      </c>
      <c r="E5" s="202" t="s">
        <v>3994</v>
      </c>
      <c r="F5" s="202" t="s">
        <v>3995</v>
      </c>
      <c r="G5" s="202" t="s">
        <v>3971</v>
      </c>
      <c r="H5" s="202" t="s">
        <v>3996</v>
      </c>
      <c r="I5" s="202" t="s">
        <v>3997</v>
      </c>
      <c r="J5" s="202" t="s">
        <v>3998</v>
      </c>
      <c r="K5" s="62">
        <v>82330448537</v>
      </c>
      <c r="L5" s="136" t="s">
        <v>3999</v>
      </c>
      <c r="M5" s="202" t="s">
        <v>4000</v>
      </c>
      <c r="N5" s="202" t="s">
        <v>4001</v>
      </c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21</v>
      </c>
      <c r="B6" s="61" t="s">
        <v>3968</v>
      </c>
      <c r="C6" s="201">
        <v>5</v>
      </c>
      <c r="D6" s="62" t="str">
        <f t="shared" si="0"/>
        <v>21125</v>
      </c>
      <c r="E6" s="202" t="s">
        <v>4002</v>
      </c>
      <c r="F6" s="202" t="s">
        <v>4003</v>
      </c>
      <c r="G6" s="202" t="s">
        <v>3971</v>
      </c>
      <c r="H6" s="202" t="s">
        <v>4004</v>
      </c>
      <c r="I6" s="202" t="s">
        <v>4005</v>
      </c>
      <c r="J6" s="63"/>
      <c r="K6" s="62">
        <v>83853033953</v>
      </c>
      <c r="L6" s="62"/>
      <c r="M6" s="63"/>
      <c r="N6" s="202" t="s">
        <v>4006</v>
      </c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21</v>
      </c>
      <c r="B7" s="61" t="s">
        <v>3968</v>
      </c>
      <c r="C7" s="201">
        <v>6</v>
      </c>
      <c r="D7" s="62" t="str">
        <f t="shared" si="0"/>
        <v>21126</v>
      </c>
      <c r="E7" s="202" t="s">
        <v>4007</v>
      </c>
      <c r="F7" s="202" t="s">
        <v>4008</v>
      </c>
      <c r="G7" s="202" t="s">
        <v>4009</v>
      </c>
      <c r="H7" s="67" t="s">
        <v>4010</v>
      </c>
      <c r="I7" s="67" t="s">
        <v>4011</v>
      </c>
      <c r="J7" s="63"/>
      <c r="K7" s="72" t="s">
        <v>4012</v>
      </c>
      <c r="L7" s="62"/>
      <c r="M7" s="205" t="s">
        <v>4013</v>
      </c>
      <c r="N7" s="202" t="s">
        <v>4014</v>
      </c>
      <c r="O7" s="61">
        <v>7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21</v>
      </c>
      <c r="B8" s="61" t="s">
        <v>3968</v>
      </c>
      <c r="C8" s="201">
        <v>7</v>
      </c>
      <c r="D8" s="62" t="str">
        <f t="shared" si="0"/>
        <v>21127</v>
      </c>
      <c r="E8" s="202" t="s">
        <v>4015</v>
      </c>
      <c r="F8" s="202" t="s">
        <v>4016</v>
      </c>
      <c r="G8" s="202" t="s">
        <v>4009</v>
      </c>
      <c r="H8" s="202" t="s">
        <v>4017</v>
      </c>
      <c r="I8" s="202" t="s">
        <v>4018</v>
      </c>
      <c r="J8" s="202" t="s">
        <v>4019</v>
      </c>
      <c r="K8" s="62">
        <v>87850088801</v>
      </c>
      <c r="L8" s="62">
        <v>82337777815</v>
      </c>
      <c r="M8" s="63"/>
      <c r="N8" s="202" t="s">
        <v>4020</v>
      </c>
      <c r="O8" s="61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21</v>
      </c>
      <c r="B9" s="61" t="s">
        <v>3968</v>
      </c>
      <c r="C9" s="201">
        <v>8</v>
      </c>
      <c r="D9" s="62" t="str">
        <f t="shared" si="0"/>
        <v>21128</v>
      </c>
      <c r="E9" s="202" t="s">
        <v>4021</v>
      </c>
      <c r="F9" s="202" t="s">
        <v>4022</v>
      </c>
      <c r="G9" s="202" t="s">
        <v>3988</v>
      </c>
      <c r="H9" s="202" t="s">
        <v>4023</v>
      </c>
      <c r="I9" s="75" t="s">
        <v>4024</v>
      </c>
      <c r="J9" s="67"/>
      <c r="K9" s="76">
        <v>87838880981</v>
      </c>
      <c r="L9" s="61"/>
      <c r="M9" s="205" t="s">
        <v>4025</v>
      </c>
      <c r="N9" s="202" t="s">
        <v>4026</v>
      </c>
      <c r="O9" s="61">
        <v>8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21</v>
      </c>
      <c r="B10" s="61" t="s">
        <v>3968</v>
      </c>
      <c r="C10" s="201">
        <v>9</v>
      </c>
      <c r="D10" s="62" t="str">
        <f t="shared" si="0"/>
        <v>21129</v>
      </c>
      <c r="E10" s="202" t="s">
        <v>4027</v>
      </c>
      <c r="F10" s="202" t="s">
        <v>4028</v>
      </c>
      <c r="G10" s="202" t="s">
        <v>3971</v>
      </c>
      <c r="H10" s="202" t="s">
        <v>4029</v>
      </c>
      <c r="I10" s="202" t="s">
        <v>4030</v>
      </c>
      <c r="J10" s="202" t="s">
        <v>4031</v>
      </c>
      <c r="K10" s="62" t="s">
        <v>4032</v>
      </c>
      <c r="L10" s="62">
        <v>87774533871</v>
      </c>
      <c r="M10" s="202" t="s">
        <v>4033</v>
      </c>
      <c r="N10" s="202" t="s">
        <v>4034</v>
      </c>
      <c r="O10" s="6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21</v>
      </c>
      <c r="B11" s="61" t="s">
        <v>3968</v>
      </c>
      <c r="C11" s="201">
        <v>10</v>
      </c>
      <c r="D11" s="62" t="str">
        <f t="shared" si="0"/>
        <v>211210</v>
      </c>
      <c r="E11" s="202" t="s">
        <v>4035</v>
      </c>
      <c r="F11" s="202" t="s">
        <v>4036</v>
      </c>
      <c r="G11" s="202" t="s">
        <v>3971</v>
      </c>
      <c r="H11" s="202" t="s">
        <v>4037</v>
      </c>
      <c r="I11" s="202" t="s">
        <v>4038</v>
      </c>
      <c r="J11" s="63"/>
      <c r="K11" s="72" t="s">
        <v>4039</v>
      </c>
      <c r="L11" s="62"/>
      <c r="M11" s="63"/>
      <c r="N11" s="202" t="s">
        <v>4040</v>
      </c>
      <c r="O11" s="61">
        <v>2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21</v>
      </c>
      <c r="B12" s="61" t="s">
        <v>3968</v>
      </c>
      <c r="C12" s="201">
        <v>11</v>
      </c>
      <c r="D12" s="62" t="str">
        <f t="shared" si="0"/>
        <v>211211</v>
      </c>
      <c r="E12" s="202" t="s">
        <v>4041</v>
      </c>
      <c r="F12" s="202" t="s">
        <v>4042</v>
      </c>
      <c r="G12" s="202" t="s">
        <v>3971</v>
      </c>
      <c r="H12" s="202" t="s">
        <v>4043</v>
      </c>
      <c r="I12" s="202" t="s">
        <v>4044</v>
      </c>
      <c r="J12" s="202" t="s">
        <v>4045</v>
      </c>
      <c r="K12" s="62">
        <v>85285858589</v>
      </c>
      <c r="L12" s="62">
        <v>85230191817</v>
      </c>
      <c r="M12" s="202" t="s">
        <v>4046</v>
      </c>
      <c r="N12" s="202" t="s">
        <v>4047</v>
      </c>
      <c r="O12" s="61">
        <v>6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21</v>
      </c>
      <c r="B13" s="61" t="s">
        <v>3968</v>
      </c>
      <c r="C13" s="201">
        <v>12</v>
      </c>
      <c r="D13" s="62" t="str">
        <f t="shared" si="0"/>
        <v>211212</v>
      </c>
      <c r="E13" s="202" t="s">
        <v>4048</v>
      </c>
      <c r="F13" s="202" t="s">
        <v>4049</v>
      </c>
      <c r="G13" s="202" t="s">
        <v>3971</v>
      </c>
      <c r="H13" s="202" t="s">
        <v>4050</v>
      </c>
      <c r="I13" s="202" t="s">
        <v>4051</v>
      </c>
      <c r="J13" s="63"/>
      <c r="K13" s="62">
        <v>81911154515</v>
      </c>
      <c r="L13" s="62"/>
      <c r="M13" s="205" t="s">
        <v>4052</v>
      </c>
      <c r="N13" s="202" t="s">
        <v>4053</v>
      </c>
      <c r="O13" s="61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21</v>
      </c>
      <c r="B14" s="61" t="s">
        <v>3968</v>
      </c>
      <c r="C14" s="201">
        <v>13</v>
      </c>
      <c r="D14" s="62" t="str">
        <f t="shared" si="0"/>
        <v>211213</v>
      </c>
      <c r="E14" s="202" t="s">
        <v>4054</v>
      </c>
      <c r="F14" s="202" t="s">
        <v>4055</v>
      </c>
      <c r="G14" s="202" t="s">
        <v>3988</v>
      </c>
      <c r="H14" s="202" t="s">
        <v>4056</v>
      </c>
      <c r="I14" s="202" t="s">
        <v>4057</v>
      </c>
      <c r="J14" s="202" t="s">
        <v>4058</v>
      </c>
      <c r="K14" s="62" t="s">
        <v>4059</v>
      </c>
      <c r="L14" s="62">
        <f>6283857280706</f>
        <v>6283857280706</v>
      </c>
      <c r="M14" s="202" t="s">
        <v>4060</v>
      </c>
      <c r="N14" s="202" t="s">
        <v>4061</v>
      </c>
      <c r="O14" s="6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21</v>
      </c>
      <c r="B15" s="61" t="s">
        <v>3968</v>
      </c>
      <c r="C15" s="201">
        <v>14</v>
      </c>
      <c r="D15" s="62" t="str">
        <f t="shared" si="0"/>
        <v>211214</v>
      </c>
      <c r="E15" s="202" t="s">
        <v>4062</v>
      </c>
      <c r="F15" s="202" t="s">
        <v>4063</v>
      </c>
      <c r="G15" s="202" t="s">
        <v>3971</v>
      </c>
      <c r="H15" s="202" t="s">
        <v>4064</v>
      </c>
      <c r="I15" s="202" t="s">
        <v>4065</v>
      </c>
      <c r="J15" s="63"/>
      <c r="K15" s="62" t="s">
        <v>4066</v>
      </c>
      <c r="L15" s="62"/>
      <c r="M15" s="205" t="s">
        <v>4067</v>
      </c>
      <c r="N15" s="202" t="s">
        <v>4068</v>
      </c>
      <c r="O15" s="6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22</v>
      </c>
      <c r="B16" s="61" t="s">
        <v>3968</v>
      </c>
      <c r="C16" s="201">
        <v>15</v>
      </c>
      <c r="D16" s="62" t="str">
        <f t="shared" si="0"/>
        <v>221215</v>
      </c>
      <c r="E16" s="202" t="s">
        <v>4069</v>
      </c>
      <c r="F16" s="202" t="s">
        <v>4070</v>
      </c>
      <c r="G16" s="202" t="s">
        <v>3979</v>
      </c>
      <c r="H16" s="202" t="s">
        <v>4071</v>
      </c>
      <c r="I16" s="202" t="s">
        <v>4072</v>
      </c>
      <c r="J16" s="202" t="s">
        <v>4073</v>
      </c>
      <c r="K16" s="62">
        <v>85104210573</v>
      </c>
      <c r="L16" s="62" t="s">
        <v>4074</v>
      </c>
      <c r="M16" s="205" t="s">
        <v>4075</v>
      </c>
      <c r="N16" s="202" t="s">
        <v>4076</v>
      </c>
      <c r="O16" s="61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3968</v>
      </c>
      <c r="C17" s="201">
        <v>16</v>
      </c>
      <c r="D17" s="62" t="str">
        <f t="shared" si="0"/>
        <v>221216</v>
      </c>
      <c r="E17" s="202" t="s">
        <v>4077</v>
      </c>
      <c r="F17" s="202" t="s">
        <v>4078</v>
      </c>
      <c r="G17" s="202" t="s">
        <v>3979</v>
      </c>
      <c r="H17" s="202" t="s">
        <v>4079</v>
      </c>
      <c r="I17" s="202" t="s">
        <v>4080</v>
      </c>
      <c r="J17" s="202"/>
      <c r="K17" s="72" t="s">
        <v>4081</v>
      </c>
      <c r="L17" s="62"/>
      <c r="M17" s="205" t="s">
        <v>4082</v>
      </c>
      <c r="N17" s="202" t="s">
        <v>4083</v>
      </c>
      <c r="O17" s="61">
        <v>10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22</v>
      </c>
      <c r="B18" s="61" t="s">
        <v>3968</v>
      </c>
      <c r="C18" s="201">
        <v>17</v>
      </c>
      <c r="D18" s="62" t="str">
        <f t="shared" si="0"/>
        <v>221217</v>
      </c>
      <c r="E18" s="202" t="s">
        <v>4084</v>
      </c>
      <c r="F18" s="202" t="s">
        <v>4085</v>
      </c>
      <c r="G18" s="202" t="s">
        <v>3971</v>
      </c>
      <c r="H18" s="202" t="s">
        <v>4086</v>
      </c>
      <c r="I18" s="67" t="s">
        <v>4087</v>
      </c>
      <c r="J18" s="67" t="s">
        <v>4088</v>
      </c>
      <c r="K18" s="61" t="s">
        <v>4089</v>
      </c>
      <c r="L18" s="72" t="s">
        <v>4090</v>
      </c>
      <c r="M18" s="202" t="s">
        <v>4091</v>
      </c>
      <c r="N18" s="202" t="s">
        <v>4092</v>
      </c>
      <c r="O18" s="61">
        <v>9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22</v>
      </c>
      <c r="B19" s="61" t="s">
        <v>3968</v>
      </c>
      <c r="C19" s="201">
        <v>18</v>
      </c>
      <c r="D19" s="62" t="str">
        <f t="shared" si="0"/>
        <v>221218</v>
      </c>
      <c r="E19" s="202" t="s">
        <v>4093</v>
      </c>
      <c r="F19" s="202" t="s">
        <v>4094</v>
      </c>
      <c r="G19" s="202" t="s">
        <v>3971</v>
      </c>
      <c r="H19" s="202" t="s">
        <v>4095</v>
      </c>
      <c r="I19" s="202" t="s">
        <v>4096</v>
      </c>
      <c r="J19" s="63"/>
      <c r="K19" s="72" t="s">
        <v>4097</v>
      </c>
      <c r="L19" s="62"/>
      <c r="M19" s="202" t="s">
        <v>4098</v>
      </c>
      <c r="N19" s="202" t="s">
        <v>4099</v>
      </c>
      <c r="O19" s="61">
        <v>4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22</v>
      </c>
      <c r="B20" s="61" t="s">
        <v>3968</v>
      </c>
      <c r="C20" s="201">
        <v>19</v>
      </c>
      <c r="D20" s="62" t="str">
        <f t="shared" si="0"/>
        <v>221219</v>
      </c>
      <c r="E20" s="202" t="s">
        <v>4100</v>
      </c>
      <c r="F20" s="202" t="s">
        <v>4101</v>
      </c>
      <c r="G20" s="202" t="s">
        <v>4009</v>
      </c>
      <c r="H20" s="202" t="s">
        <v>4102</v>
      </c>
      <c r="I20" s="202" t="s">
        <v>4103</v>
      </c>
      <c r="J20" s="202" t="s">
        <v>4104</v>
      </c>
      <c r="K20" s="62">
        <v>87850209073</v>
      </c>
      <c r="L20" s="62">
        <v>87896213987</v>
      </c>
      <c r="M20" s="205" t="s">
        <v>4105</v>
      </c>
      <c r="N20" s="202" t="s">
        <v>4106</v>
      </c>
      <c r="O20" s="61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22</v>
      </c>
      <c r="B21" s="61" t="s">
        <v>3968</v>
      </c>
      <c r="C21" s="201">
        <v>20</v>
      </c>
      <c r="D21" s="62" t="str">
        <f t="shared" si="0"/>
        <v>221220</v>
      </c>
      <c r="E21" s="202" t="s">
        <v>4107</v>
      </c>
      <c r="F21" s="67" t="s">
        <v>4108</v>
      </c>
      <c r="G21" s="202" t="s">
        <v>3971</v>
      </c>
      <c r="H21" s="206" t="s">
        <v>4109</v>
      </c>
      <c r="I21" s="206" t="s">
        <v>4110</v>
      </c>
      <c r="J21" s="67" t="s">
        <v>4111</v>
      </c>
      <c r="K21" s="61" t="s">
        <v>4112</v>
      </c>
      <c r="L21" s="61">
        <v>87861917147</v>
      </c>
      <c r="M21" s="63"/>
      <c r="N21" s="67" t="s">
        <v>4113</v>
      </c>
      <c r="O21" s="61">
        <v>5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22</v>
      </c>
      <c r="B22" s="61" t="s">
        <v>3968</v>
      </c>
      <c r="C22" s="201">
        <v>21</v>
      </c>
      <c r="D22" s="62" t="str">
        <f t="shared" si="0"/>
        <v>221221</v>
      </c>
      <c r="E22" s="202" t="s">
        <v>3571</v>
      </c>
      <c r="F22" s="206" t="s">
        <v>4114</v>
      </c>
      <c r="G22" s="206" t="s">
        <v>4009</v>
      </c>
      <c r="H22" s="206" t="s">
        <v>4115</v>
      </c>
      <c r="I22" s="206" t="s">
        <v>4116</v>
      </c>
      <c r="J22" s="63"/>
      <c r="K22" s="61">
        <v>816533607</v>
      </c>
      <c r="L22" s="62"/>
      <c r="M22" s="63"/>
      <c r="N22" s="67"/>
      <c r="O22" s="61">
        <v>3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22</v>
      </c>
      <c r="B23" s="61" t="s">
        <v>3968</v>
      </c>
      <c r="C23" s="201">
        <v>22</v>
      </c>
      <c r="D23" s="62" t="str">
        <f t="shared" si="0"/>
        <v>221222</v>
      </c>
      <c r="E23" s="202" t="s">
        <v>4117</v>
      </c>
      <c r="F23" s="206" t="s">
        <v>4118</v>
      </c>
      <c r="G23" s="206" t="s">
        <v>3979</v>
      </c>
      <c r="H23" s="206" t="s">
        <v>4119</v>
      </c>
      <c r="I23" s="206" t="s">
        <v>4120</v>
      </c>
      <c r="J23" s="63"/>
      <c r="K23" s="61">
        <v>81939304424</v>
      </c>
      <c r="L23" s="62"/>
      <c r="M23" s="63"/>
      <c r="N23" s="67"/>
      <c r="O23" s="61">
        <v>3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22</v>
      </c>
      <c r="B24" s="61" t="s">
        <v>3968</v>
      </c>
      <c r="C24" s="201">
        <v>23</v>
      </c>
      <c r="D24" s="62" t="str">
        <f t="shared" si="0"/>
        <v>221223</v>
      </c>
      <c r="E24" s="202" t="s">
        <v>4121</v>
      </c>
      <c r="F24" s="206" t="s">
        <v>4122</v>
      </c>
      <c r="G24" s="202" t="s">
        <v>3971</v>
      </c>
      <c r="H24" s="206" t="s">
        <v>4123</v>
      </c>
      <c r="I24" s="206" t="s">
        <v>4124</v>
      </c>
      <c r="J24" s="63"/>
      <c r="K24" s="61">
        <v>81775042829</v>
      </c>
      <c r="L24" s="62"/>
      <c r="M24" s="63"/>
      <c r="N24" s="67"/>
      <c r="O24" s="61">
        <v>10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22</v>
      </c>
      <c r="B25" s="61" t="s">
        <v>3968</v>
      </c>
      <c r="C25" s="201">
        <v>24</v>
      </c>
      <c r="D25" s="62" t="str">
        <f t="shared" si="0"/>
        <v>221224</v>
      </c>
      <c r="E25" s="202" t="s">
        <v>4125</v>
      </c>
      <c r="F25" s="67" t="s">
        <v>4126</v>
      </c>
      <c r="G25" s="67" t="s">
        <v>4127</v>
      </c>
      <c r="H25" s="67" t="s">
        <v>4128</v>
      </c>
      <c r="I25" s="67" t="s">
        <v>360</v>
      </c>
      <c r="J25" s="67"/>
      <c r="K25" s="61" t="s">
        <v>4129</v>
      </c>
      <c r="L25" s="61"/>
      <c r="M25" s="67"/>
      <c r="N25" s="67"/>
      <c r="O25" s="61">
        <v>11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22</v>
      </c>
      <c r="B26" s="61" t="s">
        <v>3968</v>
      </c>
      <c r="C26" s="201">
        <v>25</v>
      </c>
      <c r="D26" s="62" t="str">
        <f t="shared" si="0"/>
        <v>221225</v>
      </c>
      <c r="E26" s="202" t="s">
        <v>4130</v>
      </c>
      <c r="F26" s="67" t="s">
        <v>4131</v>
      </c>
      <c r="G26" s="67" t="s">
        <v>4127</v>
      </c>
      <c r="H26" s="67" t="s">
        <v>4132</v>
      </c>
      <c r="I26" s="67" t="s">
        <v>4133</v>
      </c>
      <c r="J26" s="67"/>
      <c r="K26" s="61" t="s">
        <v>4134</v>
      </c>
      <c r="L26" s="61"/>
      <c r="M26" s="67"/>
      <c r="N26" s="67"/>
      <c r="O26" s="61">
        <v>4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22</v>
      </c>
      <c r="B27" s="61" t="s">
        <v>3968</v>
      </c>
      <c r="C27" s="201">
        <v>26</v>
      </c>
      <c r="D27" s="62" t="str">
        <f t="shared" si="0"/>
        <v>221226</v>
      </c>
      <c r="E27" s="202" t="s">
        <v>4135</v>
      </c>
      <c r="F27" s="67" t="s">
        <v>4136</v>
      </c>
      <c r="G27" s="67" t="s">
        <v>4137</v>
      </c>
      <c r="H27" s="67" t="s">
        <v>4138</v>
      </c>
      <c r="I27" s="67"/>
      <c r="J27" s="67" t="s">
        <v>4139</v>
      </c>
      <c r="K27" s="72" t="s">
        <v>4140</v>
      </c>
      <c r="L27" s="61"/>
      <c r="M27" s="67"/>
      <c r="N27" s="67"/>
      <c r="O27" s="61">
        <v>7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22</v>
      </c>
      <c r="B28" s="61" t="s">
        <v>3968</v>
      </c>
      <c r="C28" s="201">
        <v>27</v>
      </c>
      <c r="D28" s="62" t="str">
        <f t="shared" si="0"/>
        <v>221227</v>
      </c>
      <c r="E28" s="202" t="s">
        <v>4141</v>
      </c>
      <c r="F28" s="67" t="s">
        <v>4142</v>
      </c>
      <c r="G28" s="67" t="s">
        <v>4143</v>
      </c>
      <c r="H28" s="67" t="s">
        <v>4144</v>
      </c>
      <c r="I28" s="67"/>
      <c r="J28" s="67" t="s">
        <v>4145</v>
      </c>
      <c r="K28" s="72" t="s">
        <v>4146</v>
      </c>
      <c r="L28" s="61"/>
      <c r="M28" s="67"/>
      <c r="N28" s="67"/>
      <c r="O28" s="61">
        <v>10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22</v>
      </c>
      <c r="B29" s="61" t="s">
        <v>3968</v>
      </c>
      <c r="C29" s="201">
        <v>28</v>
      </c>
      <c r="D29" s="62" t="str">
        <f t="shared" si="0"/>
        <v>221228</v>
      </c>
      <c r="E29" s="202" t="s">
        <v>4147</v>
      </c>
      <c r="F29" s="67" t="s">
        <v>4148</v>
      </c>
      <c r="G29" s="67" t="s">
        <v>4143</v>
      </c>
      <c r="H29" s="67" t="s">
        <v>4149</v>
      </c>
      <c r="I29" s="67"/>
      <c r="J29" s="67" t="s">
        <v>4150</v>
      </c>
      <c r="K29" s="72" t="s">
        <v>4151</v>
      </c>
      <c r="L29" s="61"/>
      <c r="M29" s="67"/>
      <c r="N29" s="67"/>
      <c r="O29" s="61">
        <v>7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22</v>
      </c>
      <c r="B30" s="61" t="s">
        <v>3968</v>
      </c>
      <c r="C30" s="201">
        <v>29</v>
      </c>
      <c r="D30" s="62" t="str">
        <f t="shared" si="0"/>
        <v>221229</v>
      </c>
      <c r="E30" s="202" t="s">
        <v>4152</v>
      </c>
      <c r="F30" s="67" t="s">
        <v>4153</v>
      </c>
      <c r="G30" s="67" t="s">
        <v>4137</v>
      </c>
      <c r="H30" s="67" t="s">
        <v>4154</v>
      </c>
      <c r="I30" s="67"/>
      <c r="J30" s="67" t="s">
        <v>4155</v>
      </c>
      <c r="K30" s="61" t="s">
        <v>4156</v>
      </c>
      <c r="L30" s="61"/>
      <c r="M30" s="67"/>
      <c r="N30" s="67"/>
      <c r="O30" s="61">
        <v>11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22</v>
      </c>
      <c r="B31" s="61" t="s">
        <v>3968</v>
      </c>
      <c r="C31" s="201">
        <v>30</v>
      </c>
      <c r="D31" s="62" t="str">
        <f t="shared" si="0"/>
        <v>221230</v>
      </c>
      <c r="E31" s="202" t="s">
        <v>4157</v>
      </c>
      <c r="F31" s="67" t="s">
        <v>4158</v>
      </c>
      <c r="G31" s="67" t="s">
        <v>4159</v>
      </c>
      <c r="H31" s="67" t="s">
        <v>4160</v>
      </c>
      <c r="I31" s="67"/>
      <c r="J31" s="67" t="s">
        <v>4161</v>
      </c>
      <c r="K31" s="72" t="s">
        <v>4162</v>
      </c>
      <c r="L31" s="61"/>
      <c r="M31" s="67"/>
      <c r="N31" s="67"/>
      <c r="O31" s="61">
        <v>4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22</v>
      </c>
      <c r="B32" s="61" t="s">
        <v>3968</v>
      </c>
      <c r="C32" s="201">
        <v>31</v>
      </c>
      <c r="D32" s="62" t="str">
        <f t="shared" si="0"/>
        <v>221231</v>
      </c>
      <c r="E32" s="202" t="s">
        <v>4163</v>
      </c>
      <c r="F32" s="67" t="s">
        <v>4164</v>
      </c>
      <c r="G32" s="67" t="s">
        <v>4159</v>
      </c>
      <c r="H32" s="67" t="s">
        <v>4165</v>
      </c>
      <c r="I32" s="67"/>
      <c r="J32" s="67" t="s">
        <v>4166</v>
      </c>
      <c r="K32" s="72" t="s">
        <v>4167</v>
      </c>
      <c r="L32" s="61"/>
      <c r="M32" s="67"/>
      <c r="N32" s="67"/>
      <c r="O32" s="61">
        <v>11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22</v>
      </c>
      <c r="B33" s="61" t="s">
        <v>3968</v>
      </c>
      <c r="C33" s="201">
        <v>32</v>
      </c>
      <c r="D33" s="62" t="str">
        <f t="shared" si="0"/>
        <v>221232</v>
      </c>
      <c r="E33" s="202" t="s">
        <v>4168</v>
      </c>
      <c r="F33" s="67" t="s">
        <v>4169</v>
      </c>
      <c r="G33" s="67" t="s">
        <v>4137</v>
      </c>
      <c r="H33" s="67" t="s">
        <v>4170</v>
      </c>
      <c r="I33" s="67"/>
      <c r="J33" s="67" t="s">
        <v>4171</v>
      </c>
      <c r="K33" s="61" t="s">
        <v>4172</v>
      </c>
      <c r="L33" s="61"/>
      <c r="M33" s="67"/>
      <c r="N33" s="67" t="s">
        <v>4173</v>
      </c>
      <c r="O33" s="61">
        <v>8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22</v>
      </c>
      <c r="B34" s="61" t="s">
        <v>3968</v>
      </c>
      <c r="C34" s="201">
        <v>33</v>
      </c>
      <c r="D34" s="62" t="str">
        <f t="shared" si="0"/>
        <v>221233</v>
      </c>
      <c r="E34" s="202" t="s">
        <v>4174</v>
      </c>
      <c r="F34" s="67" t="s">
        <v>4175</v>
      </c>
      <c r="G34" s="67" t="s">
        <v>4143</v>
      </c>
      <c r="H34" s="67" t="s">
        <v>4176</v>
      </c>
      <c r="I34" s="67" t="s">
        <v>4177</v>
      </c>
      <c r="J34" s="67" t="s">
        <v>4178</v>
      </c>
      <c r="K34" s="72" t="s">
        <v>4179</v>
      </c>
      <c r="L34" s="72" t="s">
        <v>4180</v>
      </c>
      <c r="M34" s="67"/>
      <c r="N34" s="67"/>
      <c r="O34" s="61">
        <v>5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61">
        <v>22</v>
      </c>
      <c r="B35" s="61" t="s">
        <v>3968</v>
      </c>
      <c r="C35" s="201">
        <v>34</v>
      </c>
      <c r="D35" s="62" t="str">
        <f t="shared" si="0"/>
        <v>221234</v>
      </c>
      <c r="E35" s="202" t="s">
        <v>4181</v>
      </c>
      <c r="F35" s="67" t="s">
        <v>4182</v>
      </c>
      <c r="G35" s="67" t="s">
        <v>4143</v>
      </c>
      <c r="H35" s="67" t="s">
        <v>4183</v>
      </c>
      <c r="I35" s="67"/>
      <c r="J35" s="67" t="s">
        <v>4184</v>
      </c>
      <c r="K35" s="61" t="s">
        <v>4185</v>
      </c>
      <c r="L35" s="61"/>
      <c r="M35" s="67"/>
      <c r="N35" s="67"/>
      <c r="O35" s="61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61">
        <v>22</v>
      </c>
      <c r="B36" s="61" t="s">
        <v>3968</v>
      </c>
      <c r="C36" s="201">
        <v>35</v>
      </c>
      <c r="D36" s="62" t="str">
        <f t="shared" si="0"/>
        <v>221235</v>
      </c>
      <c r="E36" s="202" t="s">
        <v>4186</v>
      </c>
      <c r="F36" s="67" t="s">
        <v>4187</v>
      </c>
      <c r="G36" s="67" t="s">
        <v>4143</v>
      </c>
      <c r="H36" s="67" t="s">
        <v>4188</v>
      </c>
      <c r="I36" s="67"/>
      <c r="J36" s="67" t="s">
        <v>4189</v>
      </c>
      <c r="K36" s="72" t="s">
        <v>4190</v>
      </c>
      <c r="L36" s="61"/>
      <c r="M36" s="67"/>
      <c r="N36" s="67"/>
      <c r="O36" s="61">
        <v>2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61">
        <v>22</v>
      </c>
      <c r="B37" s="61" t="s">
        <v>3968</v>
      </c>
      <c r="C37" s="201">
        <v>36</v>
      </c>
      <c r="D37" s="62" t="str">
        <f t="shared" si="0"/>
        <v>221236</v>
      </c>
      <c r="E37" s="202" t="s">
        <v>4191</v>
      </c>
      <c r="F37" s="67" t="s">
        <v>4192</v>
      </c>
      <c r="G37" s="67" t="s">
        <v>4137</v>
      </c>
      <c r="H37" s="67" t="s">
        <v>4193</v>
      </c>
      <c r="I37" s="67"/>
      <c r="J37" s="67" t="s">
        <v>4194</v>
      </c>
      <c r="K37" s="72" t="s">
        <v>4195</v>
      </c>
      <c r="L37" s="61"/>
      <c r="M37" s="67"/>
      <c r="N37" s="67"/>
      <c r="O37" s="61">
        <v>5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61">
        <v>22</v>
      </c>
      <c r="B38" s="61" t="s">
        <v>3968</v>
      </c>
      <c r="C38" s="201">
        <v>37</v>
      </c>
      <c r="D38" s="62" t="str">
        <f t="shared" si="0"/>
        <v>221237</v>
      </c>
      <c r="E38" s="202" t="s">
        <v>4196</v>
      </c>
      <c r="F38" s="67" t="s">
        <v>4197</v>
      </c>
      <c r="G38" s="67" t="s">
        <v>4127</v>
      </c>
      <c r="H38" s="67" t="s">
        <v>4198</v>
      </c>
      <c r="I38" s="67" t="s">
        <v>4199</v>
      </c>
      <c r="J38" s="67" t="s">
        <v>4200</v>
      </c>
      <c r="K38" s="72" t="s">
        <v>4201</v>
      </c>
      <c r="L38" s="72" t="s">
        <v>4202</v>
      </c>
      <c r="M38" s="67"/>
      <c r="N38" s="67" t="s">
        <v>4203</v>
      </c>
      <c r="O38" s="61">
        <v>8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61">
        <v>22</v>
      </c>
      <c r="B39" s="61" t="s">
        <v>3968</v>
      </c>
      <c r="C39" s="201">
        <v>38</v>
      </c>
      <c r="D39" s="62" t="str">
        <f t="shared" si="0"/>
        <v>221238</v>
      </c>
      <c r="E39" s="202" t="s">
        <v>4204</v>
      </c>
      <c r="F39" s="67" t="s">
        <v>4205</v>
      </c>
      <c r="G39" s="67" t="s">
        <v>4127</v>
      </c>
      <c r="H39" s="67" t="s">
        <v>4206</v>
      </c>
      <c r="I39" s="67"/>
      <c r="J39" s="67" t="s">
        <v>4207</v>
      </c>
      <c r="K39" s="72" t="s">
        <v>4208</v>
      </c>
      <c r="L39" s="61"/>
      <c r="M39" s="67"/>
      <c r="N39" s="67"/>
      <c r="O39" s="61">
        <v>11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61">
        <v>22</v>
      </c>
      <c r="B40" s="61" t="s">
        <v>3968</v>
      </c>
      <c r="C40" s="201">
        <v>39</v>
      </c>
      <c r="D40" s="62" t="str">
        <f t="shared" si="0"/>
        <v>221239</v>
      </c>
      <c r="E40" s="202" t="s">
        <v>4209</v>
      </c>
      <c r="F40" s="67" t="s">
        <v>4210</v>
      </c>
      <c r="G40" s="67" t="s">
        <v>4159</v>
      </c>
      <c r="H40" s="67" t="s">
        <v>4211</v>
      </c>
      <c r="I40" s="67"/>
      <c r="J40" s="67" t="s">
        <v>4212</v>
      </c>
      <c r="K40" s="72" t="s">
        <v>4213</v>
      </c>
      <c r="L40" s="61"/>
      <c r="M40" s="67"/>
      <c r="N40" s="67"/>
      <c r="O40" s="61">
        <v>15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61">
        <v>22</v>
      </c>
      <c r="B41" s="61" t="s">
        <v>3968</v>
      </c>
      <c r="C41" s="201">
        <v>40</v>
      </c>
      <c r="D41" s="62" t="str">
        <f t="shared" si="0"/>
        <v>221240</v>
      </c>
      <c r="E41" s="202" t="s">
        <v>4214</v>
      </c>
      <c r="F41" s="67" t="s">
        <v>4215</v>
      </c>
      <c r="G41" s="67" t="s">
        <v>4159</v>
      </c>
      <c r="H41" s="67" t="s">
        <v>4216</v>
      </c>
      <c r="I41" s="67"/>
      <c r="J41" s="67" t="s">
        <v>4217</v>
      </c>
      <c r="K41" s="72" t="s">
        <v>4218</v>
      </c>
      <c r="L41" s="61"/>
      <c r="M41" s="67"/>
      <c r="N41" s="67"/>
      <c r="O41" s="61">
        <v>10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61">
        <v>22</v>
      </c>
      <c r="B42" s="61" t="s">
        <v>3968</v>
      </c>
      <c r="C42" s="201">
        <v>41</v>
      </c>
      <c r="D42" s="62" t="str">
        <f t="shared" si="0"/>
        <v>221241</v>
      </c>
      <c r="E42" s="202" t="s">
        <v>4219</v>
      </c>
      <c r="F42" s="67" t="s">
        <v>4220</v>
      </c>
      <c r="G42" s="67" t="s">
        <v>4159</v>
      </c>
      <c r="H42" s="67" t="s">
        <v>4221</v>
      </c>
      <c r="I42" s="67"/>
      <c r="J42" s="67" t="s">
        <v>4222</v>
      </c>
      <c r="K42" s="72" t="s">
        <v>4223</v>
      </c>
      <c r="L42" s="61"/>
      <c r="M42" s="67"/>
      <c r="N42" s="67"/>
      <c r="O42" s="61">
        <v>3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2">
      <c r="A43" s="61">
        <v>22</v>
      </c>
      <c r="B43" s="61" t="s">
        <v>3968</v>
      </c>
      <c r="C43" s="201">
        <v>42</v>
      </c>
      <c r="D43" s="62" t="str">
        <f t="shared" si="0"/>
        <v>221242</v>
      </c>
      <c r="E43" s="202" t="s">
        <v>4224</v>
      </c>
      <c r="F43" s="67" t="s">
        <v>4225</v>
      </c>
      <c r="G43" s="67" t="s">
        <v>4159</v>
      </c>
      <c r="H43" s="67" t="s">
        <v>4226</v>
      </c>
      <c r="I43" s="67"/>
      <c r="J43" s="67" t="s">
        <v>4227</v>
      </c>
      <c r="K43" s="72" t="s">
        <v>4228</v>
      </c>
      <c r="L43" s="61"/>
      <c r="M43" s="67"/>
      <c r="N43" s="67"/>
      <c r="O43" s="61">
        <v>4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2">
      <c r="A44" s="61">
        <v>23</v>
      </c>
      <c r="B44" s="61" t="s">
        <v>3968</v>
      </c>
      <c r="C44" s="201">
        <v>43</v>
      </c>
      <c r="D44" s="62" t="str">
        <f t="shared" si="0"/>
        <v>231243</v>
      </c>
      <c r="E44" s="202" t="s">
        <v>4229</v>
      </c>
      <c r="F44" s="67" t="s">
        <v>4230</v>
      </c>
      <c r="G44" s="67" t="s">
        <v>4137</v>
      </c>
      <c r="H44" s="67" t="s">
        <v>4231</v>
      </c>
      <c r="I44" s="67"/>
      <c r="J44" s="67" t="s">
        <v>4232</v>
      </c>
      <c r="K44" s="72" t="s">
        <v>4233</v>
      </c>
      <c r="L44" s="61"/>
      <c r="M44" s="67"/>
      <c r="N44" s="67"/>
      <c r="O44" s="61">
        <v>12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2">
      <c r="A45" s="61">
        <v>23</v>
      </c>
      <c r="B45" s="61" t="s">
        <v>3968</v>
      </c>
      <c r="C45" s="201">
        <v>44</v>
      </c>
      <c r="D45" s="62" t="str">
        <f t="shared" si="0"/>
        <v>231244</v>
      </c>
      <c r="E45" s="202" t="s">
        <v>4234</v>
      </c>
      <c r="F45" s="67" t="s">
        <v>4235</v>
      </c>
      <c r="G45" s="67" t="s">
        <v>4159</v>
      </c>
      <c r="H45" s="67" t="s">
        <v>4236</v>
      </c>
      <c r="I45" s="67"/>
      <c r="J45" s="67" t="s">
        <v>4237</v>
      </c>
      <c r="K45" s="72" t="s">
        <v>4238</v>
      </c>
      <c r="L45" s="61"/>
      <c r="M45" s="67"/>
      <c r="N45" s="67"/>
      <c r="O45" s="61">
        <v>3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2">
      <c r="A46" s="61">
        <v>23</v>
      </c>
      <c r="B46" s="61" t="s">
        <v>3968</v>
      </c>
      <c r="C46" s="201">
        <v>45</v>
      </c>
      <c r="D46" s="62" t="str">
        <f t="shared" si="0"/>
        <v>231245</v>
      </c>
      <c r="E46" s="202" t="s">
        <v>4239</v>
      </c>
      <c r="F46" s="67" t="s">
        <v>4240</v>
      </c>
      <c r="G46" s="67" t="s">
        <v>4137</v>
      </c>
      <c r="H46" s="67" t="s">
        <v>4241</v>
      </c>
      <c r="I46" s="67"/>
      <c r="J46" s="67" t="s">
        <v>4242</v>
      </c>
      <c r="K46" s="72" t="s">
        <v>4243</v>
      </c>
      <c r="L46" s="61"/>
      <c r="M46" s="67"/>
      <c r="N46" s="67" t="s">
        <v>4244</v>
      </c>
      <c r="O46" s="61">
        <v>3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2">
      <c r="A47" s="61">
        <v>23</v>
      </c>
      <c r="B47" s="61" t="s">
        <v>3968</v>
      </c>
      <c r="C47" s="201">
        <v>46</v>
      </c>
      <c r="D47" s="62" t="str">
        <f t="shared" si="0"/>
        <v>231246</v>
      </c>
      <c r="E47" s="202" t="s">
        <v>4245</v>
      </c>
      <c r="F47" s="67" t="s">
        <v>4246</v>
      </c>
      <c r="G47" s="67" t="s">
        <v>4137</v>
      </c>
      <c r="H47" s="67" t="s">
        <v>4247</v>
      </c>
      <c r="I47" s="67"/>
      <c r="J47" s="67" t="s">
        <v>4248</v>
      </c>
      <c r="K47" s="61" t="s">
        <v>4249</v>
      </c>
      <c r="L47" s="61"/>
      <c r="M47" s="67"/>
      <c r="N47" s="67"/>
      <c r="O47" s="61">
        <v>6</v>
      </c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2">
      <c r="A48" s="61">
        <v>23</v>
      </c>
      <c r="B48" s="61" t="s">
        <v>3968</v>
      </c>
      <c r="C48" s="201">
        <v>47</v>
      </c>
      <c r="D48" s="62" t="str">
        <f t="shared" si="0"/>
        <v>231247</v>
      </c>
      <c r="E48" s="202" t="s">
        <v>4250</v>
      </c>
      <c r="F48" s="67" t="s">
        <v>4251</v>
      </c>
      <c r="G48" s="67" t="s">
        <v>4127</v>
      </c>
      <c r="H48" s="67" t="s">
        <v>4252</v>
      </c>
      <c r="I48" s="67" t="s">
        <v>4253</v>
      </c>
      <c r="J48" s="207"/>
      <c r="K48" s="61" t="s">
        <v>4254</v>
      </c>
      <c r="L48" s="61"/>
      <c r="M48" s="67"/>
      <c r="N48" s="77" t="s">
        <v>4255</v>
      </c>
      <c r="O48" s="61">
        <v>3</v>
      </c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2">
      <c r="A49" s="61">
        <v>23</v>
      </c>
      <c r="B49" s="61" t="s">
        <v>3968</v>
      </c>
      <c r="C49" s="201">
        <v>48</v>
      </c>
      <c r="D49" s="62" t="str">
        <f t="shared" si="0"/>
        <v>231248</v>
      </c>
      <c r="E49" s="202" t="s">
        <v>4256</v>
      </c>
      <c r="F49" s="67" t="s">
        <v>4257</v>
      </c>
      <c r="G49" s="67" t="s">
        <v>4137</v>
      </c>
      <c r="H49" s="67" t="s">
        <v>4258</v>
      </c>
      <c r="I49" s="67"/>
      <c r="J49" s="67" t="s">
        <v>4259</v>
      </c>
      <c r="K49" s="72" t="s">
        <v>4260</v>
      </c>
      <c r="L49" s="61"/>
      <c r="M49" s="67"/>
      <c r="N49" s="67"/>
      <c r="O49" s="61">
        <v>3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2">
      <c r="A50" s="61">
        <v>23</v>
      </c>
      <c r="B50" s="61" t="s">
        <v>3968</v>
      </c>
      <c r="C50" s="201">
        <v>49</v>
      </c>
      <c r="D50" s="62" t="str">
        <f t="shared" si="0"/>
        <v>231249</v>
      </c>
      <c r="E50" s="202" t="s">
        <v>4261</v>
      </c>
      <c r="F50" s="67" t="s">
        <v>4262</v>
      </c>
      <c r="G50" s="67" t="s">
        <v>4137</v>
      </c>
      <c r="H50" s="67" t="s">
        <v>4263</v>
      </c>
      <c r="I50" s="67"/>
      <c r="J50" s="67" t="s">
        <v>4264</v>
      </c>
      <c r="K50" s="72" t="s">
        <v>4265</v>
      </c>
      <c r="L50" s="61"/>
      <c r="M50" s="67"/>
      <c r="N50" s="67"/>
      <c r="O50" s="61">
        <v>4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2">
      <c r="A51" s="61">
        <v>23</v>
      </c>
      <c r="B51" s="61" t="s">
        <v>3968</v>
      </c>
      <c r="C51" s="201">
        <v>50</v>
      </c>
      <c r="D51" s="62" t="str">
        <f t="shared" si="0"/>
        <v>231250</v>
      </c>
      <c r="E51" s="202" t="s">
        <v>4266</v>
      </c>
      <c r="F51" s="67" t="s">
        <v>4267</v>
      </c>
      <c r="G51" s="67" t="s">
        <v>4137</v>
      </c>
      <c r="H51" s="67" t="s">
        <v>4268</v>
      </c>
      <c r="I51" s="67"/>
      <c r="J51" s="67" t="s">
        <v>4269</v>
      </c>
      <c r="K51" s="61" t="s">
        <v>4270</v>
      </c>
      <c r="L51" s="61"/>
      <c r="M51" s="67"/>
      <c r="N51" s="67"/>
      <c r="O51" s="61">
        <v>13</v>
      </c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2">
      <c r="A52" s="61">
        <v>23</v>
      </c>
      <c r="B52" s="61" t="s">
        <v>3968</v>
      </c>
      <c r="C52" s="201">
        <v>51</v>
      </c>
      <c r="D52" s="62" t="str">
        <f t="shared" si="0"/>
        <v>231251</v>
      </c>
      <c r="E52" s="202" t="s">
        <v>4271</v>
      </c>
      <c r="F52" s="67" t="s">
        <v>4272</v>
      </c>
      <c r="G52" s="67" t="s">
        <v>4143</v>
      </c>
      <c r="H52" s="67" t="s">
        <v>4273</v>
      </c>
      <c r="I52" s="67" t="s">
        <v>4274</v>
      </c>
      <c r="J52" s="67"/>
      <c r="K52" s="61">
        <v>87745777242</v>
      </c>
      <c r="L52" s="61"/>
      <c r="M52" s="67"/>
      <c r="N52" s="67" t="s">
        <v>4275</v>
      </c>
      <c r="O52" s="61">
        <v>6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2">
      <c r="A53" s="61">
        <v>23</v>
      </c>
      <c r="B53" s="61" t="s">
        <v>3968</v>
      </c>
      <c r="C53" s="201">
        <v>52</v>
      </c>
      <c r="D53" s="62" t="str">
        <f t="shared" si="0"/>
        <v>231252</v>
      </c>
      <c r="E53" s="202" t="s">
        <v>4276</v>
      </c>
      <c r="F53" s="67" t="s">
        <v>4277</v>
      </c>
      <c r="G53" s="67" t="s">
        <v>4127</v>
      </c>
      <c r="H53" s="67" t="s">
        <v>4278</v>
      </c>
      <c r="I53" s="67" t="s">
        <v>4279</v>
      </c>
      <c r="J53" s="67"/>
      <c r="K53" s="61">
        <v>87700214794</v>
      </c>
      <c r="L53" s="61"/>
      <c r="M53" s="67"/>
      <c r="N53" s="67" t="s">
        <v>4280</v>
      </c>
      <c r="O53" s="61">
        <v>4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2">
      <c r="A54" s="61">
        <v>23</v>
      </c>
      <c r="B54" s="61" t="s">
        <v>3968</v>
      </c>
      <c r="C54" s="201">
        <v>53</v>
      </c>
      <c r="D54" s="62" t="str">
        <f t="shared" si="0"/>
        <v>231253</v>
      </c>
      <c r="E54" s="202" t="s">
        <v>4281</v>
      </c>
      <c r="F54" s="67" t="s">
        <v>4282</v>
      </c>
      <c r="G54" s="67" t="s">
        <v>4143</v>
      </c>
      <c r="H54" s="67" t="s">
        <v>4283</v>
      </c>
      <c r="I54" s="67" t="s">
        <v>4284</v>
      </c>
      <c r="J54" s="67"/>
      <c r="K54" s="61">
        <v>85785053307</v>
      </c>
      <c r="L54" s="61"/>
      <c r="M54" s="67"/>
      <c r="N54" s="67" t="s">
        <v>4285</v>
      </c>
      <c r="O54" s="61">
        <v>3</v>
      </c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2">
      <c r="A55" s="61">
        <v>23</v>
      </c>
      <c r="B55" s="61" t="s">
        <v>3968</v>
      </c>
      <c r="C55" s="201">
        <v>54</v>
      </c>
      <c r="D55" s="62" t="str">
        <f t="shared" si="0"/>
        <v>231254</v>
      </c>
      <c r="E55" s="202" t="s">
        <v>4286</v>
      </c>
      <c r="F55" s="67" t="s">
        <v>4287</v>
      </c>
      <c r="G55" s="67" t="s">
        <v>4137</v>
      </c>
      <c r="H55" s="67" t="s">
        <v>4288</v>
      </c>
      <c r="I55" s="67" t="s">
        <v>4289</v>
      </c>
      <c r="J55" s="67"/>
      <c r="K55" s="61">
        <v>87858092638</v>
      </c>
      <c r="L55" s="61"/>
      <c r="M55" s="67"/>
      <c r="N55" s="67" t="s">
        <v>4290</v>
      </c>
      <c r="O55" s="61">
        <v>1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2">
      <c r="A56" s="61">
        <v>23</v>
      </c>
      <c r="B56" s="61" t="s">
        <v>3968</v>
      </c>
      <c r="C56" s="201">
        <v>55</v>
      </c>
      <c r="D56" s="62" t="str">
        <f t="shared" si="0"/>
        <v>231255</v>
      </c>
      <c r="E56" s="202" t="s">
        <v>4291</v>
      </c>
      <c r="F56" s="67" t="s">
        <v>4292</v>
      </c>
      <c r="G56" s="67" t="s">
        <v>4137</v>
      </c>
      <c r="H56" s="67" t="s">
        <v>4293</v>
      </c>
      <c r="I56" s="67" t="s">
        <v>4294</v>
      </c>
      <c r="J56" s="67" t="s">
        <v>4295</v>
      </c>
      <c r="K56" s="61">
        <v>87771244369</v>
      </c>
      <c r="L56" s="61">
        <v>81914500006</v>
      </c>
      <c r="M56" s="67"/>
      <c r="N56" s="67" t="s">
        <v>4296</v>
      </c>
      <c r="O56" s="61">
        <v>3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2">
      <c r="A57" s="61">
        <v>23</v>
      </c>
      <c r="B57" s="61" t="s">
        <v>3968</v>
      </c>
      <c r="C57" s="201">
        <v>56</v>
      </c>
      <c r="D57" s="62" t="str">
        <f t="shared" si="0"/>
        <v>231256</v>
      </c>
      <c r="E57" s="202" t="s">
        <v>4297</v>
      </c>
      <c r="F57" s="67" t="s">
        <v>4298</v>
      </c>
      <c r="G57" s="67" t="s">
        <v>4143</v>
      </c>
      <c r="H57" s="67" t="s">
        <v>4299</v>
      </c>
      <c r="I57" s="67" t="s">
        <v>4300</v>
      </c>
      <c r="J57" s="67"/>
      <c r="K57" s="61">
        <v>87784721052</v>
      </c>
      <c r="L57" s="61"/>
      <c r="M57" s="67"/>
      <c r="N57" s="67" t="s">
        <v>4301</v>
      </c>
      <c r="O57" s="61">
        <v>4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2">
      <c r="A58" s="61">
        <v>23</v>
      </c>
      <c r="B58" s="61" t="s">
        <v>3968</v>
      </c>
      <c r="C58" s="201">
        <v>57</v>
      </c>
      <c r="D58" s="62" t="str">
        <f t="shared" si="0"/>
        <v>231257</v>
      </c>
      <c r="E58" s="202" t="s">
        <v>4302</v>
      </c>
      <c r="F58" s="67" t="s">
        <v>4303</v>
      </c>
      <c r="G58" s="67" t="s">
        <v>4143</v>
      </c>
      <c r="H58" s="67" t="s">
        <v>4304</v>
      </c>
      <c r="I58" s="67" t="s">
        <v>4305</v>
      </c>
      <c r="J58" s="67"/>
      <c r="K58" s="61">
        <v>85853613951</v>
      </c>
      <c r="L58" s="61"/>
      <c r="M58" s="67"/>
      <c r="N58" s="67" t="s">
        <v>4306</v>
      </c>
      <c r="O58" s="61">
        <v>15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2">
      <c r="A59" s="61">
        <v>23</v>
      </c>
      <c r="B59" s="61" t="s">
        <v>3968</v>
      </c>
      <c r="C59" s="201">
        <v>58</v>
      </c>
      <c r="D59" s="62" t="str">
        <f t="shared" si="0"/>
        <v>231258</v>
      </c>
      <c r="E59" s="202" t="s">
        <v>4307</v>
      </c>
      <c r="F59" s="67" t="s">
        <v>4308</v>
      </c>
      <c r="G59" s="67" t="s">
        <v>4127</v>
      </c>
      <c r="H59" s="67" t="s">
        <v>4309</v>
      </c>
      <c r="I59" s="67" t="s">
        <v>4310</v>
      </c>
      <c r="J59" s="67"/>
      <c r="K59" s="61">
        <v>85748562153</v>
      </c>
      <c r="L59" s="61"/>
      <c r="M59" s="67"/>
      <c r="N59" s="67"/>
      <c r="O59" s="61">
        <v>2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2">
      <c r="A60" s="61">
        <v>23</v>
      </c>
      <c r="B60" s="61" t="s">
        <v>3968</v>
      </c>
      <c r="C60" s="201">
        <v>59</v>
      </c>
      <c r="D60" s="62" t="str">
        <f t="shared" si="0"/>
        <v>231259</v>
      </c>
      <c r="E60" s="202" t="s">
        <v>4311</v>
      </c>
      <c r="F60" s="67" t="s">
        <v>4312</v>
      </c>
      <c r="G60" s="67" t="s">
        <v>4143</v>
      </c>
      <c r="H60" s="67" t="s">
        <v>4313</v>
      </c>
      <c r="I60" s="67" t="s">
        <v>4314</v>
      </c>
      <c r="J60" s="67"/>
      <c r="K60" s="61">
        <v>85336296526</v>
      </c>
      <c r="L60" s="61"/>
      <c r="M60" s="67"/>
      <c r="N60" s="67" t="s">
        <v>4315</v>
      </c>
      <c r="O60" s="61">
        <v>3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2">
      <c r="A61" s="61">
        <v>23</v>
      </c>
      <c r="B61" s="61" t="s">
        <v>3968</v>
      </c>
      <c r="C61" s="201">
        <v>60</v>
      </c>
      <c r="D61" s="62" t="str">
        <f t="shared" si="0"/>
        <v>231260</v>
      </c>
      <c r="E61" s="202" t="s">
        <v>4316</v>
      </c>
      <c r="F61" s="67" t="s">
        <v>4317</v>
      </c>
      <c r="G61" s="67" t="s">
        <v>4137</v>
      </c>
      <c r="H61" s="67" t="s">
        <v>4318</v>
      </c>
      <c r="I61" s="67" t="s">
        <v>4319</v>
      </c>
      <c r="J61" s="67" t="s">
        <v>4320</v>
      </c>
      <c r="K61" s="61">
        <v>81918436644</v>
      </c>
      <c r="L61" s="61">
        <v>82338657624</v>
      </c>
      <c r="M61" s="67"/>
      <c r="N61" s="67" t="s">
        <v>4321</v>
      </c>
      <c r="O61" s="61">
        <v>10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2">
      <c r="A62" s="61">
        <v>23</v>
      </c>
      <c r="B62" s="61" t="s">
        <v>3968</v>
      </c>
      <c r="C62" s="201">
        <v>61</v>
      </c>
      <c r="D62" s="62" t="str">
        <f t="shared" si="0"/>
        <v>231261</v>
      </c>
      <c r="E62" s="202" t="s">
        <v>4322</v>
      </c>
      <c r="F62" s="67" t="s">
        <v>4323</v>
      </c>
      <c r="G62" s="67" t="s">
        <v>4127</v>
      </c>
      <c r="H62" s="67" t="s">
        <v>4324</v>
      </c>
      <c r="I62" s="75" t="s">
        <v>4325</v>
      </c>
      <c r="J62" s="67"/>
      <c r="K62" s="76">
        <v>85645311160</v>
      </c>
      <c r="L62" s="61"/>
      <c r="M62" s="67"/>
      <c r="N62" s="67" t="s">
        <v>4326</v>
      </c>
      <c r="O62" s="61">
        <v>5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2">
      <c r="A63" s="61">
        <v>23</v>
      </c>
      <c r="B63" s="61" t="s">
        <v>3968</v>
      </c>
      <c r="C63" s="201">
        <v>62</v>
      </c>
      <c r="D63" s="62" t="str">
        <f t="shared" si="0"/>
        <v>231262</v>
      </c>
      <c r="E63" s="202" t="s">
        <v>4327</v>
      </c>
      <c r="F63" s="67" t="s">
        <v>4328</v>
      </c>
      <c r="G63" s="67" t="s">
        <v>4159</v>
      </c>
      <c r="H63" s="67" t="s">
        <v>4329</v>
      </c>
      <c r="I63" s="67" t="s">
        <v>4330</v>
      </c>
      <c r="J63" s="67" t="s">
        <v>4331</v>
      </c>
      <c r="K63" s="61">
        <v>83833483422</v>
      </c>
      <c r="L63" s="72" t="s">
        <v>4332</v>
      </c>
      <c r="M63" s="67"/>
      <c r="N63" s="67" t="s">
        <v>4333</v>
      </c>
      <c r="O63" s="61">
        <v>7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2">
      <c r="A64" s="61">
        <v>23</v>
      </c>
      <c r="B64" s="61" t="s">
        <v>3968</v>
      </c>
      <c r="C64" s="201">
        <v>63</v>
      </c>
      <c r="D64" s="62" t="str">
        <f t="shared" si="0"/>
        <v>231263</v>
      </c>
      <c r="E64" s="202" t="s">
        <v>4334</v>
      </c>
      <c r="F64" s="67" t="s">
        <v>4335</v>
      </c>
      <c r="G64" s="67" t="s">
        <v>4137</v>
      </c>
      <c r="H64" s="67" t="s">
        <v>4336</v>
      </c>
      <c r="I64" s="67" t="s">
        <v>4337</v>
      </c>
      <c r="J64" s="67"/>
      <c r="K64" s="61">
        <v>85745461536</v>
      </c>
      <c r="L64" s="61"/>
      <c r="M64" s="67"/>
      <c r="N64" s="67" t="s">
        <v>4338</v>
      </c>
      <c r="O64" s="61">
        <v>6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2">
      <c r="A65" s="61">
        <v>23</v>
      </c>
      <c r="B65" s="61" t="s">
        <v>3968</v>
      </c>
      <c r="C65" s="201">
        <v>64</v>
      </c>
      <c r="D65" s="62" t="str">
        <f t="shared" si="0"/>
        <v>231264</v>
      </c>
      <c r="E65" s="202" t="s">
        <v>4339</v>
      </c>
      <c r="F65" s="67" t="s">
        <v>4340</v>
      </c>
      <c r="G65" s="67" t="s">
        <v>4137</v>
      </c>
      <c r="H65" s="67" t="s">
        <v>4341</v>
      </c>
      <c r="I65" s="67" t="s">
        <v>4342</v>
      </c>
      <c r="J65" s="67"/>
      <c r="K65" s="61">
        <v>85233358559</v>
      </c>
      <c r="L65" s="61"/>
      <c r="M65" s="67"/>
      <c r="N65" s="67" t="s">
        <v>4343</v>
      </c>
      <c r="O65" s="61">
        <v>17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2">
      <c r="A66" s="61">
        <v>23</v>
      </c>
      <c r="B66" s="61" t="s">
        <v>3968</v>
      </c>
      <c r="C66" s="201">
        <v>65</v>
      </c>
      <c r="D66" s="62" t="str">
        <f t="shared" si="0"/>
        <v>231265</v>
      </c>
      <c r="E66" s="202" t="s">
        <v>4344</v>
      </c>
      <c r="F66" s="67" t="s">
        <v>4345</v>
      </c>
      <c r="G66" s="67" t="s">
        <v>4137</v>
      </c>
      <c r="H66" s="67" t="s">
        <v>4346</v>
      </c>
      <c r="I66" s="67" t="s">
        <v>4344</v>
      </c>
      <c r="J66" s="67"/>
      <c r="K66" s="61">
        <v>85953823211</v>
      </c>
      <c r="L66" s="61"/>
      <c r="M66" s="67"/>
      <c r="N66" s="67" t="s">
        <v>4347</v>
      </c>
      <c r="O66" s="61">
        <v>8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2">
      <c r="A67" s="61">
        <v>23</v>
      </c>
      <c r="B67" s="61" t="s">
        <v>3968</v>
      </c>
      <c r="C67" s="201">
        <v>66</v>
      </c>
      <c r="D67" s="62" t="str">
        <f t="shared" si="0"/>
        <v>231266</v>
      </c>
      <c r="E67" s="202" t="s">
        <v>4348</v>
      </c>
      <c r="F67" s="67" t="s">
        <v>4349</v>
      </c>
      <c r="G67" s="67" t="s">
        <v>4137</v>
      </c>
      <c r="H67" s="67" t="s">
        <v>4350</v>
      </c>
      <c r="I67" s="67" t="s">
        <v>4351</v>
      </c>
      <c r="J67" s="67"/>
      <c r="K67" s="61">
        <v>81916634124</v>
      </c>
      <c r="L67" s="61"/>
      <c r="M67" s="67"/>
      <c r="N67" s="67" t="s">
        <v>4352</v>
      </c>
      <c r="O67" s="61">
        <v>12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2">
      <c r="A68" s="61">
        <v>23</v>
      </c>
      <c r="B68" s="61" t="s">
        <v>3968</v>
      </c>
      <c r="C68" s="201">
        <v>67</v>
      </c>
      <c r="D68" s="62" t="str">
        <f t="shared" si="0"/>
        <v>231267</v>
      </c>
      <c r="E68" s="202" t="s">
        <v>4353</v>
      </c>
      <c r="F68" s="67" t="s">
        <v>4354</v>
      </c>
      <c r="G68" s="67" t="s">
        <v>4127</v>
      </c>
      <c r="H68" s="67" t="s">
        <v>4355</v>
      </c>
      <c r="I68" s="67" t="s">
        <v>4356</v>
      </c>
      <c r="J68" s="67"/>
      <c r="K68" s="61">
        <v>83835191152</v>
      </c>
      <c r="L68" s="61"/>
      <c r="M68" s="67"/>
      <c r="N68" s="67" t="s">
        <v>663</v>
      </c>
      <c r="O68" s="61">
        <v>4</v>
      </c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2">
      <c r="A69" s="61">
        <v>23</v>
      </c>
      <c r="B69" s="61" t="s">
        <v>3968</v>
      </c>
      <c r="C69" s="201">
        <v>68</v>
      </c>
      <c r="D69" s="62" t="str">
        <f t="shared" si="0"/>
        <v>231268</v>
      </c>
      <c r="E69" s="202" t="s">
        <v>4357</v>
      </c>
      <c r="F69" s="67" t="s">
        <v>4357</v>
      </c>
      <c r="G69" s="67" t="s">
        <v>4137</v>
      </c>
      <c r="H69" s="67" t="s">
        <v>4358</v>
      </c>
      <c r="I69" s="67" t="s">
        <v>4359</v>
      </c>
      <c r="J69" s="67"/>
      <c r="K69" s="61">
        <v>81944120458</v>
      </c>
      <c r="L69" s="61"/>
      <c r="M69" s="67"/>
      <c r="N69" s="67" t="s">
        <v>4360</v>
      </c>
      <c r="O69" s="61">
        <v>6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2">
      <c r="A70" s="61">
        <v>23</v>
      </c>
      <c r="B70" s="61" t="s">
        <v>3968</v>
      </c>
      <c r="C70" s="201">
        <v>69</v>
      </c>
      <c r="D70" s="62" t="str">
        <f t="shared" si="0"/>
        <v>231269</v>
      </c>
      <c r="E70" s="202" t="s">
        <v>4361</v>
      </c>
      <c r="F70" s="67" t="s">
        <v>4362</v>
      </c>
      <c r="G70" s="67" t="s">
        <v>4137</v>
      </c>
      <c r="H70" s="67" t="s">
        <v>1300</v>
      </c>
      <c r="I70" s="67" t="s">
        <v>4363</v>
      </c>
      <c r="J70" s="67"/>
      <c r="K70" s="61">
        <v>82140016300</v>
      </c>
      <c r="L70" s="61"/>
      <c r="M70" s="67"/>
      <c r="N70" s="67"/>
      <c r="O70" s="61">
        <v>3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2">
      <c r="A71" s="61">
        <v>23</v>
      </c>
      <c r="B71" s="61" t="s">
        <v>3968</v>
      </c>
      <c r="C71" s="201">
        <v>70</v>
      </c>
      <c r="D71" s="62" t="str">
        <f t="shared" si="0"/>
        <v>231270</v>
      </c>
      <c r="E71" s="202" t="s">
        <v>4364</v>
      </c>
      <c r="F71" s="67" t="s">
        <v>4365</v>
      </c>
      <c r="G71" s="67" t="s">
        <v>4127</v>
      </c>
      <c r="H71" s="67" t="s">
        <v>4366</v>
      </c>
      <c r="I71" s="67" t="s">
        <v>4367</v>
      </c>
      <c r="J71" s="67"/>
      <c r="K71" s="61">
        <v>87779082412</v>
      </c>
      <c r="L71" s="61"/>
      <c r="M71" s="67"/>
      <c r="N71" s="67" t="s">
        <v>4368</v>
      </c>
      <c r="O71" s="61">
        <v>3</v>
      </c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2">
      <c r="A72" s="61">
        <v>23</v>
      </c>
      <c r="B72" s="61" t="s">
        <v>3968</v>
      </c>
      <c r="C72" s="201">
        <v>71</v>
      </c>
      <c r="D72" s="62" t="str">
        <f t="shared" si="0"/>
        <v>231271</v>
      </c>
      <c r="E72" s="202" t="s">
        <v>4369</v>
      </c>
      <c r="F72" s="67" t="s">
        <v>4370</v>
      </c>
      <c r="G72" s="67" t="s">
        <v>4137</v>
      </c>
      <c r="H72" s="67" t="s">
        <v>4371</v>
      </c>
      <c r="I72" s="67" t="s">
        <v>4372</v>
      </c>
      <c r="J72" s="67"/>
      <c r="K72" s="61">
        <v>85936115536</v>
      </c>
      <c r="L72" s="61"/>
      <c r="M72" s="67"/>
      <c r="N72" s="67"/>
      <c r="O72" s="61">
        <v>5</v>
      </c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2">
      <c r="A73" s="61">
        <v>24</v>
      </c>
      <c r="B73" s="61" t="s">
        <v>3968</v>
      </c>
      <c r="C73" s="201">
        <v>72</v>
      </c>
      <c r="D73" s="62" t="str">
        <f t="shared" si="0"/>
        <v>241272</v>
      </c>
      <c r="E73" s="202" t="s">
        <v>4373</v>
      </c>
      <c r="F73" s="67" t="s">
        <v>4374</v>
      </c>
      <c r="G73" s="67" t="s">
        <v>4137</v>
      </c>
      <c r="H73" s="67" t="s">
        <v>4375</v>
      </c>
      <c r="I73" s="67" t="s">
        <v>4376</v>
      </c>
      <c r="J73" s="67"/>
      <c r="K73" s="61">
        <v>85335122737</v>
      </c>
      <c r="L73" s="61"/>
      <c r="M73" s="67"/>
      <c r="N73" s="67" t="s">
        <v>4377</v>
      </c>
      <c r="O73" s="61">
        <v>14</v>
      </c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2">
      <c r="A74" s="61">
        <v>24</v>
      </c>
      <c r="B74" s="61" t="s">
        <v>3968</v>
      </c>
      <c r="C74" s="201">
        <v>73</v>
      </c>
      <c r="D74" s="62" t="str">
        <f t="shared" si="0"/>
        <v>241273</v>
      </c>
      <c r="E74" s="202" t="s">
        <v>4378</v>
      </c>
      <c r="F74" s="67" t="s">
        <v>4379</v>
      </c>
      <c r="G74" s="67" t="s">
        <v>4127</v>
      </c>
      <c r="H74" s="67" t="s">
        <v>4380</v>
      </c>
      <c r="I74" s="67" t="s">
        <v>4381</v>
      </c>
      <c r="J74" s="67"/>
      <c r="K74" s="61" t="s">
        <v>4382</v>
      </c>
      <c r="L74" s="61"/>
      <c r="M74" s="67"/>
      <c r="N74" s="67" t="s">
        <v>4383</v>
      </c>
      <c r="O74" s="61">
        <v>5</v>
      </c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2">
      <c r="A75" s="61">
        <v>24</v>
      </c>
      <c r="B75" s="61" t="s">
        <v>3968</v>
      </c>
      <c r="C75" s="201">
        <v>74</v>
      </c>
      <c r="D75" s="62" t="str">
        <f t="shared" si="0"/>
        <v>241274</v>
      </c>
      <c r="E75" s="202" t="s">
        <v>4384</v>
      </c>
      <c r="F75" s="67" t="s">
        <v>4385</v>
      </c>
      <c r="G75" s="67" t="s">
        <v>4137</v>
      </c>
      <c r="H75" s="67" t="s">
        <v>4386</v>
      </c>
      <c r="I75" s="67" t="s">
        <v>4387</v>
      </c>
      <c r="J75" s="67"/>
      <c r="K75" s="61">
        <v>87816327070</v>
      </c>
      <c r="L75" s="61"/>
      <c r="M75" s="67"/>
      <c r="N75" s="67" t="s">
        <v>4388</v>
      </c>
      <c r="O75" s="61">
        <v>10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2">
      <c r="A76" s="61">
        <v>24</v>
      </c>
      <c r="B76" s="61" t="s">
        <v>3968</v>
      </c>
      <c r="C76" s="201">
        <v>75</v>
      </c>
      <c r="D76" s="62" t="str">
        <f t="shared" si="0"/>
        <v>241275</v>
      </c>
      <c r="E76" s="202" t="s">
        <v>4389</v>
      </c>
      <c r="F76" s="67" t="s">
        <v>4390</v>
      </c>
      <c r="G76" s="67" t="s">
        <v>4137</v>
      </c>
      <c r="H76" s="67" t="s">
        <v>4391</v>
      </c>
      <c r="I76" s="67" t="s">
        <v>4392</v>
      </c>
      <c r="J76" s="67"/>
      <c r="K76" s="61">
        <v>85330777893</v>
      </c>
      <c r="L76" s="61"/>
      <c r="M76" s="67"/>
      <c r="N76" s="67" t="s">
        <v>4393</v>
      </c>
      <c r="O76" s="61">
        <v>4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2">
      <c r="A77" s="61">
        <v>24</v>
      </c>
      <c r="B77" s="61" t="s">
        <v>3968</v>
      </c>
      <c r="C77" s="201">
        <v>76</v>
      </c>
      <c r="D77" s="62" t="str">
        <f t="shared" si="0"/>
        <v>241276</v>
      </c>
      <c r="E77" s="202" t="s">
        <v>4394</v>
      </c>
      <c r="F77" s="67" t="s">
        <v>4395</v>
      </c>
      <c r="G77" s="67" t="s">
        <v>4159</v>
      </c>
      <c r="H77" s="67" t="s">
        <v>4396</v>
      </c>
      <c r="I77" s="67" t="s">
        <v>4397</v>
      </c>
      <c r="J77" s="67"/>
      <c r="K77" s="61">
        <f>62877-8304-1383</f>
        <v>53190</v>
      </c>
      <c r="L77" s="61"/>
      <c r="M77" s="67"/>
      <c r="N77" s="67" t="s">
        <v>4398</v>
      </c>
      <c r="O77" s="61">
        <v>7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2">
      <c r="A78" s="61">
        <v>24</v>
      </c>
      <c r="B78" s="61" t="s">
        <v>3968</v>
      </c>
      <c r="C78" s="201">
        <v>77</v>
      </c>
      <c r="D78" s="62" t="str">
        <f t="shared" si="0"/>
        <v>241277</v>
      </c>
      <c r="E78" s="202" t="s">
        <v>4399</v>
      </c>
      <c r="F78" s="67" t="s">
        <v>4400</v>
      </c>
      <c r="G78" s="67" t="s">
        <v>4127</v>
      </c>
      <c r="H78" s="67" t="s">
        <v>4401</v>
      </c>
      <c r="I78" s="67" t="s">
        <v>4402</v>
      </c>
      <c r="J78" s="67"/>
      <c r="K78" s="61">
        <v>83110870515</v>
      </c>
      <c r="L78" s="61"/>
      <c r="M78" s="67"/>
      <c r="N78" s="67" t="s">
        <v>4403</v>
      </c>
      <c r="O78" s="61">
        <v>3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2">
      <c r="A79" s="61">
        <v>24</v>
      </c>
      <c r="B79" s="61" t="s">
        <v>3968</v>
      </c>
      <c r="C79" s="201">
        <v>78</v>
      </c>
      <c r="D79" s="62" t="str">
        <f t="shared" si="0"/>
        <v>241278</v>
      </c>
      <c r="E79" s="202" t="s">
        <v>4404</v>
      </c>
      <c r="F79" s="67" t="s">
        <v>4405</v>
      </c>
      <c r="G79" s="67" t="s">
        <v>4143</v>
      </c>
      <c r="H79" s="67" t="s">
        <v>4406</v>
      </c>
      <c r="I79" s="67" t="s">
        <v>4407</v>
      </c>
      <c r="J79" s="67"/>
      <c r="K79" s="61" t="s">
        <v>4408</v>
      </c>
      <c r="L79" s="61"/>
      <c r="M79" s="67"/>
      <c r="N79" s="67" t="s">
        <v>4409</v>
      </c>
      <c r="O79" s="61">
        <v>6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2">
      <c r="A80" s="61">
        <v>24</v>
      </c>
      <c r="B80" s="61" t="s">
        <v>3968</v>
      </c>
      <c r="C80" s="201">
        <v>79</v>
      </c>
      <c r="D80" s="62" t="str">
        <f t="shared" si="0"/>
        <v>241279</v>
      </c>
      <c r="E80" s="202" t="s">
        <v>4410</v>
      </c>
      <c r="F80" s="67" t="s">
        <v>4411</v>
      </c>
      <c r="G80" s="67" t="s">
        <v>4143</v>
      </c>
      <c r="H80" s="67" t="s">
        <v>4412</v>
      </c>
      <c r="I80" s="67" t="s">
        <v>4413</v>
      </c>
      <c r="J80" s="67"/>
      <c r="K80" s="61">
        <v>87886132824</v>
      </c>
      <c r="L80" s="61"/>
      <c r="M80" s="67"/>
      <c r="N80" s="67" t="s">
        <v>4414</v>
      </c>
      <c r="O80" s="61">
        <v>2</v>
      </c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2">
      <c r="A81" s="61">
        <v>24</v>
      </c>
      <c r="B81" s="61" t="s">
        <v>3968</v>
      </c>
      <c r="C81" s="201">
        <v>80</v>
      </c>
      <c r="D81" s="62" t="str">
        <f t="shared" si="0"/>
        <v>241280</v>
      </c>
      <c r="E81" s="202" t="s">
        <v>4415</v>
      </c>
      <c r="F81" s="67" t="s">
        <v>4416</v>
      </c>
      <c r="G81" s="67" t="s">
        <v>4137</v>
      </c>
      <c r="H81" s="67" t="s">
        <v>4417</v>
      </c>
      <c r="I81" s="67" t="s">
        <v>4418</v>
      </c>
      <c r="J81" s="67"/>
      <c r="K81" s="61" t="s">
        <v>4419</v>
      </c>
      <c r="L81" s="61"/>
      <c r="M81" s="67"/>
      <c r="N81" s="67" t="s">
        <v>4420</v>
      </c>
      <c r="O81" s="61">
        <v>4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2">
      <c r="A82" s="61">
        <v>24</v>
      </c>
      <c r="B82" s="61" t="s">
        <v>3968</v>
      </c>
      <c r="C82" s="201">
        <v>81</v>
      </c>
      <c r="D82" s="62" t="str">
        <f t="shared" si="0"/>
        <v>241281</v>
      </c>
      <c r="E82" s="202" t="s">
        <v>4421</v>
      </c>
      <c r="F82" s="67" t="s">
        <v>4422</v>
      </c>
      <c r="G82" s="67" t="s">
        <v>4127</v>
      </c>
      <c r="H82" s="67" t="s">
        <v>4423</v>
      </c>
      <c r="I82" s="67" t="s">
        <v>4424</v>
      </c>
      <c r="J82" s="75" t="s">
        <v>4425</v>
      </c>
      <c r="K82" s="61">
        <v>859106750568</v>
      </c>
      <c r="L82" s="76" t="s">
        <v>4426</v>
      </c>
      <c r="M82" s="67"/>
      <c r="N82" s="67" t="s">
        <v>4427</v>
      </c>
      <c r="O82" s="61">
        <v>10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2">
      <c r="A83" s="61">
        <v>24</v>
      </c>
      <c r="B83" s="61" t="s">
        <v>3968</v>
      </c>
      <c r="C83" s="201">
        <v>82</v>
      </c>
      <c r="D83" s="62" t="str">
        <f t="shared" si="0"/>
        <v>241282</v>
      </c>
      <c r="E83" s="202" t="s">
        <v>4428</v>
      </c>
      <c r="F83" s="67" t="s">
        <v>4429</v>
      </c>
      <c r="G83" s="67" t="s">
        <v>4127</v>
      </c>
      <c r="H83" s="67" t="s">
        <v>4430</v>
      </c>
      <c r="I83" s="67" t="s">
        <v>4431</v>
      </c>
      <c r="J83" s="67"/>
      <c r="K83" s="61">
        <v>82338910957</v>
      </c>
      <c r="L83" s="61"/>
      <c r="M83" s="67"/>
      <c r="N83" s="67" t="s">
        <v>4432</v>
      </c>
      <c r="O83" s="61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2">
      <c r="A84" s="61">
        <v>24</v>
      </c>
      <c r="B84" s="61">
        <v>12</v>
      </c>
      <c r="C84" s="201">
        <v>83</v>
      </c>
      <c r="D84" s="62" t="str">
        <f t="shared" si="0"/>
        <v>241283</v>
      </c>
      <c r="E84" s="75" t="s">
        <v>4433</v>
      </c>
      <c r="F84" s="75" t="s">
        <v>4434</v>
      </c>
      <c r="G84" s="75" t="s">
        <v>4159</v>
      </c>
      <c r="H84" s="75" t="s">
        <v>4435</v>
      </c>
      <c r="I84" s="75" t="s">
        <v>4436</v>
      </c>
      <c r="J84" s="208" t="s">
        <v>4437</v>
      </c>
      <c r="K84" s="76">
        <v>81935216411</v>
      </c>
      <c r="L84" s="61">
        <v>87873848197</v>
      </c>
      <c r="M84" s="67"/>
      <c r="N84" s="67" t="s">
        <v>4438</v>
      </c>
      <c r="O84" s="76">
        <v>2</v>
      </c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2">
      <c r="A85" s="61">
        <v>24</v>
      </c>
      <c r="B85" s="61">
        <v>12</v>
      </c>
      <c r="C85" s="201">
        <v>84</v>
      </c>
      <c r="D85" s="62" t="str">
        <f t="shared" si="0"/>
        <v>241284</v>
      </c>
      <c r="E85" s="75" t="s">
        <v>4439</v>
      </c>
      <c r="F85" s="75" t="s">
        <v>4440</v>
      </c>
      <c r="G85" s="75" t="s">
        <v>4127</v>
      </c>
      <c r="H85" s="75" t="s">
        <v>4441</v>
      </c>
      <c r="I85" s="75" t="s">
        <v>4442</v>
      </c>
      <c r="J85" s="67"/>
      <c r="K85" s="76">
        <v>87766622741</v>
      </c>
      <c r="L85" s="61"/>
      <c r="M85" s="67"/>
      <c r="N85" s="77" t="s">
        <v>4443</v>
      </c>
      <c r="O85" s="76">
        <v>4</v>
      </c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2">
      <c r="A86" s="61">
        <v>24</v>
      </c>
      <c r="B86" s="61">
        <v>12</v>
      </c>
      <c r="C86" s="201">
        <v>85</v>
      </c>
      <c r="D86" s="62" t="str">
        <f t="shared" si="0"/>
        <v>241285</v>
      </c>
      <c r="E86" s="75" t="s">
        <v>4444</v>
      </c>
      <c r="F86" s="75" t="s">
        <v>4444</v>
      </c>
      <c r="G86" s="75" t="s">
        <v>4137</v>
      </c>
      <c r="H86" s="75" t="s">
        <v>4445</v>
      </c>
      <c r="I86" s="75" t="s">
        <v>4446</v>
      </c>
      <c r="J86" s="67"/>
      <c r="K86" s="76">
        <v>85784188704</v>
      </c>
      <c r="L86" s="61"/>
      <c r="M86" s="67"/>
      <c r="N86" s="77" t="s">
        <v>4447</v>
      </c>
      <c r="O86" s="76">
        <v>6</v>
      </c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2">
      <c r="A87" s="61">
        <v>24</v>
      </c>
      <c r="B87" s="61">
        <v>12</v>
      </c>
      <c r="C87" s="201">
        <v>86</v>
      </c>
      <c r="D87" s="62" t="str">
        <f t="shared" si="0"/>
        <v>241286</v>
      </c>
      <c r="E87" s="75" t="s">
        <v>4448</v>
      </c>
      <c r="F87" s="75" t="s">
        <v>4449</v>
      </c>
      <c r="G87" s="75" t="s">
        <v>4159</v>
      </c>
      <c r="H87" s="75" t="s">
        <v>4450</v>
      </c>
      <c r="I87" s="75" t="s">
        <v>4451</v>
      </c>
      <c r="J87" s="75" t="s">
        <v>4452</v>
      </c>
      <c r="K87" s="76">
        <v>87794737559</v>
      </c>
      <c r="L87" s="76">
        <v>85960142015</v>
      </c>
      <c r="M87" s="67"/>
      <c r="N87" s="77" t="s">
        <v>4453</v>
      </c>
      <c r="O87" s="76">
        <v>5</v>
      </c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2">
      <c r="A88" s="61">
        <v>24</v>
      </c>
      <c r="B88" s="61">
        <v>12</v>
      </c>
      <c r="C88" s="201">
        <v>87</v>
      </c>
      <c r="D88" s="62" t="str">
        <f t="shared" si="0"/>
        <v>241287</v>
      </c>
      <c r="E88" s="75" t="s">
        <v>4454</v>
      </c>
      <c r="F88" s="75" t="s">
        <v>4455</v>
      </c>
      <c r="G88" s="75" t="s">
        <v>4159</v>
      </c>
      <c r="H88" s="75" t="s">
        <v>4456</v>
      </c>
      <c r="I88" s="75" t="s">
        <v>4457</v>
      </c>
      <c r="J88" s="67"/>
      <c r="K88" s="76">
        <v>81807052884</v>
      </c>
      <c r="L88" s="61"/>
      <c r="M88" s="67"/>
      <c r="N88" s="75"/>
      <c r="O88" s="76">
        <v>5</v>
      </c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2">
      <c r="A89" s="61">
        <v>24</v>
      </c>
      <c r="B89" s="61">
        <v>12</v>
      </c>
      <c r="C89" s="201">
        <v>88</v>
      </c>
      <c r="D89" s="62" t="str">
        <f t="shared" si="0"/>
        <v>241288</v>
      </c>
      <c r="E89" s="75" t="s">
        <v>4458</v>
      </c>
      <c r="F89" s="75" t="s">
        <v>4459</v>
      </c>
      <c r="G89" s="75" t="s">
        <v>4137</v>
      </c>
      <c r="H89" s="75" t="s">
        <v>4460</v>
      </c>
      <c r="I89" s="75" t="s">
        <v>4461</v>
      </c>
      <c r="J89" s="67"/>
      <c r="K89" s="76">
        <v>87847274249</v>
      </c>
      <c r="L89" s="61"/>
      <c r="M89" s="67"/>
      <c r="N89" s="209" t="s">
        <v>4462</v>
      </c>
      <c r="O89" s="76">
        <v>5</v>
      </c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2">
      <c r="A90" s="61">
        <v>24</v>
      </c>
      <c r="B90" s="61">
        <v>12</v>
      </c>
      <c r="C90" s="201">
        <v>89</v>
      </c>
      <c r="D90" s="62" t="str">
        <f t="shared" si="0"/>
        <v>241289</v>
      </c>
      <c r="E90" s="207" t="s">
        <v>4463</v>
      </c>
      <c r="F90" s="75" t="s">
        <v>4464</v>
      </c>
      <c r="G90" s="75" t="s">
        <v>4159</v>
      </c>
      <c r="H90" s="75" t="s">
        <v>4465</v>
      </c>
      <c r="I90" s="75" t="s">
        <v>4466</v>
      </c>
      <c r="J90" s="67"/>
      <c r="K90" s="76">
        <v>81999093224</v>
      </c>
      <c r="L90" s="61"/>
      <c r="M90" s="67"/>
      <c r="N90" s="75"/>
      <c r="O90" s="7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2">
      <c r="A91" s="61">
        <v>24</v>
      </c>
      <c r="B91" s="61">
        <v>12</v>
      </c>
      <c r="C91" s="201">
        <v>90</v>
      </c>
      <c r="D91" s="62" t="str">
        <f t="shared" si="0"/>
        <v>241290</v>
      </c>
      <c r="E91" s="75" t="s">
        <v>4467</v>
      </c>
      <c r="F91" s="75" t="s">
        <v>4468</v>
      </c>
      <c r="G91" s="75" t="s">
        <v>4143</v>
      </c>
      <c r="H91" s="75" t="s">
        <v>4469</v>
      </c>
      <c r="I91" s="75" t="s">
        <v>4470</v>
      </c>
      <c r="J91" s="67"/>
      <c r="K91" s="76">
        <v>82228782018</v>
      </c>
      <c r="L91" s="61"/>
      <c r="M91" s="67"/>
      <c r="N91" s="77" t="s">
        <v>4471</v>
      </c>
      <c r="O91" s="76">
        <v>2</v>
      </c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2">
      <c r="A92" s="61">
        <v>24</v>
      </c>
      <c r="B92" s="61">
        <v>12</v>
      </c>
      <c r="C92" s="201">
        <v>91</v>
      </c>
      <c r="D92" s="62" t="str">
        <f t="shared" si="0"/>
        <v>241291</v>
      </c>
      <c r="E92" s="75" t="s">
        <v>4472</v>
      </c>
      <c r="F92" s="75" t="s">
        <v>4473</v>
      </c>
      <c r="G92" s="75" t="s">
        <v>4159</v>
      </c>
      <c r="H92" s="75" t="s">
        <v>4474</v>
      </c>
      <c r="I92" s="75" t="s">
        <v>4475</v>
      </c>
      <c r="J92" s="67"/>
      <c r="K92" s="76">
        <v>81717594886</v>
      </c>
      <c r="L92" s="61"/>
      <c r="M92" s="67"/>
      <c r="N92" s="77" t="s">
        <v>4476</v>
      </c>
      <c r="O92" s="76">
        <v>4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2">
      <c r="A93" s="61">
        <v>24</v>
      </c>
      <c r="B93" s="61">
        <v>12</v>
      </c>
      <c r="C93" s="201">
        <v>92</v>
      </c>
      <c r="D93" s="62" t="str">
        <f t="shared" si="0"/>
        <v>241292</v>
      </c>
      <c r="E93" s="75" t="s">
        <v>4477</v>
      </c>
      <c r="F93" s="75" t="s">
        <v>4478</v>
      </c>
      <c r="G93" s="75" t="s">
        <v>4143</v>
      </c>
      <c r="H93" s="75" t="s">
        <v>4479</v>
      </c>
      <c r="I93" s="75" t="s">
        <v>4480</v>
      </c>
      <c r="J93" s="67"/>
      <c r="K93" s="76">
        <v>87840604426</v>
      </c>
      <c r="L93" s="61"/>
      <c r="M93" s="67"/>
      <c r="N93" s="75" t="s">
        <v>4481</v>
      </c>
      <c r="O93" s="7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2">
      <c r="A94" s="61">
        <v>24</v>
      </c>
      <c r="B94" s="61">
        <v>12</v>
      </c>
      <c r="C94" s="201">
        <v>93</v>
      </c>
      <c r="D94" s="62" t="str">
        <f t="shared" si="0"/>
        <v>241293</v>
      </c>
      <c r="E94" s="75" t="s">
        <v>4482</v>
      </c>
      <c r="F94" s="75" t="s">
        <v>4482</v>
      </c>
      <c r="G94" s="75" t="s">
        <v>4137</v>
      </c>
      <c r="H94" s="75" t="s">
        <v>4483</v>
      </c>
      <c r="I94" s="75" t="s">
        <v>4484</v>
      </c>
      <c r="J94" s="67"/>
      <c r="K94" s="76">
        <v>81333057622</v>
      </c>
      <c r="L94" s="61"/>
      <c r="M94" s="67"/>
      <c r="N94" s="77" t="s">
        <v>4485</v>
      </c>
      <c r="O94" s="76">
        <v>5</v>
      </c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2">
      <c r="A95" s="61">
        <v>24</v>
      </c>
      <c r="B95" s="61">
        <v>12</v>
      </c>
      <c r="C95" s="201">
        <v>94</v>
      </c>
      <c r="D95" s="62" t="str">
        <f t="shared" si="0"/>
        <v>241294</v>
      </c>
      <c r="E95" s="75" t="s">
        <v>4486</v>
      </c>
      <c r="F95" s="75" t="s">
        <v>4487</v>
      </c>
      <c r="G95" s="75" t="s">
        <v>4127</v>
      </c>
      <c r="H95" s="75" t="s">
        <v>4488</v>
      </c>
      <c r="I95" s="75" t="s">
        <v>4489</v>
      </c>
      <c r="J95" s="67"/>
      <c r="K95" s="76">
        <v>87854540190</v>
      </c>
      <c r="L95" s="61"/>
      <c r="M95" s="67"/>
      <c r="N95" s="77" t="s">
        <v>4490</v>
      </c>
      <c r="O95" s="76">
        <v>5</v>
      </c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2">
      <c r="A96" s="61">
        <v>24</v>
      </c>
      <c r="B96" s="61">
        <v>12</v>
      </c>
      <c r="C96" s="201">
        <v>95</v>
      </c>
      <c r="D96" s="62" t="str">
        <f t="shared" si="0"/>
        <v>241295</v>
      </c>
      <c r="E96" s="75" t="s">
        <v>4491</v>
      </c>
      <c r="F96" s="75" t="s">
        <v>4492</v>
      </c>
      <c r="G96" s="75" t="s">
        <v>4159</v>
      </c>
      <c r="H96" s="75" t="s">
        <v>4493</v>
      </c>
      <c r="I96" s="75" t="s">
        <v>4424</v>
      </c>
      <c r="J96" s="67"/>
      <c r="K96" s="76">
        <v>85232779886</v>
      </c>
      <c r="L96" s="61"/>
      <c r="M96" s="67"/>
      <c r="N96" s="77" t="s">
        <v>4494</v>
      </c>
      <c r="O96" s="76">
        <v>5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2">
      <c r="A97" s="61">
        <v>24</v>
      </c>
      <c r="B97" s="61">
        <v>12</v>
      </c>
      <c r="C97" s="201">
        <v>96</v>
      </c>
      <c r="D97" s="62" t="str">
        <f t="shared" si="0"/>
        <v>241296</v>
      </c>
      <c r="E97" s="75" t="s">
        <v>4495</v>
      </c>
      <c r="F97" s="75" t="s">
        <v>4496</v>
      </c>
      <c r="G97" s="75" t="s">
        <v>4143</v>
      </c>
      <c r="H97" s="75" t="s">
        <v>4497</v>
      </c>
      <c r="I97" s="75" t="s">
        <v>4498</v>
      </c>
      <c r="J97" s="67"/>
      <c r="K97" s="76">
        <v>87886390497</v>
      </c>
      <c r="L97" s="61"/>
      <c r="M97" s="67"/>
      <c r="N97" s="75" t="s">
        <v>4499</v>
      </c>
      <c r="O97" s="76">
        <v>4</v>
      </c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2">
      <c r="A98" s="61">
        <v>24</v>
      </c>
      <c r="B98" s="61">
        <v>12</v>
      </c>
      <c r="C98" s="201">
        <v>97</v>
      </c>
      <c r="D98" s="62" t="str">
        <f t="shared" si="0"/>
        <v>241297</v>
      </c>
      <c r="E98" s="75" t="s">
        <v>4500</v>
      </c>
      <c r="F98" s="75" t="s">
        <v>4501</v>
      </c>
      <c r="G98" s="75" t="s">
        <v>4143</v>
      </c>
      <c r="H98" s="75" t="s">
        <v>4502</v>
      </c>
      <c r="I98" s="75" t="s">
        <v>4503</v>
      </c>
      <c r="J98" s="67"/>
      <c r="K98" s="76">
        <v>87777000373</v>
      </c>
      <c r="L98" s="61"/>
      <c r="M98" s="67"/>
      <c r="N98" s="75" t="s">
        <v>4504</v>
      </c>
      <c r="O98" s="76">
        <v>5</v>
      </c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2">
      <c r="A99" s="61">
        <v>24</v>
      </c>
      <c r="B99" s="61">
        <v>12</v>
      </c>
      <c r="C99" s="201">
        <v>98</v>
      </c>
      <c r="D99" s="62" t="str">
        <f t="shared" si="0"/>
        <v>241298</v>
      </c>
      <c r="E99" s="75" t="s">
        <v>4505</v>
      </c>
      <c r="F99" s="75" t="s">
        <v>4506</v>
      </c>
      <c r="G99" s="75" t="s">
        <v>4159</v>
      </c>
      <c r="H99" s="75" t="s">
        <v>4507</v>
      </c>
      <c r="I99" s="75" t="s">
        <v>4508</v>
      </c>
      <c r="J99" s="67"/>
      <c r="K99" s="76">
        <v>87859114030</v>
      </c>
      <c r="L99" s="61"/>
      <c r="M99" s="67"/>
      <c r="N99" s="77" t="s">
        <v>4509</v>
      </c>
      <c r="O99" s="76">
        <v>5</v>
      </c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2">
      <c r="A100" s="61">
        <v>24</v>
      </c>
      <c r="B100" s="61">
        <v>12</v>
      </c>
      <c r="C100" s="201">
        <v>99</v>
      </c>
      <c r="D100" s="62" t="str">
        <f t="shared" si="0"/>
        <v>241299</v>
      </c>
      <c r="E100" s="75" t="s">
        <v>4510</v>
      </c>
      <c r="F100" s="75" t="s">
        <v>4511</v>
      </c>
      <c r="G100" s="75" t="s">
        <v>4143</v>
      </c>
      <c r="H100" s="75" t="s">
        <v>4512</v>
      </c>
      <c r="I100" s="75" t="s">
        <v>4513</v>
      </c>
      <c r="J100" s="67"/>
      <c r="K100" s="76">
        <v>85176771968</v>
      </c>
      <c r="L100" s="61"/>
      <c r="M100" s="67"/>
      <c r="N100" s="75"/>
      <c r="O100" s="76">
        <v>5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2">
      <c r="A101" s="61">
        <v>24</v>
      </c>
      <c r="B101" s="61">
        <v>12</v>
      </c>
      <c r="C101" s="201">
        <v>100</v>
      </c>
      <c r="D101" s="62" t="str">
        <f t="shared" si="0"/>
        <v>2412100</v>
      </c>
      <c r="E101" s="75" t="s">
        <v>4514</v>
      </c>
      <c r="F101" s="75" t="s">
        <v>4515</v>
      </c>
      <c r="G101" s="75" t="s">
        <v>4137</v>
      </c>
      <c r="H101" s="75" t="s">
        <v>4516</v>
      </c>
      <c r="I101" s="75" t="s">
        <v>4289</v>
      </c>
      <c r="J101" s="67"/>
      <c r="K101" s="76">
        <v>87858092638</v>
      </c>
      <c r="L101" s="61"/>
      <c r="M101" s="67"/>
      <c r="N101" s="77" t="s">
        <v>4515</v>
      </c>
      <c r="O101" s="76">
        <v>4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2">
      <c r="A102" s="61">
        <v>24</v>
      </c>
      <c r="B102" s="61">
        <v>12</v>
      </c>
      <c r="C102" s="201">
        <v>101</v>
      </c>
      <c r="D102" s="62" t="str">
        <f t="shared" si="0"/>
        <v>2412101</v>
      </c>
      <c r="E102" s="75" t="s">
        <v>4517</v>
      </c>
      <c r="F102" s="75" t="s">
        <v>4518</v>
      </c>
      <c r="G102" s="75" t="s">
        <v>4159</v>
      </c>
      <c r="H102" s="75" t="s">
        <v>4519</v>
      </c>
      <c r="I102" s="75" t="s">
        <v>4520</v>
      </c>
      <c r="J102" s="67"/>
      <c r="K102" s="76">
        <v>85290527775</v>
      </c>
      <c r="L102" s="61"/>
      <c r="M102" s="67"/>
      <c r="N102" s="77" t="s">
        <v>4521</v>
      </c>
      <c r="O102" s="76">
        <v>1</v>
      </c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2">
      <c r="A103" s="61">
        <v>24</v>
      </c>
      <c r="B103" s="61">
        <v>12</v>
      </c>
      <c r="C103" s="201">
        <v>102</v>
      </c>
      <c r="D103" s="62" t="str">
        <f t="shared" si="0"/>
        <v>2412102</v>
      </c>
      <c r="E103" s="75" t="s">
        <v>4522</v>
      </c>
      <c r="F103" s="75" t="s">
        <v>4523</v>
      </c>
      <c r="G103" s="75" t="s">
        <v>4137</v>
      </c>
      <c r="H103" s="75" t="s">
        <v>4524</v>
      </c>
      <c r="I103" s="75" t="s">
        <v>4525</v>
      </c>
      <c r="J103" s="67"/>
      <c r="K103" s="76">
        <v>82337394951</v>
      </c>
      <c r="L103" s="61"/>
      <c r="M103" s="67"/>
      <c r="N103" s="75"/>
      <c r="O103" s="76">
        <v>4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2">
      <c r="A104" s="61">
        <v>24</v>
      </c>
      <c r="B104" s="61">
        <v>12</v>
      </c>
      <c r="C104" s="201">
        <v>103</v>
      </c>
      <c r="D104" s="62" t="str">
        <f t="shared" si="0"/>
        <v>2412103</v>
      </c>
      <c r="E104" s="75" t="s">
        <v>4526</v>
      </c>
      <c r="F104" s="75" t="s">
        <v>4527</v>
      </c>
      <c r="G104" s="75" t="s">
        <v>4159</v>
      </c>
      <c r="H104" s="75" t="s">
        <v>4528</v>
      </c>
      <c r="I104" s="75" t="s">
        <v>4529</v>
      </c>
      <c r="J104" s="67"/>
      <c r="K104" s="76">
        <v>87726550055</v>
      </c>
      <c r="L104" s="61"/>
      <c r="M104" s="67"/>
      <c r="N104" s="77" t="s">
        <v>4530</v>
      </c>
      <c r="O104" s="76">
        <v>3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2">
      <c r="A105" s="61">
        <v>24</v>
      </c>
      <c r="B105" s="61">
        <v>12</v>
      </c>
      <c r="C105" s="201">
        <v>104</v>
      </c>
      <c r="D105" s="62" t="str">
        <f t="shared" si="0"/>
        <v>2412104</v>
      </c>
      <c r="E105" s="75" t="s">
        <v>4234</v>
      </c>
      <c r="F105" s="75" t="s">
        <v>4531</v>
      </c>
      <c r="G105" s="75" t="s">
        <v>4159</v>
      </c>
      <c r="H105" s="75" t="s">
        <v>4532</v>
      </c>
      <c r="I105" s="75" t="s">
        <v>4533</v>
      </c>
      <c r="J105" s="67"/>
      <c r="K105" s="76">
        <v>83851079624</v>
      </c>
      <c r="L105" s="61"/>
      <c r="M105" s="67"/>
      <c r="N105" s="77" t="s">
        <v>4534</v>
      </c>
      <c r="O105" s="76">
        <v>10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2">
      <c r="A106" s="61">
        <v>24</v>
      </c>
      <c r="B106" s="61">
        <v>12</v>
      </c>
      <c r="C106" s="201">
        <v>105</v>
      </c>
      <c r="D106" s="62" t="str">
        <f t="shared" si="0"/>
        <v>2412105</v>
      </c>
      <c r="E106" s="75" t="s">
        <v>4535</v>
      </c>
      <c r="F106" s="75" t="s">
        <v>4536</v>
      </c>
      <c r="G106" s="75" t="s">
        <v>4143</v>
      </c>
      <c r="H106" s="75" t="s">
        <v>4537</v>
      </c>
      <c r="I106" s="75" t="s">
        <v>4538</v>
      </c>
      <c r="J106" s="67"/>
      <c r="K106" s="76" t="s">
        <v>4539</v>
      </c>
      <c r="L106" s="61"/>
      <c r="M106" s="67"/>
      <c r="N106" s="77" t="s">
        <v>4540</v>
      </c>
      <c r="O106" s="76">
        <v>3</v>
      </c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2">
      <c r="A107" s="61">
        <v>24</v>
      </c>
      <c r="B107" s="61">
        <v>12</v>
      </c>
      <c r="C107" s="201">
        <v>106</v>
      </c>
      <c r="D107" s="62" t="str">
        <f t="shared" si="0"/>
        <v>2412106</v>
      </c>
      <c r="E107" s="75" t="s">
        <v>4541</v>
      </c>
      <c r="F107" s="75" t="s">
        <v>4542</v>
      </c>
      <c r="G107" s="75" t="s">
        <v>4137</v>
      </c>
      <c r="H107" s="75" t="s">
        <v>4543</v>
      </c>
      <c r="I107" s="75" t="s">
        <v>4544</v>
      </c>
      <c r="J107" s="67"/>
      <c r="K107" s="76">
        <v>85230900064</v>
      </c>
      <c r="L107" s="61"/>
      <c r="M107" s="67"/>
      <c r="N107" s="77" t="s">
        <v>4545</v>
      </c>
      <c r="O107" s="76">
        <v>3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2">
      <c r="A108" s="61">
        <v>24</v>
      </c>
      <c r="B108" s="61">
        <v>12</v>
      </c>
      <c r="C108" s="201">
        <v>107</v>
      </c>
      <c r="D108" s="62" t="str">
        <f t="shared" si="0"/>
        <v>2412107</v>
      </c>
      <c r="E108" s="75" t="s">
        <v>4546</v>
      </c>
      <c r="F108" s="75" t="s">
        <v>4547</v>
      </c>
      <c r="G108" s="75" t="s">
        <v>4127</v>
      </c>
      <c r="H108" s="75" t="s">
        <v>4548</v>
      </c>
      <c r="I108" s="75" t="s">
        <v>4549</v>
      </c>
      <c r="J108" s="67"/>
      <c r="K108" s="76">
        <v>82245621856</v>
      </c>
      <c r="L108" s="61"/>
      <c r="M108" s="67"/>
      <c r="N108" s="77" t="s">
        <v>4550</v>
      </c>
      <c r="O108" s="76">
        <v>5</v>
      </c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2">
      <c r="A109" s="61">
        <v>24</v>
      </c>
      <c r="B109" s="61">
        <v>12</v>
      </c>
      <c r="C109" s="201">
        <v>108</v>
      </c>
      <c r="D109" s="62" t="str">
        <f t="shared" si="0"/>
        <v>2412108</v>
      </c>
      <c r="E109" s="75" t="s">
        <v>4551</v>
      </c>
      <c r="F109" s="75" t="s">
        <v>4552</v>
      </c>
      <c r="G109" s="75" t="s">
        <v>4127</v>
      </c>
      <c r="H109" s="75" t="s">
        <v>4553</v>
      </c>
      <c r="I109" s="75" t="s">
        <v>4554</v>
      </c>
      <c r="J109" s="67"/>
      <c r="K109" s="76">
        <v>85808701302</v>
      </c>
      <c r="L109" s="61"/>
      <c r="M109" s="67"/>
      <c r="N109" s="75"/>
      <c r="O109" s="76">
        <v>2</v>
      </c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2">
      <c r="A110" s="61">
        <v>24</v>
      </c>
      <c r="B110" s="61">
        <v>12</v>
      </c>
      <c r="C110" s="201">
        <v>109</v>
      </c>
      <c r="D110" s="62" t="str">
        <f t="shared" si="0"/>
        <v>2412109</v>
      </c>
      <c r="E110" s="75" t="s">
        <v>4555</v>
      </c>
      <c r="F110" s="75" t="s">
        <v>4556</v>
      </c>
      <c r="G110" s="75" t="s">
        <v>4127</v>
      </c>
      <c r="H110" s="75" t="s">
        <v>4557</v>
      </c>
      <c r="I110" s="75" t="s">
        <v>4558</v>
      </c>
      <c r="J110" s="67"/>
      <c r="K110" s="76">
        <v>85259402082</v>
      </c>
      <c r="L110" s="61"/>
      <c r="M110" s="67"/>
      <c r="N110" s="77" t="s">
        <v>4559</v>
      </c>
      <c r="O110" s="76">
        <v>13</v>
      </c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2">
      <c r="A111" s="61">
        <v>24</v>
      </c>
      <c r="B111" s="61">
        <v>12</v>
      </c>
      <c r="C111" s="201">
        <v>110</v>
      </c>
      <c r="D111" s="62" t="str">
        <f t="shared" si="0"/>
        <v>2412110</v>
      </c>
      <c r="E111" s="75" t="s">
        <v>4560</v>
      </c>
      <c r="F111" s="75" t="s">
        <v>4561</v>
      </c>
      <c r="G111" s="75" t="s">
        <v>4143</v>
      </c>
      <c r="H111" s="75" t="s">
        <v>4562</v>
      </c>
      <c r="I111" s="75" t="s">
        <v>2161</v>
      </c>
      <c r="J111" s="67"/>
      <c r="K111" s="76">
        <v>81336219832</v>
      </c>
      <c r="L111" s="61"/>
      <c r="M111" s="67"/>
      <c r="N111" s="77" t="s">
        <v>4563</v>
      </c>
      <c r="O111" s="76">
        <v>12</v>
      </c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2">
      <c r="A112" s="61">
        <v>24</v>
      </c>
      <c r="B112" s="61">
        <v>12</v>
      </c>
      <c r="C112" s="201">
        <v>111</v>
      </c>
      <c r="D112" s="62" t="str">
        <f t="shared" si="0"/>
        <v>2412111</v>
      </c>
      <c r="E112" s="75" t="s">
        <v>4564</v>
      </c>
      <c r="F112" s="75" t="s">
        <v>4565</v>
      </c>
      <c r="G112" s="75" t="s">
        <v>4143</v>
      </c>
      <c r="H112" s="75" t="s">
        <v>4566</v>
      </c>
      <c r="I112" s="75" t="s">
        <v>4567</v>
      </c>
      <c r="J112" s="67"/>
      <c r="K112" s="76">
        <v>81998096584</v>
      </c>
      <c r="L112" s="61"/>
      <c r="M112" s="67"/>
      <c r="N112" s="75" t="s">
        <v>4568</v>
      </c>
      <c r="O112" s="76">
        <v>11</v>
      </c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2">
      <c r="A113" s="61">
        <v>24</v>
      </c>
      <c r="B113" s="61">
        <v>12</v>
      </c>
      <c r="C113" s="201">
        <v>112</v>
      </c>
      <c r="D113" s="62" t="str">
        <f t="shared" si="0"/>
        <v>2412112</v>
      </c>
      <c r="E113" s="75" t="s">
        <v>4569</v>
      </c>
      <c r="F113" s="75" t="s">
        <v>4570</v>
      </c>
      <c r="G113" s="75" t="s">
        <v>4137</v>
      </c>
      <c r="H113" s="75" t="s">
        <v>4571</v>
      </c>
      <c r="I113" s="75" t="s">
        <v>4572</v>
      </c>
      <c r="J113" s="67"/>
      <c r="K113" s="76">
        <v>87861603143</v>
      </c>
      <c r="L113" s="61"/>
      <c r="M113" s="67"/>
      <c r="N113" s="77" t="s">
        <v>4573</v>
      </c>
      <c r="O113" s="76">
        <v>3</v>
      </c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2">
      <c r="A114" s="61">
        <v>24</v>
      </c>
      <c r="B114" s="61">
        <v>12</v>
      </c>
      <c r="C114" s="201">
        <v>113</v>
      </c>
      <c r="D114" s="62" t="str">
        <f t="shared" si="0"/>
        <v>2412113</v>
      </c>
      <c r="E114" s="75" t="s">
        <v>4574</v>
      </c>
      <c r="F114" s="75" t="s">
        <v>4575</v>
      </c>
      <c r="G114" s="75" t="s">
        <v>4137</v>
      </c>
      <c r="H114" s="75" t="s">
        <v>4576</v>
      </c>
      <c r="I114" s="75" t="s">
        <v>4577</v>
      </c>
      <c r="J114" s="67"/>
      <c r="K114" s="76">
        <v>85766652235</v>
      </c>
      <c r="L114" s="61"/>
      <c r="M114" s="67"/>
      <c r="N114" s="77" t="s">
        <v>4578</v>
      </c>
      <c r="O114" s="76">
        <v>5</v>
      </c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2">
      <c r="A115" s="61">
        <v>24</v>
      </c>
      <c r="B115" s="61">
        <v>12</v>
      </c>
      <c r="C115" s="201">
        <v>114</v>
      </c>
      <c r="D115" s="62" t="str">
        <f t="shared" si="0"/>
        <v>2412114</v>
      </c>
      <c r="E115" s="75" t="s">
        <v>4579</v>
      </c>
      <c r="F115" s="75" t="s">
        <v>4580</v>
      </c>
      <c r="G115" s="75" t="s">
        <v>4143</v>
      </c>
      <c r="H115" s="75" t="s">
        <v>4581</v>
      </c>
      <c r="I115" s="75" t="s">
        <v>4582</v>
      </c>
      <c r="J115" s="67"/>
      <c r="K115" s="76" t="s">
        <v>4583</v>
      </c>
      <c r="L115" s="61"/>
      <c r="M115" s="67"/>
      <c r="N115" s="77" t="s">
        <v>4584</v>
      </c>
      <c r="O115" s="76">
        <v>6</v>
      </c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2">
      <c r="A116" s="61">
        <v>24</v>
      </c>
      <c r="B116" s="61">
        <v>12</v>
      </c>
      <c r="C116" s="201">
        <v>115</v>
      </c>
      <c r="D116" s="62" t="str">
        <f t="shared" si="0"/>
        <v>2412115</v>
      </c>
      <c r="E116" s="75" t="s">
        <v>4585</v>
      </c>
      <c r="F116" s="75" t="s">
        <v>4586</v>
      </c>
      <c r="G116" s="75" t="s">
        <v>4127</v>
      </c>
      <c r="H116" s="75" t="s">
        <v>4587</v>
      </c>
      <c r="I116" s="75" t="s">
        <v>4588</v>
      </c>
      <c r="J116" s="67"/>
      <c r="K116" s="76">
        <v>85130318952</v>
      </c>
      <c r="L116" s="61"/>
      <c r="M116" s="67"/>
      <c r="N116" s="77" t="s">
        <v>4589</v>
      </c>
      <c r="O116" s="76">
        <v>20</v>
      </c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2">
      <c r="A117" s="61">
        <v>24</v>
      </c>
      <c r="B117" s="61">
        <v>12</v>
      </c>
      <c r="C117" s="201">
        <v>116</v>
      </c>
      <c r="D117" s="62" t="str">
        <f t="shared" si="0"/>
        <v>2412116</v>
      </c>
      <c r="E117" s="75" t="s">
        <v>4590</v>
      </c>
      <c r="F117" s="75" t="s">
        <v>4591</v>
      </c>
      <c r="G117" s="75" t="s">
        <v>4159</v>
      </c>
      <c r="H117" s="75" t="s">
        <v>4592</v>
      </c>
      <c r="I117" s="75" t="s">
        <v>4593</v>
      </c>
      <c r="J117" s="67"/>
      <c r="K117" s="76">
        <v>87880885608</v>
      </c>
      <c r="L117" s="61"/>
      <c r="M117" s="67"/>
      <c r="N117" s="77" t="s">
        <v>4594</v>
      </c>
      <c r="O117" s="76">
        <v>9</v>
      </c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2">
      <c r="A118" s="61">
        <v>24</v>
      </c>
      <c r="B118" s="61">
        <v>12</v>
      </c>
      <c r="C118" s="201">
        <v>117</v>
      </c>
      <c r="D118" s="62" t="str">
        <f t="shared" si="0"/>
        <v>2412117</v>
      </c>
      <c r="E118" s="208" t="s">
        <v>4595</v>
      </c>
      <c r="F118" s="208" t="s">
        <v>4596</v>
      </c>
      <c r="G118" s="208" t="s">
        <v>4159</v>
      </c>
      <c r="H118" s="208" t="s">
        <v>4597</v>
      </c>
      <c r="I118" s="208" t="s">
        <v>4598</v>
      </c>
      <c r="J118" s="208"/>
      <c r="K118" s="210" t="s">
        <v>4599</v>
      </c>
      <c r="L118" s="211"/>
      <c r="M118" s="208"/>
      <c r="N118" s="208"/>
      <c r="O118" s="211" t="s">
        <v>4600</v>
      </c>
      <c r="R118" s="43"/>
      <c r="T118" s="43"/>
      <c r="V118" s="43"/>
      <c r="W118" s="43"/>
      <c r="X118" s="43"/>
      <c r="Y118" s="43"/>
      <c r="Z118" s="43"/>
      <c r="AA118" s="43"/>
    </row>
    <row r="119" spans="1:27" ht="15.75" customHeight="1" x14ac:dyDescent="0.2">
      <c r="A119" s="61">
        <v>24</v>
      </c>
      <c r="B119" s="61">
        <v>12</v>
      </c>
      <c r="C119" s="201">
        <v>118</v>
      </c>
      <c r="D119" s="62" t="str">
        <f t="shared" si="0"/>
        <v>2412118</v>
      </c>
      <c r="E119" s="208" t="s">
        <v>4601</v>
      </c>
      <c r="F119" s="208" t="s">
        <v>4602</v>
      </c>
      <c r="G119" s="208" t="s">
        <v>4127</v>
      </c>
      <c r="H119" s="208" t="s">
        <v>4603</v>
      </c>
      <c r="I119" s="208" t="s">
        <v>4604</v>
      </c>
      <c r="J119" s="208"/>
      <c r="K119" s="211" t="s">
        <v>4605</v>
      </c>
      <c r="L119" s="211"/>
      <c r="M119" s="212"/>
      <c r="N119" s="208" t="s">
        <v>4606</v>
      </c>
      <c r="O119" s="211" t="s">
        <v>4607</v>
      </c>
      <c r="R119" s="43"/>
      <c r="T119" s="43"/>
      <c r="V119" s="43"/>
      <c r="W119" s="43"/>
      <c r="X119" s="43"/>
      <c r="Y119" s="43"/>
      <c r="Z119" s="43"/>
      <c r="AA119" s="43"/>
    </row>
    <row r="120" spans="1:27" ht="15.75" customHeight="1" x14ac:dyDescent="0.2">
      <c r="A120" s="61">
        <v>25</v>
      </c>
      <c r="B120" s="61">
        <v>12</v>
      </c>
      <c r="C120" s="201">
        <v>119</v>
      </c>
      <c r="D120" s="62" t="str">
        <f t="shared" si="0"/>
        <v>2512119</v>
      </c>
      <c r="E120" s="208" t="s">
        <v>4608</v>
      </c>
      <c r="F120" s="208" t="s">
        <v>4609</v>
      </c>
      <c r="G120" s="208" t="s">
        <v>4143</v>
      </c>
      <c r="H120" s="208" t="s">
        <v>4610</v>
      </c>
      <c r="I120" s="208" t="s">
        <v>4611</v>
      </c>
      <c r="J120" s="208"/>
      <c r="K120" s="210" t="s">
        <v>4612</v>
      </c>
      <c r="L120" s="211"/>
      <c r="M120" s="208"/>
      <c r="N120" s="208" t="s">
        <v>4613</v>
      </c>
      <c r="O120" s="211">
        <v>6</v>
      </c>
      <c r="R120" s="43"/>
      <c r="T120" s="43"/>
      <c r="V120" s="43"/>
      <c r="W120" s="43"/>
      <c r="X120" s="43"/>
      <c r="Y120" s="43"/>
      <c r="Z120" s="43"/>
      <c r="AA120" s="43"/>
    </row>
    <row r="121" spans="1:27" ht="15.75" customHeight="1" x14ac:dyDescent="0.2">
      <c r="A121" s="61">
        <v>25</v>
      </c>
      <c r="B121" s="61">
        <v>12</v>
      </c>
      <c r="C121" s="201">
        <v>120</v>
      </c>
      <c r="D121" s="62" t="str">
        <f t="shared" si="0"/>
        <v>2512120</v>
      </c>
      <c r="E121" s="208" t="s">
        <v>4614</v>
      </c>
      <c r="F121" s="208" t="s">
        <v>4615</v>
      </c>
      <c r="G121" s="208" t="s">
        <v>4159</v>
      </c>
      <c r="H121" s="208" t="s">
        <v>4616</v>
      </c>
      <c r="I121" s="208" t="s">
        <v>4617</v>
      </c>
      <c r="J121" s="208"/>
      <c r="K121" s="210" t="s">
        <v>4618</v>
      </c>
      <c r="L121" s="211"/>
      <c r="M121" s="208"/>
      <c r="N121" s="208" t="s">
        <v>4619</v>
      </c>
      <c r="O121" s="211">
        <v>5</v>
      </c>
      <c r="R121" s="43"/>
      <c r="T121" s="43"/>
      <c r="V121" s="43"/>
      <c r="W121" s="43"/>
      <c r="X121" s="43"/>
      <c r="Y121" s="43"/>
      <c r="Z121" s="43"/>
      <c r="AA121" s="43"/>
    </row>
    <row r="122" spans="1:27" ht="15.75" customHeight="1" x14ac:dyDescent="0.2">
      <c r="A122" s="61">
        <v>25</v>
      </c>
      <c r="B122" s="61">
        <v>12</v>
      </c>
      <c r="C122" s="201">
        <v>121</v>
      </c>
      <c r="D122" s="62" t="str">
        <f t="shared" si="0"/>
        <v>2512121</v>
      </c>
      <c r="E122" s="208" t="s">
        <v>4620</v>
      </c>
      <c r="F122" s="208" t="s">
        <v>4621</v>
      </c>
      <c r="G122" s="208" t="s">
        <v>4127</v>
      </c>
      <c r="H122" s="208" t="s">
        <v>4622</v>
      </c>
      <c r="I122" s="208" t="s">
        <v>4623</v>
      </c>
      <c r="J122" s="208"/>
      <c r="K122" s="210" t="s">
        <v>4624</v>
      </c>
      <c r="L122" s="211"/>
      <c r="M122" s="208"/>
      <c r="N122" s="208" t="s">
        <v>4625</v>
      </c>
      <c r="O122" s="211">
        <v>4</v>
      </c>
      <c r="R122" s="43"/>
      <c r="T122" s="43"/>
      <c r="V122" s="43"/>
      <c r="W122" s="43"/>
      <c r="X122" s="43"/>
      <c r="Y122" s="43"/>
      <c r="Z122" s="43"/>
      <c r="AA122" s="43"/>
    </row>
    <row r="123" spans="1:27" ht="15.75" customHeight="1" x14ac:dyDescent="0.2">
      <c r="A123" s="61">
        <v>25</v>
      </c>
      <c r="B123" s="61">
        <v>12</v>
      </c>
      <c r="C123" s="201">
        <v>122</v>
      </c>
      <c r="D123" s="62" t="str">
        <f t="shared" si="0"/>
        <v>2512122</v>
      </c>
      <c r="E123" s="208" t="s">
        <v>4626</v>
      </c>
      <c r="F123" s="208" t="s">
        <v>4627</v>
      </c>
      <c r="G123" s="208" t="s">
        <v>4143</v>
      </c>
      <c r="H123" s="208" t="s">
        <v>4628</v>
      </c>
      <c r="I123" s="208" t="s">
        <v>4629</v>
      </c>
      <c r="J123" s="208"/>
      <c r="K123" s="210" t="s">
        <v>4630</v>
      </c>
      <c r="L123" s="211"/>
      <c r="M123" s="208"/>
      <c r="N123" s="208" t="s">
        <v>4631</v>
      </c>
      <c r="O123" s="211">
        <v>6</v>
      </c>
      <c r="R123" s="43"/>
      <c r="T123" s="43"/>
      <c r="V123" s="43"/>
      <c r="W123" s="43"/>
      <c r="X123" s="43"/>
      <c r="Y123" s="43"/>
      <c r="Z123" s="43"/>
      <c r="AA123" s="43"/>
    </row>
    <row r="124" spans="1:27" ht="15.75" customHeight="1" x14ac:dyDescent="0.2">
      <c r="A124" s="61">
        <v>25</v>
      </c>
      <c r="B124" s="61">
        <v>12</v>
      </c>
      <c r="C124" s="201">
        <v>123</v>
      </c>
      <c r="D124" s="62" t="str">
        <f t="shared" si="0"/>
        <v>2512123</v>
      </c>
      <c r="E124" s="208" t="s">
        <v>4632</v>
      </c>
      <c r="F124" s="208" t="s">
        <v>4633</v>
      </c>
      <c r="G124" s="208" t="s">
        <v>4127</v>
      </c>
      <c r="H124" s="208" t="s">
        <v>4634</v>
      </c>
      <c r="I124" s="208" t="s">
        <v>4635</v>
      </c>
      <c r="J124" s="208"/>
      <c r="K124" s="210" t="s">
        <v>4636</v>
      </c>
      <c r="L124" s="211"/>
      <c r="M124" s="208"/>
      <c r="N124" s="208"/>
      <c r="O124" s="211">
        <v>9</v>
      </c>
      <c r="R124" s="43"/>
      <c r="T124" s="43"/>
      <c r="U124" s="43"/>
      <c r="V124" s="43"/>
      <c r="W124" s="43"/>
      <c r="X124" s="43"/>
      <c r="Y124" s="43"/>
      <c r="Z124" s="43"/>
      <c r="AA124" s="43"/>
    </row>
    <row r="125" spans="1:27" ht="15.75" customHeight="1" x14ac:dyDescent="0.2">
      <c r="A125" s="61">
        <v>25</v>
      </c>
      <c r="B125" s="61">
        <v>12</v>
      </c>
      <c r="C125" s="201">
        <v>124</v>
      </c>
      <c r="D125" s="62" t="str">
        <f t="shared" si="0"/>
        <v>2512124</v>
      </c>
      <c r="E125" s="208" t="s">
        <v>4637</v>
      </c>
      <c r="F125" s="208" t="s">
        <v>4638</v>
      </c>
      <c r="G125" s="208" t="s">
        <v>4159</v>
      </c>
      <c r="H125" s="208" t="s">
        <v>4639</v>
      </c>
      <c r="I125" s="208" t="s">
        <v>4640</v>
      </c>
      <c r="J125" s="208"/>
      <c r="K125" s="210" t="s">
        <v>4641</v>
      </c>
      <c r="L125" s="211"/>
      <c r="M125" s="212"/>
      <c r="N125" s="208"/>
      <c r="O125" s="211"/>
      <c r="R125" s="43"/>
      <c r="T125" s="43"/>
      <c r="U125" s="43"/>
      <c r="V125" s="43"/>
      <c r="W125" s="43"/>
      <c r="X125" s="43"/>
      <c r="Y125" s="43"/>
      <c r="Z125" s="43"/>
      <c r="AA125" s="43"/>
    </row>
    <row r="126" spans="1:27" ht="15.75" customHeight="1" x14ac:dyDescent="0.2">
      <c r="A126" s="61">
        <v>25</v>
      </c>
      <c r="B126" s="61">
        <v>12</v>
      </c>
      <c r="C126" s="201">
        <v>125</v>
      </c>
      <c r="D126" s="62" t="str">
        <f t="shared" si="0"/>
        <v>2512125</v>
      </c>
      <c r="E126" s="54" t="s">
        <v>4642</v>
      </c>
      <c r="F126" s="54" t="s">
        <v>4643</v>
      </c>
      <c r="G126" s="54" t="s">
        <v>4137</v>
      </c>
      <c r="H126" s="54" t="s">
        <v>4644</v>
      </c>
      <c r="I126" s="54" t="s">
        <v>4645</v>
      </c>
      <c r="J126" s="54"/>
      <c r="K126" s="93" t="s">
        <v>4646</v>
      </c>
      <c r="L126" s="54"/>
      <c r="M126" s="154"/>
      <c r="N126" s="54" t="s">
        <v>4647</v>
      </c>
      <c r="O126" s="96">
        <v>5</v>
      </c>
      <c r="R126" s="43"/>
      <c r="T126" s="44"/>
      <c r="V126" s="43"/>
      <c r="W126" s="43"/>
      <c r="X126" s="43"/>
      <c r="Y126" s="43"/>
      <c r="Z126" s="43"/>
      <c r="AA126" s="43"/>
    </row>
    <row r="127" spans="1:27" ht="15.75" customHeight="1" x14ac:dyDescent="0.2">
      <c r="A127" s="61">
        <v>25</v>
      </c>
      <c r="B127" s="61">
        <v>12</v>
      </c>
      <c r="C127" s="201">
        <v>126</v>
      </c>
      <c r="D127" s="62" t="str">
        <f t="shared" si="0"/>
        <v>2512126</v>
      </c>
      <c r="E127" s="54" t="s">
        <v>4648</v>
      </c>
      <c r="F127" s="54" t="s">
        <v>4649</v>
      </c>
      <c r="G127" s="54" t="s">
        <v>4127</v>
      </c>
      <c r="H127" s="54" t="s">
        <v>4650</v>
      </c>
      <c r="I127" s="54" t="s">
        <v>4651</v>
      </c>
      <c r="J127" s="54"/>
      <c r="K127" s="96" t="s">
        <v>4652</v>
      </c>
      <c r="L127" s="54"/>
      <c r="M127" s="54"/>
      <c r="N127" s="54" t="s">
        <v>4653</v>
      </c>
      <c r="O127" s="96" t="s">
        <v>4654</v>
      </c>
      <c r="R127" s="43"/>
      <c r="T127" s="43"/>
      <c r="V127" s="43"/>
      <c r="W127" s="43"/>
      <c r="X127" s="43"/>
      <c r="Y127" s="43"/>
      <c r="Z127" s="43"/>
      <c r="AA127" s="43"/>
    </row>
    <row r="128" spans="1:27" ht="15.75" customHeight="1" x14ac:dyDescent="0.2">
      <c r="A128" s="61">
        <v>25</v>
      </c>
      <c r="B128" s="61">
        <v>12</v>
      </c>
      <c r="C128" s="201">
        <v>127</v>
      </c>
      <c r="D128" s="62" t="str">
        <f t="shared" si="0"/>
        <v>2512127</v>
      </c>
      <c r="E128" s="54" t="s">
        <v>4655</v>
      </c>
      <c r="F128" s="54" t="s">
        <v>4656</v>
      </c>
      <c r="G128" s="54" t="s">
        <v>4127</v>
      </c>
      <c r="H128" s="54" t="s">
        <v>4657</v>
      </c>
      <c r="I128" s="54" t="s">
        <v>4658</v>
      </c>
      <c r="J128" s="54"/>
      <c r="K128" s="93" t="s">
        <v>4659</v>
      </c>
      <c r="L128" s="54"/>
      <c r="M128" s="54"/>
      <c r="N128" s="54" t="s">
        <v>4660</v>
      </c>
      <c r="O128" s="96">
        <v>2</v>
      </c>
      <c r="R128" s="43"/>
      <c r="T128" s="44"/>
      <c r="V128" s="43"/>
      <c r="W128" s="43"/>
      <c r="X128" s="43"/>
      <c r="Y128" s="43"/>
      <c r="Z128" s="43"/>
      <c r="AA128" s="43"/>
    </row>
    <row r="129" spans="1:27" ht="15.75" customHeight="1" x14ac:dyDescent="0.2">
      <c r="A129" s="61">
        <v>25</v>
      </c>
      <c r="B129" s="61">
        <v>12</v>
      </c>
      <c r="C129" s="201">
        <v>128</v>
      </c>
      <c r="D129" s="62" t="str">
        <f t="shared" si="0"/>
        <v>2512128</v>
      </c>
      <c r="E129" s="54" t="s">
        <v>4661</v>
      </c>
      <c r="F129" s="54" t="s">
        <v>4662</v>
      </c>
      <c r="G129" s="54" t="s">
        <v>4137</v>
      </c>
      <c r="H129" s="54" t="s">
        <v>4663</v>
      </c>
      <c r="I129" s="54" t="s">
        <v>4664</v>
      </c>
      <c r="J129" s="54"/>
      <c r="K129" s="93" t="s">
        <v>4665</v>
      </c>
      <c r="L129" s="54"/>
      <c r="M129" s="154"/>
      <c r="N129" s="54" t="s">
        <v>4666</v>
      </c>
      <c r="O129" s="96" t="s">
        <v>4600</v>
      </c>
      <c r="R129" s="43"/>
      <c r="T129" s="44"/>
      <c r="V129" s="43"/>
      <c r="W129" s="43"/>
      <c r="X129" s="43"/>
      <c r="Y129" s="43"/>
      <c r="Z129" s="43"/>
      <c r="AA129" s="43"/>
    </row>
    <row r="130" spans="1:27" ht="15.75" customHeight="1" x14ac:dyDescent="0.2">
      <c r="A130" s="61">
        <v>25</v>
      </c>
      <c r="B130" s="61">
        <v>12</v>
      </c>
      <c r="C130" s="201">
        <v>129</v>
      </c>
      <c r="D130" s="62" t="str">
        <f t="shared" si="0"/>
        <v>2512129</v>
      </c>
      <c r="E130" s="54" t="s">
        <v>4667</v>
      </c>
      <c r="F130" s="54" t="s">
        <v>4668</v>
      </c>
      <c r="G130" s="54" t="s">
        <v>4137</v>
      </c>
      <c r="H130" s="54" t="s">
        <v>4669</v>
      </c>
      <c r="I130" s="54" t="s">
        <v>4670</v>
      </c>
      <c r="J130" s="54"/>
      <c r="K130" s="93" t="s">
        <v>4671</v>
      </c>
      <c r="L130" s="54"/>
      <c r="M130" s="54"/>
      <c r="N130" s="54" t="s">
        <v>4672</v>
      </c>
      <c r="O130" s="96">
        <v>5</v>
      </c>
      <c r="R130" s="43"/>
      <c r="T130" s="44"/>
      <c r="V130" s="43"/>
      <c r="W130" s="43"/>
      <c r="X130" s="43"/>
      <c r="Y130" s="43"/>
      <c r="Z130" s="43"/>
      <c r="AA130" s="43"/>
    </row>
    <row r="131" spans="1:27" ht="15.75" customHeight="1" x14ac:dyDescent="0.2">
      <c r="A131" s="156">
        <v>25</v>
      </c>
      <c r="B131" s="156">
        <v>12</v>
      </c>
      <c r="C131" s="213">
        <v>130</v>
      </c>
      <c r="D131" s="157" t="str">
        <f t="shared" si="0"/>
        <v>2512130</v>
      </c>
      <c r="E131" s="47" t="s">
        <v>4673</v>
      </c>
      <c r="F131" s="47" t="s">
        <v>4674</v>
      </c>
      <c r="G131" s="47" t="s">
        <v>4127</v>
      </c>
      <c r="H131" s="47" t="s">
        <v>4675</v>
      </c>
      <c r="I131" s="47" t="s">
        <v>4676</v>
      </c>
      <c r="J131" s="47"/>
      <c r="K131" s="48" t="s">
        <v>4677</v>
      </c>
      <c r="L131" s="47"/>
      <c r="M131" s="47"/>
      <c r="N131" s="47" t="s">
        <v>4678</v>
      </c>
      <c r="O131" s="49">
        <v>10</v>
      </c>
      <c r="P131" s="50"/>
      <c r="Q131" s="50"/>
      <c r="R131" s="51"/>
      <c r="S131" s="50"/>
      <c r="T131" s="52"/>
      <c r="U131" s="50"/>
      <c r="V131" s="51"/>
      <c r="W131" s="51"/>
      <c r="X131" s="51"/>
      <c r="Y131" s="51"/>
      <c r="Z131" s="51"/>
      <c r="AA131" s="51"/>
    </row>
    <row r="132" spans="1:27" ht="15.75" customHeight="1" x14ac:dyDescent="0.2">
      <c r="A132" s="61">
        <v>25</v>
      </c>
      <c r="B132" s="61">
        <v>12</v>
      </c>
      <c r="C132" s="201">
        <v>131</v>
      </c>
      <c r="D132" s="62" t="str">
        <f t="shared" si="0"/>
        <v>2512131</v>
      </c>
      <c r="E132" s="20" t="s">
        <v>4679</v>
      </c>
      <c r="F132" s="20" t="s">
        <v>4680</v>
      </c>
      <c r="G132" s="20" t="s">
        <v>4127</v>
      </c>
      <c r="H132" s="20" t="s">
        <v>4681</v>
      </c>
      <c r="I132" s="20" t="s">
        <v>4682</v>
      </c>
      <c r="J132" s="20"/>
      <c r="K132" s="24" t="s">
        <v>4683</v>
      </c>
      <c r="L132" s="20"/>
      <c r="M132" s="20"/>
      <c r="N132" s="20" t="s">
        <v>4684</v>
      </c>
      <c r="O132" s="21">
        <v>4</v>
      </c>
      <c r="P132" s="1"/>
      <c r="Q132" s="1"/>
      <c r="R132" s="45"/>
      <c r="S132" s="1"/>
      <c r="T132" s="45"/>
      <c r="U132" s="1"/>
      <c r="V132" s="45"/>
      <c r="W132" s="45"/>
      <c r="X132" s="45"/>
      <c r="Y132" s="45"/>
      <c r="Z132" s="45"/>
      <c r="AA132" s="45"/>
    </row>
    <row r="133" spans="1:27" ht="15.75" customHeight="1" x14ac:dyDescent="0.2">
      <c r="A133" s="61">
        <v>25</v>
      </c>
      <c r="B133" s="61">
        <v>12</v>
      </c>
      <c r="C133" s="201">
        <v>132</v>
      </c>
      <c r="D133" s="62" t="str">
        <f t="shared" si="0"/>
        <v>2512132</v>
      </c>
      <c r="E133" s="20" t="s">
        <v>4685</v>
      </c>
      <c r="F133" s="20" t="s">
        <v>4686</v>
      </c>
      <c r="G133" s="20" t="s">
        <v>4137</v>
      </c>
      <c r="H133" s="20" t="s">
        <v>4687</v>
      </c>
      <c r="I133" s="20" t="s">
        <v>4688</v>
      </c>
      <c r="J133" s="20"/>
      <c r="K133" s="24" t="s">
        <v>4689</v>
      </c>
      <c r="L133" s="20"/>
      <c r="M133" s="20"/>
      <c r="N133" s="20" t="s">
        <v>4690</v>
      </c>
      <c r="O133" s="21">
        <v>5</v>
      </c>
      <c r="P133" s="1"/>
      <c r="Q133" s="1"/>
      <c r="R133" s="45"/>
      <c r="S133" s="1"/>
      <c r="T133" s="214"/>
      <c r="U133" s="1"/>
      <c r="V133" s="45"/>
      <c r="W133" s="45"/>
      <c r="X133" s="45"/>
      <c r="Y133" s="45"/>
      <c r="Z133" s="45"/>
      <c r="AA133" s="45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23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23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23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23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23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23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.75" customHeight="1" x14ac:dyDescent="0.15">
      <c r="A242" s="56"/>
      <c r="B242" s="56"/>
      <c r="C242" s="23"/>
      <c r="D242" s="23"/>
      <c r="E242" s="23"/>
      <c r="F242" s="23"/>
      <c r="G242" s="23"/>
      <c r="H242" s="23"/>
      <c r="I242" s="23"/>
      <c r="J242" s="23"/>
      <c r="K242" s="56"/>
      <c r="L242" s="56"/>
      <c r="M242" s="23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.75" customHeight="1" x14ac:dyDescent="0.15">
      <c r="A243" s="56"/>
      <c r="B243" s="56"/>
      <c r="C243" s="23"/>
      <c r="D243" s="23"/>
      <c r="E243" s="23"/>
      <c r="F243" s="23"/>
      <c r="G243" s="23"/>
      <c r="H243" s="23"/>
      <c r="I243" s="23"/>
      <c r="J243" s="23"/>
      <c r="K243" s="56"/>
      <c r="L243" s="56"/>
      <c r="M243" s="23"/>
      <c r="N243" s="23"/>
      <c r="O243" s="56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.75" customHeight="1" x14ac:dyDescent="0.15">
      <c r="A244" s="56"/>
      <c r="B244" s="56"/>
      <c r="C244" s="23"/>
      <c r="D244" s="23"/>
      <c r="E244" s="23"/>
      <c r="F244" s="23"/>
      <c r="G244" s="23"/>
      <c r="H244" s="23"/>
      <c r="I244" s="23"/>
      <c r="J244" s="23"/>
      <c r="K244" s="56"/>
      <c r="L244" s="56"/>
      <c r="M244" s="23"/>
      <c r="N244" s="23"/>
      <c r="O244" s="5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.75" customHeight="1" x14ac:dyDescent="0.15">
      <c r="A245" s="56"/>
      <c r="B245" s="56"/>
      <c r="C245" s="23"/>
      <c r="D245" s="23"/>
      <c r="E245" s="23"/>
      <c r="F245" s="23"/>
      <c r="G245" s="23"/>
      <c r="H245" s="23"/>
      <c r="I245" s="23"/>
      <c r="J245" s="23"/>
      <c r="K245" s="56"/>
      <c r="L245" s="56"/>
      <c r="M245" s="23"/>
      <c r="N245" s="23"/>
      <c r="O245" s="56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5.75" customHeight="1" x14ac:dyDescent="0.15">
      <c r="A246" s="56"/>
      <c r="B246" s="56"/>
      <c r="C246" s="23"/>
      <c r="D246" s="23"/>
      <c r="E246" s="23"/>
      <c r="F246" s="23"/>
      <c r="G246" s="23"/>
      <c r="H246" s="23"/>
      <c r="I246" s="23"/>
      <c r="J246" s="23"/>
      <c r="K246" s="56"/>
      <c r="L246" s="56"/>
      <c r="M246" s="23"/>
      <c r="N246" s="23"/>
      <c r="O246" s="5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5.75" customHeight="1" x14ac:dyDescent="0.15">
      <c r="A247" s="56"/>
      <c r="B247" s="56"/>
      <c r="C247" s="23"/>
      <c r="D247" s="23"/>
      <c r="E247" s="23"/>
      <c r="F247" s="23"/>
      <c r="G247" s="23"/>
      <c r="H247" s="23"/>
      <c r="I247" s="23"/>
      <c r="J247" s="23"/>
      <c r="K247" s="56"/>
      <c r="L247" s="56"/>
      <c r="M247" s="23"/>
      <c r="N247" s="23"/>
      <c r="O247" s="56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5.75" customHeight="1" x14ac:dyDescent="0.15">
      <c r="A248" s="56"/>
      <c r="B248" s="56"/>
      <c r="C248" s="23"/>
      <c r="D248" s="23"/>
      <c r="E248" s="23"/>
      <c r="F248" s="23"/>
      <c r="G248" s="23"/>
      <c r="H248" s="23"/>
      <c r="I248" s="23"/>
      <c r="J248" s="23"/>
      <c r="K248" s="56"/>
      <c r="L248" s="56"/>
      <c r="M248" s="23"/>
      <c r="N248" s="23"/>
      <c r="O248" s="56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ht="15.75" customHeight="1" x14ac:dyDescent="0.15">
      <c r="A249" s="56"/>
      <c r="B249" s="56"/>
      <c r="C249" s="23"/>
      <c r="D249" s="23"/>
      <c r="E249" s="23"/>
      <c r="F249" s="23"/>
      <c r="G249" s="23"/>
      <c r="H249" s="23"/>
      <c r="I249" s="23"/>
      <c r="J249" s="23"/>
      <c r="K249" s="56"/>
      <c r="L249" s="56"/>
      <c r="M249" s="23"/>
      <c r="N249" s="23"/>
      <c r="O249" s="56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ht="15.75" customHeight="1" x14ac:dyDescent="0.15">
      <c r="A250" s="56"/>
      <c r="B250" s="56"/>
      <c r="C250" s="23"/>
      <c r="D250" s="23"/>
      <c r="E250" s="23"/>
      <c r="F250" s="23"/>
      <c r="G250" s="23"/>
      <c r="H250" s="23"/>
      <c r="I250" s="23"/>
      <c r="J250" s="23"/>
      <c r="K250" s="56"/>
      <c r="L250" s="56"/>
      <c r="M250" s="23"/>
      <c r="N250" s="23"/>
      <c r="O250" s="56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ht="15.75" customHeight="1" x14ac:dyDescent="0.15">
      <c r="A251" s="56"/>
      <c r="B251" s="56"/>
      <c r="C251" s="23"/>
      <c r="D251" s="23"/>
      <c r="E251" s="23"/>
      <c r="F251" s="23"/>
      <c r="G251" s="23"/>
      <c r="H251" s="23"/>
      <c r="I251" s="23"/>
      <c r="J251" s="23"/>
      <c r="K251" s="56"/>
      <c r="L251" s="56"/>
      <c r="M251" s="23"/>
      <c r="N251" s="23"/>
      <c r="O251" s="56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ht="15.75" customHeight="1" x14ac:dyDescent="0.15">
      <c r="A252" s="56"/>
      <c r="B252" s="56"/>
      <c r="C252" s="23"/>
      <c r="D252" s="23"/>
      <c r="E252" s="23"/>
      <c r="F252" s="23"/>
      <c r="G252" s="23"/>
      <c r="H252" s="23"/>
      <c r="I252" s="23"/>
      <c r="J252" s="23"/>
      <c r="K252" s="56"/>
      <c r="L252" s="56"/>
      <c r="M252" s="23"/>
      <c r="N252" s="23"/>
      <c r="O252" s="56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ht="15.75" customHeight="1" x14ac:dyDescent="0.15">
      <c r="A253" s="56"/>
      <c r="B253" s="56"/>
      <c r="C253" s="23"/>
      <c r="D253" s="23"/>
      <c r="E253" s="23"/>
      <c r="F253" s="23"/>
      <c r="G253" s="23"/>
      <c r="H253" s="23"/>
      <c r="I253" s="23"/>
      <c r="J253" s="23"/>
      <c r="K253" s="56"/>
      <c r="L253" s="56"/>
      <c r="M253" s="23"/>
      <c r="N253" s="23"/>
      <c r="O253" s="56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ht="15.75" customHeight="1" x14ac:dyDescent="0.15">
      <c r="A254" s="56"/>
      <c r="B254" s="56"/>
      <c r="C254" s="23"/>
      <c r="D254" s="23"/>
      <c r="E254" s="23"/>
      <c r="F254" s="23"/>
      <c r="G254" s="23"/>
      <c r="H254" s="23"/>
      <c r="I254" s="23"/>
      <c r="J254" s="23"/>
      <c r="K254" s="56"/>
      <c r="L254" s="56"/>
      <c r="M254" s="23"/>
      <c r="N254" s="23"/>
      <c r="O254" s="56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ht="15.75" customHeight="1" x14ac:dyDescent="0.15">
      <c r="A255" s="56"/>
      <c r="B255" s="56"/>
      <c r="C255" s="23"/>
      <c r="D255" s="23"/>
      <c r="E255" s="23"/>
      <c r="F255" s="23"/>
      <c r="G255" s="23"/>
      <c r="H255" s="23"/>
      <c r="I255" s="23"/>
      <c r="J255" s="23"/>
      <c r="K255" s="56"/>
      <c r="L255" s="56"/>
      <c r="M255" s="23"/>
      <c r="N255" s="23"/>
      <c r="O255" s="56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ht="15.75" customHeight="1" x14ac:dyDescent="0.15">
      <c r="A256" s="56"/>
      <c r="B256" s="56"/>
      <c r="C256" s="23"/>
      <c r="D256" s="23"/>
      <c r="E256" s="23"/>
      <c r="F256" s="23"/>
      <c r="G256" s="23"/>
      <c r="H256" s="23"/>
      <c r="I256" s="23"/>
      <c r="J256" s="23"/>
      <c r="K256" s="56"/>
      <c r="L256" s="56"/>
      <c r="M256" s="23"/>
      <c r="N256" s="23"/>
      <c r="O256" s="56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ht="15.75" customHeight="1" x14ac:dyDescent="0.15">
      <c r="A257" s="56"/>
      <c r="B257" s="56"/>
      <c r="C257" s="23"/>
      <c r="D257" s="23"/>
      <c r="E257" s="23"/>
      <c r="F257" s="23"/>
      <c r="G257" s="23"/>
      <c r="H257" s="23"/>
      <c r="I257" s="23"/>
      <c r="J257" s="23"/>
      <c r="K257" s="56"/>
      <c r="L257" s="56"/>
      <c r="M257" s="23"/>
      <c r="N257" s="23"/>
      <c r="O257" s="56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ht="15.75" customHeight="1" x14ac:dyDescent="0.15">
      <c r="A258" s="56"/>
      <c r="B258" s="56"/>
      <c r="C258" s="23"/>
      <c r="D258" s="23"/>
      <c r="E258" s="23"/>
      <c r="F258" s="23"/>
      <c r="G258" s="23"/>
      <c r="H258" s="23"/>
      <c r="I258" s="23"/>
      <c r="J258" s="23"/>
      <c r="K258" s="56"/>
      <c r="L258" s="56"/>
      <c r="M258" s="23"/>
      <c r="N258" s="23"/>
      <c r="O258" s="56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ht="15.75" customHeight="1" x14ac:dyDescent="0.15">
      <c r="A259" s="56"/>
      <c r="B259" s="56"/>
      <c r="C259" s="23"/>
      <c r="D259" s="23"/>
      <c r="E259" s="23"/>
      <c r="F259" s="23"/>
      <c r="G259" s="23"/>
      <c r="H259" s="23"/>
      <c r="I259" s="23"/>
      <c r="J259" s="23"/>
      <c r="K259" s="56"/>
      <c r="L259" s="56"/>
      <c r="M259" s="23"/>
      <c r="N259" s="23"/>
      <c r="O259" s="56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ht="15.75" customHeight="1" x14ac:dyDescent="0.15">
      <c r="A260" s="56"/>
      <c r="B260" s="56"/>
      <c r="C260" s="23"/>
      <c r="D260" s="23"/>
      <c r="E260" s="23"/>
      <c r="F260" s="23"/>
      <c r="G260" s="23"/>
      <c r="H260" s="23"/>
      <c r="I260" s="23"/>
      <c r="J260" s="23"/>
      <c r="K260" s="56"/>
      <c r="L260" s="56"/>
      <c r="M260" s="23"/>
      <c r="N260" s="23"/>
      <c r="O260" s="56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ht="15.75" customHeight="1" x14ac:dyDescent="0.15">
      <c r="A261" s="56"/>
      <c r="B261" s="56"/>
      <c r="C261" s="23"/>
      <c r="D261" s="23"/>
      <c r="E261" s="23"/>
      <c r="F261" s="23"/>
      <c r="G261" s="23"/>
      <c r="H261" s="23"/>
      <c r="I261" s="23"/>
      <c r="J261" s="23"/>
      <c r="K261" s="56"/>
      <c r="L261" s="56"/>
      <c r="M261" s="23"/>
      <c r="N261" s="23"/>
      <c r="O261" s="56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ht="15.75" customHeight="1" x14ac:dyDescent="0.15">
      <c r="A262" s="56"/>
      <c r="B262" s="56"/>
      <c r="C262" s="23"/>
      <c r="D262" s="23"/>
      <c r="E262" s="23"/>
      <c r="F262" s="23"/>
      <c r="G262" s="23"/>
      <c r="H262" s="23"/>
      <c r="I262" s="23"/>
      <c r="J262" s="23"/>
      <c r="K262" s="56"/>
      <c r="L262" s="56"/>
      <c r="M262" s="23"/>
      <c r="N262" s="23"/>
      <c r="O262" s="56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ht="15.75" customHeight="1" x14ac:dyDescent="0.15">
      <c r="A263" s="56"/>
      <c r="B263" s="56"/>
      <c r="C263" s="23"/>
      <c r="D263" s="23"/>
      <c r="E263" s="23"/>
      <c r="F263" s="23"/>
      <c r="G263" s="23"/>
      <c r="H263" s="23"/>
      <c r="I263" s="23"/>
      <c r="J263" s="23"/>
      <c r="K263" s="56"/>
      <c r="L263" s="56"/>
      <c r="M263" s="23"/>
      <c r="N263" s="23"/>
      <c r="O263" s="56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ht="15.75" customHeight="1" x14ac:dyDescent="0.15">
      <c r="A264" s="56"/>
      <c r="B264" s="56"/>
      <c r="C264" s="23"/>
      <c r="D264" s="23"/>
      <c r="E264" s="23"/>
      <c r="F264" s="23"/>
      <c r="G264" s="23"/>
      <c r="H264" s="23"/>
      <c r="I264" s="23"/>
      <c r="J264" s="23"/>
      <c r="K264" s="56"/>
      <c r="L264" s="56"/>
      <c r="M264" s="23"/>
      <c r="N264" s="23"/>
      <c r="O264" s="56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ht="15.75" customHeight="1" x14ac:dyDescent="0.15">
      <c r="A265" s="56"/>
      <c r="B265" s="56"/>
      <c r="C265" s="23"/>
      <c r="D265" s="23"/>
      <c r="E265" s="23"/>
      <c r="F265" s="23"/>
      <c r="G265" s="23"/>
      <c r="H265" s="23"/>
      <c r="I265" s="23"/>
      <c r="J265" s="23"/>
      <c r="K265" s="56"/>
      <c r="L265" s="56"/>
      <c r="M265" s="23"/>
      <c r="N265" s="23"/>
      <c r="O265" s="56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ht="15.75" customHeight="1" x14ac:dyDescent="0.15">
      <c r="A266" s="56"/>
      <c r="B266" s="56"/>
      <c r="C266" s="23"/>
      <c r="D266" s="23"/>
      <c r="E266" s="23"/>
      <c r="F266" s="23"/>
      <c r="G266" s="23"/>
      <c r="H266" s="23"/>
      <c r="I266" s="23"/>
      <c r="J266" s="23"/>
      <c r="K266" s="56"/>
      <c r="L266" s="56"/>
      <c r="M266" s="23"/>
      <c r="N266" s="23"/>
      <c r="O266" s="56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ht="15.75" customHeight="1" x14ac:dyDescent="0.15">
      <c r="A267" s="56"/>
      <c r="B267" s="56"/>
      <c r="C267" s="23"/>
      <c r="D267" s="23"/>
      <c r="E267" s="23"/>
      <c r="F267" s="23"/>
      <c r="G267" s="23"/>
      <c r="H267" s="23"/>
      <c r="I267" s="23"/>
      <c r="J267" s="23"/>
      <c r="K267" s="56"/>
      <c r="L267" s="56"/>
      <c r="M267" s="23"/>
      <c r="N267" s="23"/>
      <c r="O267" s="56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ht="15.75" customHeight="1" x14ac:dyDescent="0.15">
      <c r="A268" s="56"/>
      <c r="B268" s="56"/>
      <c r="C268" s="23"/>
      <c r="D268" s="23"/>
      <c r="E268" s="23"/>
      <c r="F268" s="23"/>
      <c r="G268" s="23"/>
      <c r="H268" s="23"/>
      <c r="I268" s="23"/>
      <c r="J268" s="23"/>
      <c r="K268" s="56"/>
      <c r="L268" s="56"/>
      <c r="M268" s="23"/>
      <c r="N268" s="23"/>
      <c r="O268" s="56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ht="15.75" customHeight="1" x14ac:dyDescent="0.15">
      <c r="A269" s="56"/>
      <c r="B269" s="56"/>
      <c r="C269" s="23"/>
      <c r="D269" s="23"/>
      <c r="E269" s="23"/>
      <c r="F269" s="23"/>
      <c r="G269" s="23"/>
      <c r="H269" s="23"/>
      <c r="I269" s="23"/>
      <c r="J269" s="23"/>
      <c r="K269" s="56"/>
      <c r="L269" s="56"/>
      <c r="M269" s="23"/>
      <c r="N269" s="23"/>
      <c r="O269" s="56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ht="15.75" customHeight="1" x14ac:dyDescent="0.15">
      <c r="A270" s="56"/>
      <c r="B270" s="56"/>
      <c r="C270" s="23"/>
      <c r="D270" s="23"/>
      <c r="E270" s="23"/>
      <c r="F270" s="23"/>
      <c r="G270" s="23"/>
      <c r="H270" s="23"/>
      <c r="I270" s="23"/>
      <c r="J270" s="23"/>
      <c r="K270" s="56"/>
      <c r="L270" s="56"/>
      <c r="M270" s="23"/>
      <c r="N270" s="23"/>
      <c r="O270" s="56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ht="15.75" customHeight="1" x14ac:dyDescent="0.15">
      <c r="A271" s="56"/>
      <c r="B271" s="56"/>
      <c r="C271" s="23"/>
      <c r="D271" s="23"/>
      <c r="E271" s="23"/>
      <c r="F271" s="23"/>
      <c r="G271" s="23"/>
      <c r="H271" s="23"/>
      <c r="I271" s="23"/>
      <c r="J271" s="23"/>
      <c r="K271" s="56"/>
      <c r="L271" s="56"/>
      <c r="M271" s="23"/>
      <c r="N271" s="23"/>
      <c r="O271" s="56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ht="15.75" customHeight="1" x14ac:dyDescent="0.15">
      <c r="A272" s="56"/>
      <c r="B272" s="56"/>
      <c r="C272" s="23"/>
      <c r="D272" s="23"/>
      <c r="E272" s="23"/>
      <c r="F272" s="23"/>
      <c r="G272" s="23"/>
      <c r="H272" s="23"/>
      <c r="I272" s="23"/>
      <c r="J272" s="23"/>
      <c r="K272" s="56"/>
      <c r="L272" s="56"/>
      <c r="M272" s="23"/>
      <c r="N272" s="23"/>
      <c r="O272" s="56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ht="15.75" customHeight="1" x14ac:dyDescent="0.15">
      <c r="A273" s="56"/>
      <c r="B273" s="56"/>
      <c r="C273" s="23"/>
      <c r="D273" s="23"/>
      <c r="E273" s="23"/>
      <c r="F273" s="23"/>
      <c r="G273" s="23"/>
      <c r="H273" s="23"/>
      <c r="I273" s="23"/>
      <c r="J273" s="23"/>
      <c r="K273" s="56"/>
      <c r="L273" s="56"/>
      <c r="M273" s="23"/>
      <c r="N273" s="23"/>
      <c r="O273" s="56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ht="15.75" customHeight="1" x14ac:dyDescent="0.15">
      <c r="A274" s="56"/>
      <c r="B274" s="56"/>
      <c r="C274" s="23"/>
      <c r="D274" s="23"/>
      <c r="E274" s="23"/>
      <c r="F274" s="23"/>
      <c r="G274" s="23"/>
      <c r="H274" s="23"/>
      <c r="I274" s="23"/>
      <c r="J274" s="23"/>
      <c r="K274" s="56"/>
      <c r="L274" s="56"/>
      <c r="M274" s="23"/>
      <c r="N274" s="23"/>
      <c r="O274" s="56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ht="15.75" customHeight="1" x14ac:dyDescent="0.15">
      <c r="A275" s="56"/>
      <c r="B275" s="56"/>
      <c r="C275" s="23"/>
      <c r="D275" s="23"/>
      <c r="E275" s="23"/>
      <c r="F275" s="23"/>
      <c r="G275" s="23"/>
      <c r="H275" s="23"/>
      <c r="I275" s="23"/>
      <c r="J275" s="23"/>
      <c r="K275" s="56"/>
      <c r="L275" s="56"/>
      <c r="M275" s="23"/>
      <c r="N275" s="23"/>
      <c r="O275" s="56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ht="15.75" customHeight="1" x14ac:dyDescent="0.15">
      <c r="A276" s="56"/>
      <c r="B276" s="56"/>
      <c r="C276" s="23"/>
      <c r="D276" s="23"/>
      <c r="E276" s="23"/>
      <c r="F276" s="23"/>
      <c r="G276" s="23"/>
      <c r="H276" s="23"/>
      <c r="I276" s="23"/>
      <c r="J276" s="23"/>
      <c r="K276" s="56"/>
      <c r="L276" s="56"/>
      <c r="M276" s="23"/>
      <c r="N276" s="23"/>
      <c r="O276" s="56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ht="15.75" customHeight="1" x14ac:dyDescent="0.15">
      <c r="A277" s="56"/>
      <c r="B277" s="56"/>
      <c r="C277" s="23"/>
      <c r="D277" s="23"/>
      <c r="E277" s="23"/>
      <c r="F277" s="23"/>
      <c r="G277" s="23"/>
      <c r="H277" s="23"/>
      <c r="I277" s="23"/>
      <c r="J277" s="23"/>
      <c r="K277" s="56"/>
      <c r="L277" s="56"/>
      <c r="M277" s="23"/>
      <c r="N277" s="23"/>
      <c r="O277" s="56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ht="15.75" customHeight="1" x14ac:dyDescent="0.15">
      <c r="A278" s="56"/>
      <c r="B278" s="56"/>
      <c r="C278" s="23"/>
      <c r="D278" s="23"/>
      <c r="E278" s="23"/>
      <c r="F278" s="23"/>
      <c r="G278" s="23"/>
      <c r="H278" s="23"/>
      <c r="I278" s="23"/>
      <c r="J278" s="23"/>
      <c r="K278" s="56"/>
      <c r="L278" s="56"/>
      <c r="M278" s="23"/>
      <c r="N278" s="23"/>
      <c r="O278" s="56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ht="15.75" customHeight="1" x14ac:dyDescent="0.15">
      <c r="A279" s="56"/>
      <c r="B279" s="56"/>
      <c r="C279" s="23"/>
      <c r="D279" s="23"/>
      <c r="E279" s="23"/>
      <c r="F279" s="23"/>
      <c r="G279" s="23"/>
      <c r="H279" s="23"/>
      <c r="I279" s="23"/>
      <c r="J279" s="23"/>
      <c r="K279" s="56"/>
      <c r="L279" s="56"/>
      <c r="M279" s="23"/>
      <c r="N279" s="23"/>
      <c r="O279" s="56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ht="15.75" customHeight="1" x14ac:dyDescent="0.15">
      <c r="A280" s="56"/>
      <c r="B280" s="56"/>
      <c r="C280" s="23"/>
      <c r="D280" s="23"/>
      <c r="E280" s="23"/>
      <c r="F280" s="23"/>
      <c r="G280" s="23"/>
      <c r="H280" s="23"/>
      <c r="I280" s="23"/>
      <c r="J280" s="23"/>
      <c r="K280" s="56"/>
      <c r="L280" s="56"/>
      <c r="M280" s="23"/>
      <c r="N280" s="23"/>
      <c r="O280" s="56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ht="15.75" customHeight="1" x14ac:dyDescent="0.15">
      <c r="A281" s="56"/>
      <c r="B281" s="56"/>
      <c r="C281" s="23"/>
      <c r="D281" s="23"/>
      <c r="E281" s="23"/>
      <c r="F281" s="23"/>
      <c r="G281" s="23"/>
      <c r="H281" s="23"/>
      <c r="I281" s="23"/>
      <c r="J281" s="23"/>
      <c r="K281" s="56"/>
      <c r="L281" s="56"/>
      <c r="M281" s="23"/>
      <c r="N281" s="23"/>
      <c r="O281" s="56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ht="15.75" customHeight="1" x14ac:dyDescent="0.15">
      <c r="A282" s="56"/>
      <c r="B282" s="56"/>
      <c r="C282" s="23"/>
      <c r="D282" s="23"/>
      <c r="E282" s="23"/>
      <c r="F282" s="23"/>
      <c r="G282" s="23"/>
      <c r="H282" s="23"/>
      <c r="I282" s="23"/>
      <c r="J282" s="23"/>
      <c r="K282" s="56"/>
      <c r="L282" s="56"/>
      <c r="M282" s="23"/>
      <c r="N282" s="23"/>
      <c r="O282" s="56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ht="15.75" customHeight="1" x14ac:dyDescent="0.15">
      <c r="A283" s="56"/>
      <c r="B283" s="56"/>
      <c r="C283" s="23"/>
      <c r="D283" s="23"/>
      <c r="E283" s="23"/>
      <c r="F283" s="23"/>
      <c r="G283" s="23"/>
      <c r="H283" s="23"/>
      <c r="I283" s="23"/>
      <c r="J283" s="23"/>
      <c r="K283" s="56"/>
      <c r="L283" s="56"/>
      <c r="M283" s="23"/>
      <c r="N283" s="23"/>
      <c r="O283" s="56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ht="15.75" customHeight="1" x14ac:dyDescent="0.15">
      <c r="A284" s="56"/>
      <c r="B284" s="56"/>
      <c r="C284" s="23"/>
      <c r="D284" s="23"/>
      <c r="E284" s="23"/>
      <c r="F284" s="23"/>
      <c r="G284" s="23"/>
      <c r="H284" s="23"/>
      <c r="I284" s="23"/>
      <c r="J284" s="23"/>
      <c r="K284" s="56"/>
      <c r="L284" s="56"/>
      <c r="M284" s="23"/>
      <c r="N284" s="23"/>
      <c r="O284" s="56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ht="15.75" customHeight="1" x14ac:dyDescent="0.15">
      <c r="A285" s="56"/>
      <c r="B285" s="56"/>
      <c r="C285" s="23"/>
      <c r="D285" s="23"/>
      <c r="E285" s="23"/>
      <c r="F285" s="23"/>
      <c r="G285" s="23"/>
      <c r="H285" s="23"/>
      <c r="I285" s="23"/>
      <c r="J285" s="23"/>
      <c r="K285" s="56"/>
      <c r="L285" s="56"/>
      <c r="M285" s="23"/>
      <c r="N285" s="23"/>
      <c r="O285" s="56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ht="15.75" customHeight="1" x14ac:dyDescent="0.15">
      <c r="A286" s="56"/>
      <c r="B286" s="56"/>
      <c r="C286" s="23"/>
      <c r="D286" s="23"/>
      <c r="E286" s="23"/>
      <c r="F286" s="23"/>
      <c r="G286" s="23"/>
      <c r="H286" s="23"/>
      <c r="I286" s="23"/>
      <c r="J286" s="23"/>
      <c r="K286" s="56"/>
      <c r="L286" s="56"/>
      <c r="M286" s="23"/>
      <c r="N286" s="23"/>
      <c r="O286" s="56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ht="15.75" customHeight="1" x14ac:dyDescent="0.15">
      <c r="A287" s="56"/>
      <c r="B287" s="56"/>
      <c r="C287" s="23"/>
      <c r="D287" s="23"/>
      <c r="E287" s="23"/>
      <c r="F287" s="23"/>
      <c r="G287" s="23"/>
      <c r="H287" s="23"/>
      <c r="I287" s="23"/>
      <c r="J287" s="23"/>
      <c r="K287" s="56"/>
      <c r="L287" s="56"/>
      <c r="M287" s="23"/>
      <c r="N287" s="23"/>
      <c r="O287" s="56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ht="15.75" customHeight="1" x14ac:dyDescent="0.15">
      <c r="A288" s="56"/>
      <c r="B288" s="56"/>
      <c r="C288" s="23"/>
      <c r="D288" s="23"/>
      <c r="E288" s="23"/>
      <c r="F288" s="23"/>
      <c r="G288" s="23"/>
      <c r="H288" s="23"/>
      <c r="I288" s="23"/>
      <c r="J288" s="23"/>
      <c r="K288" s="56"/>
      <c r="L288" s="56"/>
      <c r="M288" s="23"/>
      <c r="N288" s="23"/>
      <c r="O288" s="56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ht="15.75" customHeight="1" x14ac:dyDescent="0.15">
      <c r="A289" s="56"/>
      <c r="B289" s="56"/>
      <c r="C289" s="23"/>
      <c r="D289" s="23"/>
      <c r="E289" s="23"/>
      <c r="F289" s="23"/>
      <c r="G289" s="23"/>
      <c r="H289" s="23"/>
      <c r="I289" s="23"/>
      <c r="J289" s="23"/>
      <c r="K289" s="56"/>
      <c r="L289" s="56"/>
      <c r="M289" s="23"/>
      <c r="N289" s="23"/>
      <c r="O289" s="56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ht="15.75" customHeight="1" x14ac:dyDescent="0.15">
      <c r="A290" s="56"/>
      <c r="B290" s="56"/>
      <c r="C290" s="23"/>
      <c r="D290" s="23"/>
      <c r="E290" s="23"/>
      <c r="F290" s="23"/>
      <c r="G290" s="23"/>
      <c r="H290" s="23"/>
      <c r="I290" s="23"/>
      <c r="J290" s="23"/>
      <c r="K290" s="56"/>
      <c r="L290" s="56"/>
      <c r="M290" s="23"/>
      <c r="N290" s="23"/>
      <c r="O290" s="56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ht="15.75" customHeight="1" x14ac:dyDescent="0.15">
      <c r="A291" s="56"/>
      <c r="B291" s="56"/>
      <c r="C291" s="23"/>
      <c r="D291" s="23"/>
      <c r="E291" s="23"/>
      <c r="F291" s="23"/>
      <c r="G291" s="23"/>
      <c r="H291" s="23"/>
      <c r="I291" s="23"/>
      <c r="J291" s="23"/>
      <c r="K291" s="56"/>
      <c r="L291" s="56"/>
      <c r="M291" s="23"/>
      <c r="N291" s="23"/>
      <c r="O291" s="56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ht="15.75" customHeight="1" x14ac:dyDescent="0.15">
      <c r="A292" s="56"/>
      <c r="B292" s="56"/>
      <c r="C292" s="23"/>
      <c r="D292" s="23"/>
      <c r="E292" s="23"/>
      <c r="F292" s="23"/>
      <c r="G292" s="23"/>
      <c r="H292" s="23"/>
      <c r="I292" s="23"/>
      <c r="J292" s="23"/>
      <c r="K292" s="56"/>
      <c r="L292" s="56"/>
      <c r="M292" s="23"/>
      <c r="N292" s="23"/>
      <c r="O292" s="56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ht="15.75" customHeight="1" x14ac:dyDescent="0.15">
      <c r="A293" s="56"/>
      <c r="B293" s="56"/>
      <c r="C293" s="23"/>
      <c r="D293" s="23"/>
      <c r="E293" s="23"/>
      <c r="F293" s="23"/>
      <c r="G293" s="23"/>
      <c r="H293" s="23"/>
      <c r="I293" s="23"/>
      <c r="J293" s="23"/>
      <c r="K293" s="56"/>
      <c r="L293" s="56"/>
      <c r="M293" s="23"/>
      <c r="N293" s="23"/>
      <c r="O293" s="56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ht="15.75" customHeight="1" x14ac:dyDescent="0.15">
      <c r="A294" s="56"/>
      <c r="B294" s="56"/>
      <c r="C294" s="23"/>
      <c r="D294" s="23"/>
      <c r="E294" s="23"/>
      <c r="F294" s="23"/>
      <c r="G294" s="23"/>
      <c r="H294" s="23"/>
      <c r="I294" s="23"/>
      <c r="J294" s="23"/>
      <c r="K294" s="56"/>
      <c r="L294" s="56"/>
      <c r="M294" s="23"/>
      <c r="N294" s="23"/>
      <c r="O294" s="56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ht="15.75" customHeight="1" x14ac:dyDescent="0.15">
      <c r="A295" s="56"/>
      <c r="B295" s="56"/>
      <c r="C295" s="23"/>
      <c r="D295" s="23"/>
      <c r="E295" s="23"/>
      <c r="F295" s="23"/>
      <c r="G295" s="23"/>
      <c r="H295" s="23"/>
      <c r="I295" s="23"/>
      <c r="J295" s="23"/>
      <c r="K295" s="56"/>
      <c r="L295" s="56"/>
      <c r="M295" s="23"/>
      <c r="N295" s="23"/>
      <c r="O295" s="56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ht="15.75" customHeight="1" x14ac:dyDescent="0.15">
      <c r="A296" s="56"/>
      <c r="B296" s="56"/>
      <c r="C296" s="23"/>
      <c r="D296" s="23"/>
      <c r="E296" s="23"/>
      <c r="F296" s="23"/>
      <c r="G296" s="23"/>
      <c r="H296" s="23"/>
      <c r="I296" s="23"/>
      <c r="J296" s="23"/>
      <c r="K296" s="56"/>
      <c r="L296" s="56"/>
      <c r="M296" s="23"/>
      <c r="N296" s="23"/>
      <c r="O296" s="56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ht="15.75" customHeight="1" x14ac:dyDescent="0.15">
      <c r="A297" s="56"/>
      <c r="B297" s="56"/>
      <c r="C297" s="23"/>
      <c r="D297" s="23"/>
      <c r="E297" s="23"/>
      <c r="F297" s="23"/>
      <c r="G297" s="23"/>
      <c r="H297" s="23"/>
      <c r="I297" s="23"/>
      <c r="J297" s="23"/>
      <c r="K297" s="56"/>
      <c r="L297" s="56"/>
      <c r="M297" s="23"/>
      <c r="N297" s="23"/>
      <c r="O297" s="56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ht="15.75" customHeight="1" x14ac:dyDescent="0.15">
      <c r="A298" s="56"/>
      <c r="B298" s="56"/>
      <c r="C298" s="23"/>
      <c r="D298" s="23"/>
      <c r="E298" s="23"/>
      <c r="F298" s="23"/>
      <c r="G298" s="23"/>
      <c r="H298" s="23"/>
      <c r="I298" s="23"/>
      <c r="J298" s="23"/>
      <c r="K298" s="56"/>
      <c r="L298" s="56"/>
      <c r="M298" s="23"/>
      <c r="N298" s="23"/>
      <c r="O298" s="56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ht="15.75" customHeight="1" x14ac:dyDescent="0.15">
      <c r="A299" s="56"/>
      <c r="B299" s="56"/>
      <c r="C299" s="23"/>
      <c r="D299" s="23"/>
      <c r="E299" s="23"/>
      <c r="F299" s="23"/>
      <c r="G299" s="23"/>
      <c r="H299" s="23"/>
      <c r="I299" s="23"/>
      <c r="J299" s="23"/>
      <c r="K299" s="56"/>
      <c r="L299" s="56"/>
      <c r="M299" s="23"/>
      <c r="N299" s="23"/>
      <c r="O299" s="56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ht="15.75" customHeight="1" x14ac:dyDescent="0.15">
      <c r="A300" s="56"/>
      <c r="B300" s="56"/>
      <c r="C300" s="23"/>
      <c r="D300" s="23"/>
      <c r="E300" s="23"/>
      <c r="F300" s="23"/>
      <c r="G300" s="23"/>
      <c r="H300" s="23"/>
      <c r="I300" s="23"/>
      <c r="J300" s="23"/>
      <c r="K300" s="56"/>
      <c r="L300" s="56"/>
      <c r="M300" s="23"/>
      <c r="N300" s="23"/>
      <c r="O300" s="56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ht="15.75" customHeight="1" x14ac:dyDescent="0.15">
      <c r="A301" s="56"/>
      <c r="B301" s="56"/>
      <c r="C301" s="23"/>
      <c r="D301" s="23"/>
      <c r="E301" s="23"/>
      <c r="F301" s="23"/>
      <c r="G301" s="23"/>
      <c r="H301" s="23"/>
      <c r="I301" s="23"/>
      <c r="J301" s="23"/>
      <c r="K301" s="56"/>
      <c r="L301" s="56"/>
      <c r="M301" s="23"/>
      <c r="N301" s="23"/>
      <c r="O301" s="56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ht="15.75" customHeight="1" x14ac:dyDescent="0.15">
      <c r="A302" s="56"/>
      <c r="B302" s="56"/>
      <c r="C302" s="23"/>
      <c r="D302" s="23"/>
      <c r="E302" s="23"/>
      <c r="F302" s="23"/>
      <c r="G302" s="23"/>
      <c r="H302" s="23"/>
      <c r="I302" s="23"/>
      <c r="J302" s="23"/>
      <c r="K302" s="56"/>
      <c r="L302" s="56"/>
      <c r="M302" s="23"/>
      <c r="N302" s="23"/>
      <c r="O302" s="56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ht="15.75" customHeight="1" x14ac:dyDescent="0.15">
      <c r="A303" s="56"/>
      <c r="B303" s="56"/>
      <c r="C303" s="23"/>
      <c r="D303" s="23"/>
      <c r="E303" s="23"/>
      <c r="F303" s="23"/>
      <c r="G303" s="23"/>
      <c r="H303" s="23"/>
      <c r="I303" s="23"/>
      <c r="J303" s="23"/>
      <c r="K303" s="56"/>
      <c r="L303" s="56"/>
      <c r="M303" s="23"/>
      <c r="N303" s="23"/>
      <c r="O303" s="56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ht="15.75" customHeight="1" x14ac:dyDescent="0.15">
      <c r="A304" s="56"/>
      <c r="B304" s="56"/>
      <c r="C304" s="23"/>
      <c r="D304" s="23"/>
      <c r="E304" s="23"/>
      <c r="F304" s="23"/>
      <c r="G304" s="23"/>
      <c r="H304" s="23"/>
      <c r="I304" s="23"/>
      <c r="J304" s="23"/>
      <c r="K304" s="56"/>
      <c r="L304" s="56"/>
      <c r="M304" s="23"/>
      <c r="N304" s="23"/>
      <c r="O304" s="56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ht="15.75" customHeight="1" x14ac:dyDescent="0.15">
      <c r="A305" s="56"/>
      <c r="B305" s="56"/>
      <c r="C305" s="23"/>
      <c r="D305" s="23"/>
      <c r="E305" s="23"/>
      <c r="F305" s="23"/>
      <c r="G305" s="23"/>
      <c r="H305" s="23"/>
      <c r="I305" s="23"/>
      <c r="J305" s="23"/>
      <c r="K305" s="56"/>
      <c r="L305" s="56"/>
      <c r="M305" s="23"/>
      <c r="N305" s="23"/>
      <c r="O305" s="56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ht="15.75" customHeight="1" x14ac:dyDescent="0.15">
      <c r="A306" s="56"/>
      <c r="B306" s="56"/>
      <c r="C306" s="23"/>
      <c r="D306" s="23"/>
      <c r="E306" s="23"/>
      <c r="F306" s="23"/>
      <c r="G306" s="23"/>
      <c r="H306" s="23"/>
      <c r="I306" s="23"/>
      <c r="J306" s="23"/>
      <c r="K306" s="56"/>
      <c r="L306" s="56"/>
      <c r="M306" s="23"/>
      <c r="N306" s="23"/>
      <c r="O306" s="56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ht="15.75" customHeight="1" x14ac:dyDescent="0.15">
      <c r="A307" s="56"/>
      <c r="B307" s="56"/>
      <c r="C307" s="23"/>
      <c r="D307" s="23"/>
      <c r="E307" s="23"/>
      <c r="F307" s="23"/>
      <c r="G307" s="23"/>
      <c r="H307" s="23"/>
      <c r="I307" s="23"/>
      <c r="J307" s="23"/>
      <c r="K307" s="56"/>
      <c r="L307" s="56"/>
      <c r="M307" s="23"/>
      <c r="N307" s="23"/>
      <c r="O307" s="56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ht="15.75" customHeight="1" x14ac:dyDescent="0.15">
      <c r="A308" s="56"/>
      <c r="B308" s="56"/>
      <c r="C308" s="23"/>
      <c r="D308" s="23"/>
      <c r="E308" s="23"/>
      <c r="F308" s="23"/>
      <c r="G308" s="23"/>
      <c r="H308" s="23"/>
      <c r="I308" s="23"/>
      <c r="J308" s="23"/>
      <c r="K308" s="56"/>
      <c r="L308" s="56"/>
      <c r="M308" s="23"/>
      <c r="N308" s="23"/>
      <c r="O308" s="56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ht="15.75" customHeight="1" x14ac:dyDescent="0.15">
      <c r="A309" s="56"/>
      <c r="B309" s="56"/>
      <c r="C309" s="23"/>
      <c r="D309" s="23"/>
      <c r="E309" s="23"/>
      <c r="F309" s="23"/>
      <c r="G309" s="23"/>
      <c r="H309" s="23"/>
      <c r="I309" s="23"/>
      <c r="J309" s="23"/>
      <c r="K309" s="56"/>
      <c r="L309" s="56"/>
      <c r="M309" s="23"/>
      <c r="N309" s="23"/>
      <c r="O309" s="56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ht="15.75" customHeight="1" x14ac:dyDescent="0.15">
      <c r="A310" s="56"/>
      <c r="B310" s="56"/>
      <c r="C310" s="23"/>
      <c r="D310" s="23"/>
      <c r="E310" s="23"/>
      <c r="F310" s="23"/>
      <c r="G310" s="23"/>
      <c r="H310" s="23"/>
      <c r="I310" s="23"/>
      <c r="J310" s="23"/>
      <c r="K310" s="56"/>
      <c r="L310" s="56"/>
      <c r="M310" s="23"/>
      <c r="N310" s="23"/>
      <c r="O310" s="56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ht="15.75" customHeight="1" x14ac:dyDescent="0.15">
      <c r="A311" s="56"/>
      <c r="B311" s="56"/>
      <c r="C311" s="23"/>
      <c r="D311" s="23"/>
      <c r="E311" s="23"/>
      <c r="F311" s="23"/>
      <c r="G311" s="23"/>
      <c r="H311" s="23"/>
      <c r="I311" s="23"/>
      <c r="J311" s="23"/>
      <c r="K311" s="56"/>
      <c r="L311" s="56"/>
      <c r="M311" s="23"/>
      <c r="N311" s="23"/>
      <c r="O311" s="56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ht="15.75" customHeight="1" x14ac:dyDescent="0.15">
      <c r="A312" s="56"/>
      <c r="B312" s="56"/>
      <c r="C312" s="23"/>
      <c r="D312" s="23"/>
      <c r="E312" s="23"/>
      <c r="F312" s="23"/>
      <c r="G312" s="23"/>
      <c r="H312" s="23"/>
      <c r="I312" s="23"/>
      <c r="J312" s="23"/>
      <c r="K312" s="56"/>
      <c r="L312" s="56"/>
      <c r="M312" s="23"/>
      <c r="N312" s="23"/>
      <c r="O312" s="56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ht="15.75" customHeight="1" x14ac:dyDescent="0.15">
      <c r="A313" s="56"/>
      <c r="B313" s="56"/>
      <c r="C313" s="23"/>
      <c r="D313" s="23"/>
      <c r="E313" s="23"/>
      <c r="F313" s="23"/>
      <c r="G313" s="23"/>
      <c r="H313" s="23"/>
      <c r="I313" s="23"/>
      <c r="J313" s="23"/>
      <c r="K313" s="56"/>
      <c r="L313" s="56"/>
      <c r="M313" s="23"/>
      <c r="N313" s="23"/>
      <c r="O313" s="56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ht="15.75" customHeight="1" x14ac:dyDescent="0.15">
      <c r="A314" s="56"/>
      <c r="B314" s="56"/>
      <c r="C314" s="23"/>
      <c r="D314" s="23"/>
      <c r="E314" s="23"/>
      <c r="F314" s="23"/>
      <c r="G314" s="23"/>
      <c r="H314" s="23"/>
      <c r="I314" s="23"/>
      <c r="J314" s="23"/>
      <c r="K314" s="56"/>
      <c r="L314" s="56"/>
      <c r="M314" s="23"/>
      <c r="N314" s="23"/>
      <c r="O314" s="56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ht="15.75" customHeight="1" x14ac:dyDescent="0.15">
      <c r="A315" s="56"/>
      <c r="B315" s="56"/>
      <c r="C315" s="23"/>
      <c r="D315" s="23"/>
      <c r="E315" s="23"/>
      <c r="F315" s="23"/>
      <c r="G315" s="23"/>
      <c r="H315" s="23"/>
      <c r="I315" s="23"/>
      <c r="J315" s="23"/>
      <c r="K315" s="56"/>
      <c r="L315" s="56"/>
      <c r="M315" s="23"/>
      <c r="N315" s="23"/>
      <c r="O315" s="56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ht="15.75" customHeight="1" x14ac:dyDescent="0.15">
      <c r="A316" s="56"/>
      <c r="B316" s="56"/>
      <c r="C316" s="23"/>
      <c r="D316" s="23"/>
      <c r="E316" s="23"/>
      <c r="F316" s="23"/>
      <c r="G316" s="23"/>
      <c r="H316" s="23"/>
      <c r="I316" s="23"/>
      <c r="J316" s="23"/>
      <c r="K316" s="56"/>
      <c r="L316" s="56"/>
      <c r="M316" s="23"/>
      <c r="N316" s="23"/>
      <c r="O316" s="56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ht="15.75" customHeight="1" x14ac:dyDescent="0.15">
      <c r="A317" s="56"/>
      <c r="B317" s="56"/>
      <c r="C317" s="23"/>
      <c r="D317" s="23"/>
      <c r="E317" s="23"/>
      <c r="F317" s="23"/>
      <c r="G317" s="23"/>
      <c r="H317" s="23"/>
      <c r="I317" s="23"/>
      <c r="J317" s="23"/>
      <c r="K317" s="56"/>
      <c r="L317" s="56"/>
      <c r="M317" s="23"/>
      <c r="N317" s="23"/>
      <c r="O317" s="56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ht="13" x14ac:dyDescent="0.15">
      <c r="A318" s="56"/>
      <c r="B318" s="56"/>
      <c r="K318" s="79"/>
      <c r="L318" s="79"/>
      <c r="O318" s="56"/>
    </row>
    <row r="319" spans="1:27" ht="13" x14ac:dyDescent="0.15">
      <c r="A319" s="56"/>
      <c r="B319" s="56"/>
      <c r="K319" s="79"/>
      <c r="L319" s="79"/>
      <c r="O319" s="56"/>
    </row>
    <row r="320" spans="1:27" ht="13" x14ac:dyDescent="0.15">
      <c r="A320" s="56"/>
      <c r="B320" s="56"/>
      <c r="K320" s="79"/>
      <c r="L320" s="79"/>
      <c r="O320" s="56"/>
    </row>
    <row r="321" spans="1:15" ht="13" x14ac:dyDescent="0.15">
      <c r="A321" s="56"/>
      <c r="B321" s="56"/>
      <c r="K321" s="79"/>
      <c r="L321" s="79"/>
      <c r="O321" s="56"/>
    </row>
    <row r="322" spans="1:15" ht="13" x14ac:dyDescent="0.15">
      <c r="A322" s="56"/>
      <c r="B322" s="56"/>
      <c r="K322" s="79"/>
      <c r="L322" s="79"/>
      <c r="O322" s="56"/>
    </row>
    <row r="323" spans="1:15" ht="13" x14ac:dyDescent="0.15">
      <c r="A323" s="56"/>
      <c r="B323" s="56"/>
      <c r="K323" s="79"/>
      <c r="L323" s="79"/>
      <c r="O323" s="56"/>
    </row>
    <row r="324" spans="1:15" ht="13" x14ac:dyDescent="0.15">
      <c r="A324" s="56"/>
      <c r="B324" s="56"/>
      <c r="K324" s="79"/>
      <c r="L324" s="79"/>
      <c r="O324" s="56"/>
    </row>
    <row r="325" spans="1:15" ht="13" x14ac:dyDescent="0.15">
      <c r="A325" s="56"/>
      <c r="B325" s="56"/>
      <c r="K325" s="79"/>
      <c r="L325" s="79"/>
      <c r="O325" s="56"/>
    </row>
    <row r="326" spans="1:15" ht="13" x14ac:dyDescent="0.15">
      <c r="A326" s="56"/>
      <c r="B326" s="56"/>
      <c r="K326" s="79"/>
      <c r="L326" s="79"/>
      <c r="O326" s="56"/>
    </row>
    <row r="327" spans="1:15" ht="13" x14ac:dyDescent="0.15">
      <c r="A327" s="56"/>
      <c r="B327" s="56"/>
      <c r="K327" s="79"/>
      <c r="L327" s="79"/>
      <c r="O327" s="56"/>
    </row>
    <row r="328" spans="1:15" ht="13" x14ac:dyDescent="0.15">
      <c r="A328" s="56"/>
      <c r="B328" s="56"/>
      <c r="K328" s="79"/>
      <c r="L328" s="79"/>
      <c r="O328" s="56"/>
    </row>
    <row r="329" spans="1:15" ht="13" x14ac:dyDescent="0.15">
      <c r="A329" s="56"/>
      <c r="B329" s="56"/>
      <c r="K329" s="79"/>
      <c r="L329" s="79"/>
      <c r="O329" s="56"/>
    </row>
    <row r="330" spans="1:15" ht="13" x14ac:dyDescent="0.15">
      <c r="A330" s="56"/>
      <c r="B330" s="56"/>
      <c r="K330" s="79"/>
      <c r="L330" s="79"/>
      <c r="O330" s="56"/>
    </row>
    <row r="331" spans="1:15" ht="13" x14ac:dyDescent="0.15">
      <c r="A331" s="56"/>
      <c r="B331" s="56"/>
      <c r="K331" s="79"/>
      <c r="L331" s="79"/>
      <c r="O331" s="56"/>
    </row>
    <row r="332" spans="1:15" ht="13" x14ac:dyDescent="0.15">
      <c r="A332" s="56"/>
      <c r="B332" s="56"/>
      <c r="K332" s="79"/>
      <c r="L332" s="79"/>
      <c r="O332" s="56"/>
    </row>
    <row r="333" spans="1:15" ht="13" x14ac:dyDescent="0.15">
      <c r="A333" s="56"/>
      <c r="B333" s="56"/>
      <c r="K333" s="79"/>
      <c r="L333" s="79"/>
      <c r="O333" s="56"/>
    </row>
    <row r="334" spans="1:15" ht="13" x14ac:dyDescent="0.15">
      <c r="A334" s="56"/>
      <c r="B334" s="56"/>
      <c r="K334" s="79"/>
      <c r="L334" s="79"/>
      <c r="O334" s="56"/>
    </row>
    <row r="335" spans="1:15" ht="13" x14ac:dyDescent="0.15">
      <c r="A335" s="56"/>
      <c r="B335" s="56"/>
      <c r="K335" s="79"/>
      <c r="L335" s="79"/>
      <c r="O335" s="56"/>
    </row>
    <row r="336" spans="1:15" ht="13" x14ac:dyDescent="0.15">
      <c r="A336" s="56"/>
      <c r="B336" s="56"/>
      <c r="K336" s="79"/>
      <c r="L336" s="79"/>
      <c r="O336" s="56"/>
    </row>
    <row r="337" spans="1:15" ht="13" x14ac:dyDescent="0.15">
      <c r="A337" s="56"/>
      <c r="B337" s="56"/>
      <c r="K337" s="79"/>
      <c r="L337" s="79"/>
      <c r="O337" s="56"/>
    </row>
    <row r="338" spans="1:15" ht="13" x14ac:dyDescent="0.15">
      <c r="A338" s="56"/>
      <c r="B338" s="56"/>
      <c r="K338" s="79"/>
      <c r="L338" s="79"/>
      <c r="O338" s="56"/>
    </row>
    <row r="339" spans="1:15" ht="13" x14ac:dyDescent="0.15">
      <c r="A339" s="56"/>
      <c r="B339" s="56"/>
      <c r="K339" s="79"/>
      <c r="L339" s="79"/>
      <c r="O339" s="56"/>
    </row>
    <row r="340" spans="1:15" ht="13" x14ac:dyDescent="0.15">
      <c r="A340" s="56"/>
      <c r="B340" s="56"/>
      <c r="K340" s="79"/>
      <c r="L340" s="79"/>
      <c r="O340" s="56"/>
    </row>
    <row r="341" spans="1:15" ht="13" x14ac:dyDescent="0.15">
      <c r="A341" s="56"/>
      <c r="B341" s="56"/>
      <c r="K341" s="79"/>
      <c r="L341" s="79"/>
      <c r="O341" s="56"/>
    </row>
    <row r="342" spans="1:15" ht="13" x14ac:dyDescent="0.15">
      <c r="A342" s="56"/>
      <c r="B342" s="56"/>
      <c r="K342" s="79"/>
      <c r="L342" s="79"/>
      <c r="O342" s="56"/>
    </row>
    <row r="343" spans="1:15" ht="13" x14ac:dyDescent="0.15">
      <c r="A343" s="56"/>
      <c r="B343" s="56"/>
      <c r="K343" s="79"/>
      <c r="L343" s="79"/>
      <c r="O343" s="56"/>
    </row>
    <row r="344" spans="1:15" ht="13" x14ac:dyDescent="0.15">
      <c r="A344" s="56"/>
      <c r="B344" s="56"/>
      <c r="K344" s="79"/>
      <c r="L344" s="79"/>
      <c r="O344" s="56"/>
    </row>
    <row r="345" spans="1:15" ht="13" x14ac:dyDescent="0.15">
      <c r="A345" s="56"/>
      <c r="B345" s="56"/>
      <c r="K345" s="79"/>
      <c r="L345" s="79"/>
      <c r="O345" s="56"/>
    </row>
    <row r="346" spans="1:15" ht="13" x14ac:dyDescent="0.15">
      <c r="A346" s="56"/>
      <c r="B346" s="56"/>
      <c r="K346" s="79"/>
      <c r="L346" s="79"/>
      <c r="O346" s="56"/>
    </row>
    <row r="347" spans="1:15" ht="13" x14ac:dyDescent="0.15">
      <c r="A347" s="56"/>
      <c r="B347" s="56"/>
      <c r="K347" s="79"/>
      <c r="L347" s="79"/>
      <c r="O347" s="56"/>
    </row>
    <row r="348" spans="1:15" ht="13" x14ac:dyDescent="0.15">
      <c r="A348" s="56"/>
      <c r="B348" s="56"/>
      <c r="K348" s="79"/>
      <c r="L348" s="79"/>
      <c r="O348" s="56"/>
    </row>
    <row r="349" spans="1:15" ht="13" x14ac:dyDescent="0.15">
      <c r="A349" s="56"/>
      <c r="B349" s="56"/>
      <c r="K349" s="79"/>
      <c r="L349" s="79"/>
      <c r="O349" s="56"/>
    </row>
    <row r="350" spans="1:15" ht="13" x14ac:dyDescent="0.15">
      <c r="A350" s="56"/>
      <c r="B350" s="56"/>
      <c r="K350" s="79"/>
      <c r="L350" s="79"/>
      <c r="O350" s="56"/>
    </row>
    <row r="351" spans="1:15" ht="13" x14ac:dyDescent="0.15">
      <c r="A351" s="56"/>
      <c r="B351" s="56"/>
      <c r="K351" s="79"/>
      <c r="L351" s="79"/>
      <c r="O351" s="56"/>
    </row>
    <row r="352" spans="1:15" ht="13" x14ac:dyDescent="0.15">
      <c r="A352" s="56"/>
      <c r="B352" s="56"/>
      <c r="K352" s="79"/>
      <c r="L352" s="79"/>
      <c r="O352" s="56"/>
    </row>
    <row r="353" spans="1:15" ht="13" x14ac:dyDescent="0.15">
      <c r="A353" s="56"/>
      <c r="B353" s="56"/>
      <c r="K353" s="79"/>
      <c r="L353" s="79"/>
      <c r="O353" s="56"/>
    </row>
    <row r="354" spans="1:15" ht="13" x14ac:dyDescent="0.15">
      <c r="A354" s="56"/>
      <c r="B354" s="56"/>
      <c r="K354" s="79"/>
      <c r="L354" s="79"/>
      <c r="O354" s="56"/>
    </row>
    <row r="355" spans="1:15" ht="13" x14ac:dyDescent="0.15">
      <c r="A355" s="56"/>
      <c r="B355" s="56"/>
      <c r="K355" s="79"/>
      <c r="L355" s="79"/>
      <c r="O355" s="56"/>
    </row>
    <row r="356" spans="1:15" ht="13" x14ac:dyDescent="0.15">
      <c r="A356" s="56"/>
      <c r="B356" s="56"/>
      <c r="K356" s="79"/>
      <c r="L356" s="79"/>
      <c r="O356" s="56"/>
    </row>
    <row r="357" spans="1:15" ht="13" x14ac:dyDescent="0.15">
      <c r="A357" s="56"/>
      <c r="B357" s="56"/>
      <c r="K357" s="79"/>
      <c r="L357" s="79"/>
      <c r="O357" s="56"/>
    </row>
    <row r="358" spans="1:15" ht="13" x14ac:dyDescent="0.15">
      <c r="A358" s="56"/>
      <c r="B358" s="56"/>
      <c r="K358" s="79"/>
      <c r="L358" s="79"/>
      <c r="O358" s="56"/>
    </row>
    <row r="359" spans="1:15" ht="13" x14ac:dyDescent="0.15">
      <c r="A359" s="56"/>
      <c r="B359" s="56"/>
      <c r="K359" s="79"/>
      <c r="L359" s="79"/>
      <c r="O359" s="56"/>
    </row>
    <row r="360" spans="1:15" ht="13" x14ac:dyDescent="0.15">
      <c r="A360" s="56"/>
      <c r="B360" s="56"/>
      <c r="K360" s="79"/>
      <c r="L360" s="79"/>
      <c r="O360" s="56"/>
    </row>
    <row r="361" spans="1:15" ht="13" x14ac:dyDescent="0.15">
      <c r="A361" s="56"/>
      <c r="B361" s="56"/>
      <c r="K361" s="79"/>
      <c r="L361" s="79"/>
      <c r="O361" s="56"/>
    </row>
    <row r="362" spans="1:15" ht="13" x14ac:dyDescent="0.15">
      <c r="A362" s="56"/>
      <c r="B362" s="56"/>
      <c r="K362" s="79"/>
      <c r="L362" s="79"/>
      <c r="O362" s="56"/>
    </row>
    <row r="363" spans="1:15" ht="13" x14ac:dyDescent="0.15">
      <c r="A363" s="56"/>
      <c r="B363" s="56"/>
      <c r="K363" s="79"/>
      <c r="L363" s="79"/>
      <c r="O363" s="56"/>
    </row>
    <row r="364" spans="1:15" ht="13" x14ac:dyDescent="0.15">
      <c r="A364" s="56"/>
      <c r="B364" s="56"/>
      <c r="K364" s="79"/>
      <c r="L364" s="79"/>
      <c r="O364" s="56"/>
    </row>
    <row r="365" spans="1:15" ht="13" x14ac:dyDescent="0.15">
      <c r="A365" s="56"/>
      <c r="B365" s="56"/>
      <c r="K365" s="79"/>
      <c r="L365" s="79"/>
      <c r="O365" s="56"/>
    </row>
    <row r="366" spans="1:15" ht="13" x14ac:dyDescent="0.15">
      <c r="A366" s="56"/>
      <c r="B366" s="56"/>
      <c r="K366" s="79"/>
      <c r="L366" s="79"/>
      <c r="O366" s="56"/>
    </row>
    <row r="367" spans="1:15" ht="13" x14ac:dyDescent="0.15">
      <c r="A367" s="56"/>
      <c r="B367" s="56"/>
      <c r="K367" s="79"/>
      <c r="L367" s="79"/>
      <c r="O367" s="56"/>
    </row>
    <row r="368" spans="1:15" ht="13" x14ac:dyDescent="0.15">
      <c r="A368" s="56"/>
      <c r="B368" s="56"/>
      <c r="K368" s="79"/>
      <c r="L368" s="79"/>
      <c r="O368" s="56"/>
    </row>
    <row r="369" spans="1:15" ht="13" x14ac:dyDescent="0.15">
      <c r="A369" s="56"/>
      <c r="B369" s="56"/>
      <c r="K369" s="79"/>
      <c r="L369" s="79"/>
      <c r="O369" s="56"/>
    </row>
    <row r="370" spans="1:15" ht="13" x14ac:dyDescent="0.15">
      <c r="A370" s="56"/>
      <c r="B370" s="56"/>
      <c r="K370" s="79"/>
      <c r="L370" s="79"/>
      <c r="O370" s="56"/>
    </row>
    <row r="371" spans="1:15" ht="13" x14ac:dyDescent="0.15">
      <c r="A371" s="56"/>
      <c r="B371" s="56"/>
      <c r="K371" s="79"/>
      <c r="L371" s="79"/>
      <c r="O371" s="56"/>
    </row>
    <row r="372" spans="1:15" ht="13" x14ac:dyDescent="0.15">
      <c r="A372" s="56"/>
      <c r="B372" s="56"/>
      <c r="K372" s="79"/>
      <c r="L372" s="79"/>
      <c r="O372" s="56"/>
    </row>
    <row r="373" spans="1:15" ht="13" x14ac:dyDescent="0.15">
      <c r="A373" s="56"/>
      <c r="B373" s="56"/>
      <c r="K373" s="79"/>
      <c r="L373" s="79"/>
      <c r="O373" s="56"/>
    </row>
    <row r="374" spans="1:15" ht="13" x14ac:dyDescent="0.15">
      <c r="A374" s="56"/>
      <c r="B374" s="56"/>
      <c r="K374" s="79"/>
      <c r="L374" s="79"/>
      <c r="O374" s="56"/>
    </row>
    <row r="375" spans="1:15" ht="13" x14ac:dyDescent="0.15">
      <c r="A375" s="56"/>
      <c r="B375" s="56"/>
      <c r="K375" s="79"/>
      <c r="L375" s="79"/>
      <c r="O375" s="56"/>
    </row>
    <row r="376" spans="1:15" ht="13" x14ac:dyDescent="0.15">
      <c r="A376" s="56"/>
      <c r="B376" s="56"/>
      <c r="K376" s="79"/>
      <c r="L376" s="79"/>
      <c r="O376" s="56"/>
    </row>
    <row r="377" spans="1:15" ht="13" x14ac:dyDescent="0.15">
      <c r="A377" s="56"/>
      <c r="B377" s="56"/>
      <c r="K377" s="79"/>
      <c r="L377" s="79"/>
      <c r="O377" s="56"/>
    </row>
    <row r="378" spans="1:15" ht="13" x14ac:dyDescent="0.15">
      <c r="A378" s="56"/>
      <c r="B378" s="56"/>
      <c r="K378" s="79"/>
      <c r="L378" s="79"/>
      <c r="O378" s="56"/>
    </row>
    <row r="379" spans="1:15" ht="13" x14ac:dyDescent="0.15">
      <c r="A379" s="56"/>
      <c r="B379" s="56"/>
      <c r="K379" s="79"/>
      <c r="L379" s="79"/>
      <c r="O379" s="56"/>
    </row>
    <row r="380" spans="1:15" ht="13" x14ac:dyDescent="0.15">
      <c r="A380" s="56"/>
      <c r="B380" s="56"/>
      <c r="K380" s="79"/>
      <c r="L380" s="79"/>
      <c r="O380" s="56"/>
    </row>
    <row r="381" spans="1:15" ht="13" x14ac:dyDescent="0.15">
      <c r="A381" s="56"/>
      <c r="B381" s="56"/>
      <c r="K381" s="79"/>
      <c r="L381" s="79"/>
      <c r="O381" s="56"/>
    </row>
    <row r="382" spans="1:15" ht="13" x14ac:dyDescent="0.15">
      <c r="A382" s="56"/>
      <c r="B382" s="56"/>
      <c r="K382" s="79"/>
      <c r="L382" s="79"/>
      <c r="O382" s="56"/>
    </row>
    <row r="383" spans="1:15" ht="13" x14ac:dyDescent="0.15">
      <c r="A383" s="56"/>
      <c r="B383" s="56"/>
      <c r="K383" s="79"/>
      <c r="L383" s="79"/>
      <c r="O383" s="56"/>
    </row>
    <row r="384" spans="1:15" ht="13" x14ac:dyDescent="0.15">
      <c r="A384" s="56"/>
      <c r="B384" s="56"/>
      <c r="K384" s="79"/>
      <c r="L384" s="79"/>
      <c r="O384" s="56"/>
    </row>
    <row r="385" spans="1:15" ht="13" x14ac:dyDescent="0.15">
      <c r="A385" s="56"/>
      <c r="B385" s="56"/>
      <c r="K385" s="79"/>
      <c r="L385" s="79"/>
      <c r="O385" s="56"/>
    </row>
    <row r="386" spans="1:15" ht="13" x14ac:dyDescent="0.15">
      <c r="A386" s="56"/>
      <c r="B386" s="56"/>
      <c r="K386" s="79"/>
      <c r="L386" s="79"/>
      <c r="O386" s="56"/>
    </row>
    <row r="387" spans="1:15" ht="13" x14ac:dyDescent="0.15">
      <c r="A387" s="56"/>
      <c r="B387" s="56"/>
      <c r="K387" s="79"/>
      <c r="L387" s="79"/>
      <c r="O387" s="56"/>
    </row>
    <row r="388" spans="1:15" ht="13" x14ac:dyDescent="0.15">
      <c r="A388" s="56"/>
      <c r="B388" s="56"/>
      <c r="K388" s="79"/>
      <c r="L388" s="79"/>
      <c r="O388" s="56"/>
    </row>
    <row r="389" spans="1:15" ht="13" x14ac:dyDescent="0.15">
      <c r="A389" s="56"/>
      <c r="B389" s="56"/>
      <c r="K389" s="79"/>
      <c r="L389" s="79"/>
      <c r="O389" s="56"/>
    </row>
    <row r="390" spans="1:15" ht="13" x14ac:dyDescent="0.15">
      <c r="A390" s="56"/>
      <c r="B390" s="56"/>
      <c r="K390" s="79"/>
      <c r="L390" s="79"/>
      <c r="O390" s="56"/>
    </row>
    <row r="391" spans="1:15" ht="13" x14ac:dyDescent="0.15">
      <c r="A391" s="56"/>
      <c r="B391" s="56"/>
      <c r="K391" s="79"/>
      <c r="L391" s="79"/>
      <c r="O391" s="56"/>
    </row>
    <row r="392" spans="1:15" ht="13" x14ac:dyDescent="0.15">
      <c r="A392" s="56"/>
      <c r="B392" s="56"/>
      <c r="K392" s="79"/>
      <c r="L392" s="79"/>
      <c r="O392" s="56"/>
    </row>
    <row r="393" spans="1:15" ht="13" x14ac:dyDescent="0.15">
      <c r="A393" s="56"/>
      <c r="B393" s="56"/>
      <c r="K393" s="79"/>
      <c r="L393" s="79"/>
      <c r="O393" s="56"/>
    </row>
    <row r="394" spans="1:15" ht="13" x14ac:dyDescent="0.15">
      <c r="A394" s="56"/>
      <c r="B394" s="56"/>
      <c r="K394" s="79"/>
      <c r="L394" s="79"/>
      <c r="O394" s="56"/>
    </row>
    <row r="395" spans="1:15" ht="13" x14ac:dyDescent="0.15">
      <c r="A395" s="56"/>
      <c r="B395" s="56"/>
      <c r="K395" s="79"/>
      <c r="L395" s="79"/>
      <c r="O395" s="56"/>
    </row>
    <row r="396" spans="1:15" ht="13" x14ac:dyDescent="0.15">
      <c r="A396" s="56"/>
      <c r="B396" s="56"/>
      <c r="K396" s="79"/>
      <c r="L396" s="79"/>
      <c r="O396" s="56"/>
    </row>
    <row r="397" spans="1:15" ht="13" x14ac:dyDescent="0.15">
      <c r="A397" s="56"/>
      <c r="B397" s="56"/>
      <c r="K397" s="79"/>
      <c r="L397" s="79"/>
      <c r="O397" s="56"/>
    </row>
    <row r="398" spans="1:15" ht="13" x14ac:dyDescent="0.15">
      <c r="A398" s="56"/>
      <c r="B398" s="56"/>
      <c r="K398" s="79"/>
      <c r="L398" s="79"/>
      <c r="O398" s="56"/>
    </row>
    <row r="399" spans="1:15" ht="13" x14ac:dyDescent="0.15">
      <c r="A399" s="56"/>
      <c r="B399" s="56"/>
      <c r="K399" s="79"/>
      <c r="L399" s="79"/>
      <c r="O399" s="56"/>
    </row>
    <row r="400" spans="1:15" ht="13" x14ac:dyDescent="0.15">
      <c r="A400" s="56"/>
      <c r="B400" s="56"/>
      <c r="K400" s="79"/>
      <c r="L400" s="79"/>
      <c r="O400" s="56"/>
    </row>
    <row r="401" spans="1:15" ht="13" x14ac:dyDescent="0.15">
      <c r="A401" s="56"/>
      <c r="B401" s="56"/>
      <c r="K401" s="79"/>
      <c r="L401" s="79"/>
      <c r="O401" s="56"/>
    </row>
    <row r="402" spans="1:15" ht="13" x14ac:dyDescent="0.15">
      <c r="A402" s="56"/>
      <c r="B402" s="56"/>
      <c r="K402" s="79"/>
      <c r="L402" s="79"/>
      <c r="O402" s="56"/>
    </row>
    <row r="403" spans="1:15" ht="13" x14ac:dyDescent="0.15">
      <c r="A403" s="56"/>
      <c r="B403" s="56"/>
      <c r="K403" s="79"/>
      <c r="L403" s="79"/>
      <c r="O403" s="56"/>
    </row>
    <row r="404" spans="1:15" ht="13" x14ac:dyDescent="0.15">
      <c r="A404" s="56"/>
      <c r="B404" s="56"/>
      <c r="K404" s="79"/>
      <c r="L404" s="79"/>
      <c r="O404" s="56"/>
    </row>
    <row r="405" spans="1:15" ht="13" x14ac:dyDescent="0.15">
      <c r="A405" s="56"/>
      <c r="B405" s="56"/>
      <c r="K405" s="79"/>
      <c r="L405" s="79"/>
      <c r="O405" s="56"/>
    </row>
    <row r="406" spans="1:15" ht="13" x14ac:dyDescent="0.15">
      <c r="A406" s="56"/>
      <c r="B406" s="56"/>
      <c r="K406" s="79"/>
      <c r="L406" s="79"/>
      <c r="O406" s="56"/>
    </row>
    <row r="407" spans="1:15" ht="13" x14ac:dyDescent="0.15">
      <c r="A407" s="56"/>
      <c r="B407" s="56"/>
      <c r="K407" s="79"/>
      <c r="L407" s="79"/>
      <c r="O407" s="56"/>
    </row>
    <row r="408" spans="1:15" ht="13" x14ac:dyDescent="0.15">
      <c r="A408" s="56"/>
      <c r="B408" s="56"/>
      <c r="K408" s="79"/>
      <c r="L408" s="79"/>
      <c r="O408" s="56"/>
    </row>
    <row r="409" spans="1:15" ht="13" x14ac:dyDescent="0.15">
      <c r="A409" s="56"/>
      <c r="B409" s="56"/>
      <c r="K409" s="79"/>
      <c r="L409" s="79"/>
      <c r="O409" s="56"/>
    </row>
    <row r="410" spans="1:15" ht="13" x14ac:dyDescent="0.15">
      <c r="A410" s="56"/>
      <c r="B410" s="56"/>
      <c r="K410" s="79"/>
      <c r="L410" s="79"/>
      <c r="O410" s="56"/>
    </row>
    <row r="411" spans="1:15" ht="13" x14ac:dyDescent="0.15">
      <c r="A411" s="56"/>
      <c r="B411" s="56"/>
      <c r="K411" s="79"/>
      <c r="L411" s="79"/>
      <c r="O411" s="56"/>
    </row>
    <row r="412" spans="1:15" ht="13" x14ac:dyDescent="0.15">
      <c r="A412" s="56"/>
      <c r="B412" s="56"/>
      <c r="K412" s="79"/>
      <c r="L412" s="79"/>
      <c r="O412" s="56"/>
    </row>
    <row r="413" spans="1:15" ht="13" x14ac:dyDescent="0.15">
      <c r="A413" s="56"/>
      <c r="B413" s="56"/>
      <c r="K413" s="79"/>
      <c r="L413" s="79"/>
      <c r="O413" s="56"/>
    </row>
    <row r="414" spans="1:15" ht="13" x14ac:dyDescent="0.15">
      <c r="A414" s="56"/>
      <c r="B414" s="56"/>
      <c r="K414" s="79"/>
      <c r="L414" s="79"/>
      <c r="O414" s="56"/>
    </row>
    <row r="415" spans="1:15" ht="13" x14ac:dyDescent="0.15">
      <c r="A415" s="56"/>
      <c r="B415" s="56"/>
      <c r="K415" s="79"/>
      <c r="L415" s="79"/>
      <c r="O415" s="56"/>
    </row>
    <row r="416" spans="1:15" ht="13" x14ac:dyDescent="0.15">
      <c r="A416" s="56"/>
      <c r="B416" s="56"/>
      <c r="K416" s="79"/>
      <c r="L416" s="79"/>
      <c r="O416" s="56"/>
    </row>
    <row r="417" spans="1:15" ht="13" x14ac:dyDescent="0.15">
      <c r="A417" s="56"/>
      <c r="B417" s="56"/>
      <c r="K417" s="79"/>
      <c r="L417" s="79"/>
      <c r="O417" s="56"/>
    </row>
    <row r="418" spans="1:15" ht="13" x14ac:dyDescent="0.15">
      <c r="A418" s="56"/>
      <c r="B418" s="56"/>
      <c r="K418" s="79"/>
      <c r="L418" s="79"/>
      <c r="O418" s="56"/>
    </row>
    <row r="419" spans="1:15" ht="13" x14ac:dyDescent="0.15">
      <c r="A419" s="56"/>
      <c r="B419" s="56"/>
      <c r="K419" s="79"/>
      <c r="L419" s="79"/>
      <c r="O419" s="56"/>
    </row>
    <row r="420" spans="1:15" ht="13" x14ac:dyDescent="0.15">
      <c r="A420" s="56"/>
      <c r="B420" s="56"/>
      <c r="K420" s="79"/>
      <c r="L420" s="79"/>
      <c r="O420" s="56"/>
    </row>
    <row r="421" spans="1:15" ht="13" x14ac:dyDescent="0.15">
      <c r="A421" s="56"/>
      <c r="B421" s="56"/>
      <c r="K421" s="79"/>
      <c r="L421" s="79"/>
      <c r="O421" s="56"/>
    </row>
    <row r="422" spans="1:15" ht="13" x14ac:dyDescent="0.15">
      <c r="A422" s="56"/>
      <c r="B422" s="56"/>
      <c r="K422" s="79"/>
      <c r="L422" s="79"/>
      <c r="O422" s="56"/>
    </row>
    <row r="423" spans="1:15" ht="13" x14ac:dyDescent="0.15">
      <c r="A423" s="56"/>
      <c r="B423" s="56"/>
      <c r="K423" s="79"/>
      <c r="L423" s="79"/>
      <c r="O423" s="56"/>
    </row>
    <row r="424" spans="1:15" ht="13" x14ac:dyDescent="0.15">
      <c r="A424" s="56"/>
      <c r="B424" s="56"/>
      <c r="K424" s="79"/>
      <c r="L424" s="79"/>
      <c r="O424" s="56"/>
    </row>
    <row r="425" spans="1:15" ht="13" x14ac:dyDescent="0.15">
      <c r="A425" s="56"/>
      <c r="B425" s="56"/>
      <c r="K425" s="79"/>
      <c r="L425" s="79"/>
      <c r="O425" s="56"/>
    </row>
    <row r="426" spans="1:15" ht="13" x14ac:dyDescent="0.15">
      <c r="A426" s="56"/>
      <c r="B426" s="56"/>
      <c r="K426" s="79"/>
      <c r="L426" s="79"/>
      <c r="O426" s="56"/>
    </row>
    <row r="427" spans="1:15" ht="13" x14ac:dyDescent="0.15">
      <c r="A427" s="56"/>
      <c r="B427" s="56"/>
      <c r="K427" s="79"/>
      <c r="L427" s="79"/>
      <c r="O427" s="56"/>
    </row>
    <row r="428" spans="1:15" ht="13" x14ac:dyDescent="0.15">
      <c r="A428" s="56"/>
      <c r="B428" s="56"/>
      <c r="K428" s="79"/>
      <c r="L428" s="79"/>
      <c r="O428" s="56"/>
    </row>
    <row r="429" spans="1:15" ht="13" x14ac:dyDescent="0.15">
      <c r="A429" s="56"/>
      <c r="B429" s="56"/>
      <c r="K429" s="79"/>
      <c r="L429" s="79"/>
      <c r="O429" s="56"/>
    </row>
    <row r="430" spans="1:15" ht="13" x14ac:dyDescent="0.15">
      <c r="A430" s="56"/>
      <c r="B430" s="56"/>
      <c r="K430" s="79"/>
      <c r="L430" s="79"/>
      <c r="O430" s="56"/>
    </row>
    <row r="431" spans="1:15" ht="13" x14ac:dyDescent="0.15">
      <c r="A431" s="56"/>
      <c r="B431" s="56"/>
      <c r="K431" s="79"/>
      <c r="L431" s="79"/>
      <c r="O431" s="56"/>
    </row>
    <row r="432" spans="1:15" ht="13" x14ac:dyDescent="0.15">
      <c r="A432" s="56"/>
      <c r="B432" s="56"/>
      <c r="K432" s="79"/>
      <c r="L432" s="79"/>
      <c r="O432" s="56"/>
    </row>
    <row r="433" spans="1:15" ht="13" x14ac:dyDescent="0.15">
      <c r="A433" s="56"/>
      <c r="B433" s="56"/>
      <c r="K433" s="79"/>
      <c r="L433" s="79"/>
      <c r="O433" s="56"/>
    </row>
    <row r="434" spans="1:15" ht="13" x14ac:dyDescent="0.15">
      <c r="A434" s="56"/>
      <c r="B434" s="56"/>
      <c r="K434" s="79"/>
      <c r="L434" s="79"/>
      <c r="O434" s="56"/>
    </row>
    <row r="435" spans="1:15" ht="13" x14ac:dyDescent="0.15">
      <c r="A435" s="56"/>
      <c r="B435" s="56"/>
      <c r="K435" s="79"/>
      <c r="L435" s="79"/>
      <c r="O435" s="56"/>
    </row>
    <row r="436" spans="1:15" ht="13" x14ac:dyDescent="0.15">
      <c r="A436" s="56"/>
      <c r="B436" s="56"/>
      <c r="K436" s="79"/>
      <c r="L436" s="79"/>
      <c r="O436" s="56"/>
    </row>
    <row r="437" spans="1:15" ht="13" x14ac:dyDescent="0.15">
      <c r="A437" s="56"/>
      <c r="B437" s="56"/>
      <c r="K437" s="79"/>
      <c r="L437" s="79"/>
      <c r="O437" s="56"/>
    </row>
    <row r="438" spans="1:15" ht="13" x14ac:dyDescent="0.15">
      <c r="A438" s="56"/>
      <c r="B438" s="56"/>
      <c r="K438" s="79"/>
      <c r="L438" s="79"/>
      <c r="O438" s="56"/>
    </row>
    <row r="439" spans="1:15" ht="13" x14ac:dyDescent="0.15">
      <c r="A439" s="56"/>
      <c r="B439" s="56"/>
      <c r="K439" s="79"/>
      <c r="L439" s="79"/>
      <c r="O439" s="56"/>
    </row>
    <row r="440" spans="1:15" ht="13" x14ac:dyDescent="0.15">
      <c r="A440" s="56"/>
      <c r="B440" s="56"/>
      <c r="K440" s="79"/>
      <c r="L440" s="79"/>
      <c r="O440" s="56"/>
    </row>
    <row r="441" spans="1:15" ht="13" x14ac:dyDescent="0.15">
      <c r="A441" s="56"/>
      <c r="B441" s="56"/>
      <c r="K441" s="79"/>
      <c r="L441" s="79"/>
      <c r="O441" s="56"/>
    </row>
    <row r="442" spans="1:15" ht="13" x14ac:dyDescent="0.15">
      <c r="A442" s="56"/>
      <c r="B442" s="56"/>
      <c r="K442" s="79"/>
      <c r="L442" s="79"/>
      <c r="O442" s="56"/>
    </row>
    <row r="443" spans="1:15" ht="13" x14ac:dyDescent="0.15">
      <c r="A443" s="56"/>
      <c r="B443" s="56"/>
      <c r="K443" s="79"/>
      <c r="L443" s="79"/>
      <c r="O443" s="56"/>
    </row>
    <row r="444" spans="1:15" ht="13" x14ac:dyDescent="0.15">
      <c r="A444" s="56"/>
      <c r="B444" s="56"/>
      <c r="K444" s="79"/>
      <c r="L444" s="79"/>
      <c r="O444" s="56"/>
    </row>
    <row r="445" spans="1:15" ht="13" x14ac:dyDescent="0.15">
      <c r="A445" s="56"/>
      <c r="B445" s="56"/>
      <c r="K445" s="79"/>
      <c r="L445" s="79"/>
      <c r="O445" s="56"/>
    </row>
    <row r="446" spans="1:15" ht="13" x14ac:dyDescent="0.15">
      <c r="A446" s="56"/>
      <c r="B446" s="56"/>
      <c r="K446" s="79"/>
      <c r="L446" s="79"/>
      <c r="O446" s="56"/>
    </row>
    <row r="447" spans="1:15" ht="13" x14ac:dyDescent="0.15">
      <c r="A447" s="56"/>
      <c r="B447" s="56"/>
      <c r="K447" s="79"/>
      <c r="L447" s="79"/>
      <c r="O447" s="56"/>
    </row>
    <row r="448" spans="1:15" ht="13" x14ac:dyDescent="0.15">
      <c r="A448" s="56"/>
      <c r="B448" s="56"/>
      <c r="K448" s="79"/>
      <c r="L448" s="79"/>
      <c r="O448" s="56"/>
    </row>
    <row r="449" spans="1:15" ht="13" x14ac:dyDescent="0.15">
      <c r="A449" s="56"/>
      <c r="B449" s="56"/>
      <c r="K449" s="79"/>
      <c r="L449" s="79"/>
      <c r="O449" s="56"/>
    </row>
    <row r="450" spans="1:15" ht="13" x14ac:dyDescent="0.15">
      <c r="A450" s="56"/>
      <c r="B450" s="56"/>
      <c r="K450" s="79"/>
      <c r="L450" s="79"/>
      <c r="O450" s="56"/>
    </row>
    <row r="451" spans="1:15" ht="13" x14ac:dyDescent="0.15">
      <c r="A451" s="56"/>
      <c r="B451" s="56"/>
      <c r="K451" s="79"/>
      <c r="L451" s="79"/>
      <c r="O451" s="56"/>
    </row>
    <row r="452" spans="1:15" ht="13" x14ac:dyDescent="0.15">
      <c r="A452" s="56"/>
      <c r="B452" s="56"/>
      <c r="K452" s="79"/>
      <c r="L452" s="79"/>
      <c r="O452" s="56"/>
    </row>
    <row r="453" spans="1:15" ht="13" x14ac:dyDescent="0.15">
      <c r="A453" s="56"/>
      <c r="B453" s="56"/>
      <c r="K453" s="79"/>
      <c r="L453" s="79"/>
      <c r="O453" s="56"/>
    </row>
    <row r="454" spans="1:15" ht="13" x14ac:dyDescent="0.15">
      <c r="A454" s="56"/>
      <c r="B454" s="56"/>
      <c r="K454" s="79"/>
      <c r="L454" s="79"/>
      <c r="O454" s="56"/>
    </row>
    <row r="455" spans="1:15" ht="13" x14ac:dyDescent="0.15">
      <c r="A455" s="56"/>
      <c r="B455" s="56"/>
      <c r="K455" s="79"/>
      <c r="L455" s="79"/>
      <c r="O455" s="56"/>
    </row>
    <row r="456" spans="1:15" ht="13" x14ac:dyDescent="0.15">
      <c r="A456" s="56"/>
      <c r="B456" s="56"/>
      <c r="K456" s="79"/>
      <c r="L456" s="79"/>
      <c r="O456" s="56"/>
    </row>
    <row r="457" spans="1:15" ht="13" x14ac:dyDescent="0.15">
      <c r="A457" s="56"/>
      <c r="B457" s="56"/>
      <c r="K457" s="79"/>
      <c r="L457" s="79"/>
      <c r="O457" s="56"/>
    </row>
    <row r="458" spans="1:15" ht="13" x14ac:dyDescent="0.15">
      <c r="A458" s="56"/>
      <c r="B458" s="56"/>
      <c r="K458" s="79"/>
      <c r="L458" s="79"/>
      <c r="O458" s="56"/>
    </row>
    <row r="459" spans="1:15" ht="13" x14ac:dyDescent="0.15">
      <c r="A459" s="56"/>
      <c r="B459" s="56"/>
      <c r="K459" s="79"/>
      <c r="L459" s="79"/>
      <c r="O459" s="56"/>
    </row>
    <row r="460" spans="1:15" ht="13" x14ac:dyDescent="0.15">
      <c r="A460" s="56"/>
      <c r="B460" s="56"/>
      <c r="K460" s="79"/>
      <c r="L460" s="79"/>
      <c r="O460" s="56"/>
    </row>
    <row r="461" spans="1:15" ht="13" x14ac:dyDescent="0.15">
      <c r="A461" s="56"/>
      <c r="B461" s="56"/>
      <c r="K461" s="79"/>
      <c r="L461" s="79"/>
      <c r="O461" s="56"/>
    </row>
    <row r="462" spans="1:15" ht="13" x14ac:dyDescent="0.15">
      <c r="A462" s="56"/>
      <c r="B462" s="56"/>
      <c r="K462" s="79"/>
      <c r="L462" s="79"/>
      <c r="O462" s="56"/>
    </row>
    <row r="463" spans="1:15" ht="13" x14ac:dyDescent="0.15">
      <c r="A463" s="56"/>
      <c r="B463" s="56"/>
      <c r="K463" s="79"/>
      <c r="L463" s="79"/>
      <c r="O463" s="56"/>
    </row>
    <row r="464" spans="1:15" ht="13" x14ac:dyDescent="0.15">
      <c r="A464" s="56"/>
      <c r="B464" s="56"/>
      <c r="K464" s="79"/>
      <c r="L464" s="79"/>
      <c r="O464" s="56"/>
    </row>
    <row r="465" spans="1:15" ht="13" x14ac:dyDescent="0.15">
      <c r="A465" s="56"/>
      <c r="B465" s="56"/>
      <c r="K465" s="79"/>
      <c r="L465" s="79"/>
      <c r="O465" s="56"/>
    </row>
    <row r="466" spans="1:15" ht="13" x14ac:dyDescent="0.15">
      <c r="A466" s="56"/>
      <c r="B466" s="56"/>
      <c r="K466" s="79"/>
      <c r="L466" s="79"/>
      <c r="O466" s="56"/>
    </row>
    <row r="467" spans="1:15" ht="13" x14ac:dyDescent="0.15">
      <c r="A467" s="56"/>
      <c r="B467" s="56"/>
      <c r="K467" s="79"/>
      <c r="L467" s="79"/>
      <c r="O467" s="56"/>
    </row>
    <row r="468" spans="1:15" ht="13" x14ac:dyDescent="0.15">
      <c r="A468" s="56"/>
      <c r="B468" s="56"/>
      <c r="K468" s="79"/>
      <c r="L468" s="79"/>
      <c r="O468" s="56"/>
    </row>
    <row r="469" spans="1:15" ht="13" x14ac:dyDescent="0.15">
      <c r="A469" s="56"/>
      <c r="B469" s="56"/>
      <c r="K469" s="79"/>
      <c r="L469" s="79"/>
      <c r="O469" s="56"/>
    </row>
    <row r="470" spans="1:15" ht="13" x14ac:dyDescent="0.15">
      <c r="A470" s="56"/>
      <c r="B470" s="56"/>
      <c r="K470" s="79"/>
      <c r="L470" s="79"/>
      <c r="O470" s="56"/>
    </row>
    <row r="471" spans="1:15" ht="13" x14ac:dyDescent="0.15">
      <c r="A471" s="56"/>
      <c r="B471" s="56"/>
      <c r="K471" s="79"/>
      <c r="L471" s="79"/>
      <c r="O471" s="56"/>
    </row>
    <row r="472" spans="1:15" ht="13" x14ac:dyDescent="0.15">
      <c r="A472" s="56"/>
      <c r="B472" s="56"/>
      <c r="K472" s="79"/>
      <c r="L472" s="79"/>
      <c r="O472" s="56"/>
    </row>
    <row r="473" spans="1:15" ht="13" x14ac:dyDescent="0.15">
      <c r="A473" s="56"/>
      <c r="B473" s="56"/>
      <c r="K473" s="79"/>
      <c r="L473" s="79"/>
      <c r="O473" s="56"/>
    </row>
    <row r="474" spans="1:15" ht="13" x14ac:dyDescent="0.15">
      <c r="A474" s="56"/>
      <c r="B474" s="56"/>
      <c r="K474" s="79"/>
      <c r="L474" s="79"/>
      <c r="O474" s="56"/>
    </row>
    <row r="475" spans="1:15" ht="13" x14ac:dyDescent="0.15">
      <c r="A475" s="56"/>
      <c r="B475" s="56"/>
      <c r="K475" s="79"/>
      <c r="L475" s="79"/>
      <c r="O475" s="56"/>
    </row>
    <row r="476" spans="1:15" ht="13" x14ac:dyDescent="0.15">
      <c r="A476" s="56"/>
      <c r="B476" s="56"/>
      <c r="K476" s="79"/>
      <c r="L476" s="79"/>
      <c r="O476" s="56"/>
    </row>
    <row r="477" spans="1:15" ht="13" x14ac:dyDescent="0.15">
      <c r="A477" s="56"/>
      <c r="B477" s="56"/>
      <c r="K477" s="79"/>
      <c r="L477" s="79"/>
      <c r="O477" s="56"/>
    </row>
    <row r="478" spans="1:15" ht="13" x14ac:dyDescent="0.15">
      <c r="A478" s="56"/>
      <c r="B478" s="56"/>
      <c r="K478" s="79"/>
      <c r="L478" s="79"/>
      <c r="O478" s="56"/>
    </row>
    <row r="479" spans="1:15" ht="13" x14ac:dyDescent="0.15">
      <c r="A479" s="56"/>
      <c r="B479" s="56"/>
      <c r="K479" s="79"/>
      <c r="L479" s="79"/>
      <c r="O479" s="56"/>
    </row>
    <row r="480" spans="1:15" ht="13" x14ac:dyDescent="0.15">
      <c r="A480" s="56"/>
      <c r="B480" s="56"/>
      <c r="K480" s="79"/>
      <c r="L480" s="79"/>
      <c r="O480" s="56"/>
    </row>
    <row r="481" spans="1:15" ht="13" x14ac:dyDescent="0.15">
      <c r="A481" s="56"/>
      <c r="B481" s="56"/>
      <c r="K481" s="79"/>
      <c r="L481" s="79"/>
      <c r="O481" s="56"/>
    </row>
    <row r="482" spans="1:15" ht="13" x14ac:dyDescent="0.15">
      <c r="A482" s="56"/>
      <c r="B482" s="56"/>
      <c r="K482" s="79"/>
      <c r="L482" s="79"/>
      <c r="O482" s="56"/>
    </row>
    <row r="483" spans="1:15" ht="13" x14ac:dyDescent="0.15">
      <c r="A483" s="56"/>
      <c r="B483" s="56"/>
      <c r="K483" s="79"/>
      <c r="L483" s="79"/>
      <c r="O483" s="56"/>
    </row>
    <row r="484" spans="1:15" ht="13" x14ac:dyDescent="0.15">
      <c r="A484" s="56"/>
      <c r="B484" s="56"/>
      <c r="K484" s="79"/>
      <c r="L484" s="79"/>
      <c r="O484" s="56"/>
    </row>
    <row r="485" spans="1:15" ht="13" x14ac:dyDescent="0.15">
      <c r="A485" s="56"/>
      <c r="B485" s="56"/>
      <c r="K485" s="79"/>
      <c r="L485" s="79"/>
      <c r="O485" s="56"/>
    </row>
    <row r="486" spans="1:15" ht="13" x14ac:dyDescent="0.15">
      <c r="A486" s="56"/>
      <c r="B486" s="56"/>
      <c r="K486" s="79"/>
      <c r="L486" s="79"/>
      <c r="O486" s="56"/>
    </row>
    <row r="487" spans="1:15" ht="13" x14ac:dyDescent="0.15">
      <c r="A487" s="56"/>
      <c r="B487" s="56"/>
      <c r="K487" s="79"/>
      <c r="L487" s="79"/>
      <c r="O487" s="56"/>
    </row>
    <row r="488" spans="1:15" ht="13" x14ac:dyDescent="0.15">
      <c r="A488" s="56"/>
      <c r="B488" s="56"/>
      <c r="K488" s="79"/>
      <c r="L488" s="79"/>
      <c r="O488" s="56"/>
    </row>
    <row r="489" spans="1:15" ht="13" x14ac:dyDescent="0.15">
      <c r="A489" s="56"/>
      <c r="B489" s="56"/>
      <c r="K489" s="79"/>
      <c r="L489" s="79"/>
      <c r="O489" s="56"/>
    </row>
    <row r="490" spans="1:15" ht="13" x14ac:dyDescent="0.15">
      <c r="A490" s="56"/>
      <c r="B490" s="56"/>
      <c r="K490" s="79"/>
      <c r="L490" s="79"/>
      <c r="O490" s="56"/>
    </row>
    <row r="491" spans="1:15" ht="13" x14ac:dyDescent="0.15">
      <c r="A491" s="56"/>
      <c r="B491" s="56"/>
      <c r="K491" s="79"/>
      <c r="L491" s="79"/>
      <c r="O491" s="56"/>
    </row>
    <row r="492" spans="1:15" ht="13" x14ac:dyDescent="0.15">
      <c r="A492" s="56"/>
      <c r="B492" s="56"/>
      <c r="K492" s="79"/>
      <c r="L492" s="79"/>
      <c r="O492" s="56"/>
    </row>
    <row r="493" spans="1:15" ht="13" x14ac:dyDescent="0.15">
      <c r="A493" s="56"/>
      <c r="B493" s="56"/>
      <c r="K493" s="79"/>
      <c r="L493" s="79"/>
      <c r="O493" s="56"/>
    </row>
    <row r="494" spans="1:15" ht="13" x14ac:dyDescent="0.15">
      <c r="A494" s="56"/>
      <c r="B494" s="56"/>
      <c r="K494" s="79"/>
      <c r="L494" s="79"/>
      <c r="O494" s="56"/>
    </row>
    <row r="495" spans="1:15" ht="13" x14ac:dyDescent="0.15">
      <c r="A495" s="56"/>
      <c r="B495" s="56"/>
      <c r="K495" s="79"/>
      <c r="L495" s="79"/>
      <c r="O495" s="56"/>
    </row>
    <row r="496" spans="1:15" ht="13" x14ac:dyDescent="0.15">
      <c r="A496" s="56"/>
      <c r="B496" s="56"/>
      <c r="K496" s="79"/>
      <c r="L496" s="79"/>
      <c r="O496" s="56"/>
    </row>
    <row r="497" spans="1:15" ht="13" x14ac:dyDescent="0.15">
      <c r="A497" s="56"/>
      <c r="B497" s="56"/>
      <c r="K497" s="79"/>
      <c r="L497" s="79"/>
      <c r="O497" s="56"/>
    </row>
    <row r="498" spans="1:15" ht="13" x14ac:dyDescent="0.15">
      <c r="A498" s="56"/>
      <c r="B498" s="56"/>
      <c r="K498" s="79"/>
      <c r="L498" s="79"/>
      <c r="O498" s="56"/>
    </row>
    <row r="499" spans="1:15" ht="13" x14ac:dyDescent="0.15">
      <c r="A499" s="56"/>
      <c r="B499" s="56"/>
      <c r="K499" s="79"/>
      <c r="L499" s="79"/>
      <c r="O499" s="56"/>
    </row>
    <row r="500" spans="1:15" ht="13" x14ac:dyDescent="0.15">
      <c r="A500" s="56"/>
      <c r="B500" s="56"/>
      <c r="K500" s="79"/>
      <c r="L500" s="79"/>
      <c r="O500" s="56"/>
    </row>
    <row r="501" spans="1:15" ht="13" x14ac:dyDescent="0.15">
      <c r="A501" s="56"/>
      <c r="B501" s="56"/>
      <c r="K501" s="79"/>
      <c r="L501" s="79"/>
      <c r="O501" s="56"/>
    </row>
    <row r="502" spans="1:15" ht="13" x14ac:dyDescent="0.15">
      <c r="A502" s="56"/>
      <c r="B502" s="56"/>
      <c r="K502" s="79"/>
      <c r="L502" s="79"/>
      <c r="O502" s="56"/>
    </row>
    <row r="503" spans="1:15" ht="13" x14ac:dyDescent="0.15">
      <c r="A503" s="56"/>
      <c r="B503" s="56"/>
      <c r="K503" s="79"/>
      <c r="L503" s="79"/>
      <c r="O503" s="56"/>
    </row>
    <row r="504" spans="1:15" ht="13" x14ac:dyDescent="0.15">
      <c r="A504" s="56"/>
      <c r="B504" s="56"/>
      <c r="K504" s="79"/>
      <c r="L504" s="79"/>
      <c r="O504" s="56"/>
    </row>
    <row r="505" spans="1:15" ht="13" x14ac:dyDescent="0.15">
      <c r="A505" s="56"/>
      <c r="B505" s="56"/>
      <c r="K505" s="79"/>
      <c r="L505" s="79"/>
      <c r="O505" s="56"/>
    </row>
    <row r="506" spans="1:15" ht="13" x14ac:dyDescent="0.15">
      <c r="A506" s="56"/>
      <c r="B506" s="56"/>
      <c r="K506" s="79"/>
      <c r="L506" s="79"/>
      <c r="O506" s="56"/>
    </row>
    <row r="507" spans="1:15" ht="13" x14ac:dyDescent="0.15">
      <c r="A507" s="56"/>
      <c r="B507" s="56"/>
      <c r="K507" s="79"/>
      <c r="L507" s="79"/>
      <c r="O507" s="56"/>
    </row>
    <row r="508" spans="1:15" ht="13" x14ac:dyDescent="0.15">
      <c r="A508" s="56"/>
      <c r="B508" s="56"/>
      <c r="K508" s="79"/>
      <c r="L508" s="79"/>
      <c r="O508" s="56"/>
    </row>
    <row r="509" spans="1:15" ht="13" x14ac:dyDescent="0.15">
      <c r="A509" s="56"/>
      <c r="B509" s="56"/>
      <c r="K509" s="79"/>
      <c r="L509" s="79"/>
      <c r="O509" s="56"/>
    </row>
    <row r="510" spans="1:15" ht="13" x14ac:dyDescent="0.15">
      <c r="A510" s="56"/>
      <c r="B510" s="56"/>
      <c r="K510" s="79"/>
      <c r="L510" s="79"/>
      <c r="O510" s="56"/>
    </row>
    <row r="511" spans="1:15" ht="13" x14ac:dyDescent="0.15">
      <c r="A511" s="56"/>
      <c r="B511" s="56"/>
      <c r="K511" s="79"/>
      <c r="L511" s="79"/>
      <c r="O511" s="56"/>
    </row>
    <row r="512" spans="1:15" ht="13" x14ac:dyDescent="0.15">
      <c r="A512" s="56"/>
      <c r="B512" s="56"/>
      <c r="K512" s="79"/>
      <c r="L512" s="79"/>
      <c r="O512" s="56"/>
    </row>
    <row r="513" spans="1:15" ht="13" x14ac:dyDescent="0.15">
      <c r="A513" s="56"/>
      <c r="B513" s="56"/>
      <c r="K513" s="79"/>
      <c r="L513" s="79"/>
      <c r="O513" s="56"/>
    </row>
    <row r="514" spans="1:15" ht="13" x14ac:dyDescent="0.15">
      <c r="A514" s="56"/>
      <c r="B514" s="56"/>
      <c r="K514" s="79"/>
      <c r="L514" s="79"/>
      <c r="O514" s="56"/>
    </row>
    <row r="515" spans="1:15" ht="13" x14ac:dyDescent="0.15">
      <c r="A515" s="56"/>
      <c r="B515" s="56"/>
      <c r="K515" s="79"/>
      <c r="L515" s="79"/>
      <c r="O515" s="56"/>
    </row>
    <row r="516" spans="1:15" ht="13" x14ac:dyDescent="0.15">
      <c r="A516" s="56"/>
      <c r="B516" s="56"/>
      <c r="K516" s="79"/>
      <c r="L516" s="79"/>
      <c r="O516" s="56"/>
    </row>
    <row r="517" spans="1:15" ht="13" x14ac:dyDescent="0.15">
      <c r="A517" s="56"/>
      <c r="B517" s="56"/>
      <c r="K517" s="79"/>
      <c r="L517" s="79"/>
      <c r="O517" s="56"/>
    </row>
    <row r="518" spans="1:15" ht="13" x14ac:dyDescent="0.15">
      <c r="A518" s="56"/>
      <c r="B518" s="56"/>
      <c r="K518" s="79"/>
      <c r="L518" s="79"/>
      <c r="O518" s="56"/>
    </row>
    <row r="519" spans="1:15" ht="13" x14ac:dyDescent="0.15">
      <c r="A519" s="56"/>
      <c r="B519" s="56"/>
      <c r="K519" s="79"/>
      <c r="L519" s="79"/>
      <c r="O519" s="56"/>
    </row>
    <row r="520" spans="1:15" ht="13" x14ac:dyDescent="0.15">
      <c r="A520" s="56"/>
      <c r="B520" s="56"/>
      <c r="K520" s="79"/>
      <c r="L520" s="79"/>
      <c r="O520" s="56"/>
    </row>
    <row r="521" spans="1:15" ht="13" x14ac:dyDescent="0.15">
      <c r="A521" s="56"/>
      <c r="B521" s="56"/>
      <c r="K521" s="79"/>
      <c r="L521" s="79"/>
      <c r="O521" s="56"/>
    </row>
    <row r="522" spans="1:15" ht="13" x14ac:dyDescent="0.15">
      <c r="A522" s="56"/>
      <c r="B522" s="56"/>
      <c r="K522" s="79"/>
      <c r="L522" s="79"/>
      <c r="O522" s="56"/>
    </row>
    <row r="523" spans="1:15" ht="13" x14ac:dyDescent="0.15">
      <c r="A523" s="56"/>
      <c r="B523" s="56"/>
      <c r="K523" s="79"/>
      <c r="L523" s="79"/>
      <c r="O523" s="56"/>
    </row>
    <row r="524" spans="1:15" ht="13" x14ac:dyDescent="0.15">
      <c r="A524" s="56"/>
      <c r="B524" s="56"/>
      <c r="K524" s="79"/>
      <c r="L524" s="79"/>
      <c r="O524" s="56"/>
    </row>
    <row r="525" spans="1:15" ht="13" x14ac:dyDescent="0.15">
      <c r="A525" s="56"/>
      <c r="B525" s="56"/>
      <c r="K525" s="79"/>
      <c r="L525" s="79"/>
      <c r="O525" s="56"/>
    </row>
    <row r="526" spans="1:15" ht="13" x14ac:dyDescent="0.15">
      <c r="A526" s="56"/>
      <c r="B526" s="56"/>
      <c r="K526" s="79"/>
      <c r="L526" s="79"/>
      <c r="O526" s="56"/>
    </row>
    <row r="527" spans="1:15" ht="13" x14ac:dyDescent="0.15">
      <c r="A527" s="56"/>
      <c r="B527" s="56"/>
      <c r="K527" s="79"/>
      <c r="L527" s="79"/>
      <c r="O527" s="56"/>
    </row>
    <row r="528" spans="1:15" ht="13" x14ac:dyDescent="0.15">
      <c r="A528" s="56"/>
      <c r="B528" s="56"/>
      <c r="K528" s="79"/>
      <c r="L528" s="79"/>
      <c r="O528" s="56"/>
    </row>
    <row r="529" spans="1:15" ht="13" x14ac:dyDescent="0.15">
      <c r="A529" s="56"/>
      <c r="B529" s="56"/>
      <c r="K529" s="79"/>
      <c r="L529" s="79"/>
      <c r="O529" s="56"/>
    </row>
    <row r="530" spans="1:15" ht="13" x14ac:dyDescent="0.15">
      <c r="A530" s="56"/>
      <c r="B530" s="56"/>
      <c r="K530" s="79"/>
      <c r="L530" s="79"/>
      <c r="O530" s="56"/>
    </row>
    <row r="531" spans="1:15" ht="13" x14ac:dyDescent="0.15">
      <c r="A531" s="56"/>
      <c r="B531" s="56"/>
      <c r="K531" s="79"/>
      <c r="L531" s="79"/>
      <c r="O531" s="56"/>
    </row>
    <row r="532" spans="1:15" ht="13" x14ac:dyDescent="0.15">
      <c r="A532" s="56"/>
      <c r="B532" s="56"/>
      <c r="K532" s="79"/>
      <c r="L532" s="79"/>
      <c r="O532" s="56"/>
    </row>
    <row r="533" spans="1:15" ht="13" x14ac:dyDescent="0.15">
      <c r="A533" s="56"/>
      <c r="B533" s="56"/>
      <c r="K533" s="79"/>
      <c r="L533" s="79"/>
      <c r="O533" s="56"/>
    </row>
    <row r="534" spans="1:15" ht="13" x14ac:dyDescent="0.15">
      <c r="A534" s="56"/>
      <c r="B534" s="56"/>
      <c r="K534" s="79"/>
      <c r="L534" s="79"/>
      <c r="O534" s="56"/>
    </row>
    <row r="535" spans="1:15" ht="13" x14ac:dyDescent="0.15">
      <c r="A535" s="56"/>
      <c r="B535" s="56"/>
      <c r="K535" s="79"/>
      <c r="L535" s="79"/>
      <c r="O535" s="56"/>
    </row>
    <row r="536" spans="1:15" ht="13" x14ac:dyDescent="0.15">
      <c r="A536" s="56"/>
      <c r="B536" s="56"/>
      <c r="K536" s="79"/>
      <c r="L536" s="79"/>
      <c r="O536" s="56"/>
    </row>
    <row r="537" spans="1:15" ht="13" x14ac:dyDescent="0.15">
      <c r="A537" s="56"/>
      <c r="B537" s="56"/>
      <c r="K537" s="79"/>
      <c r="L537" s="79"/>
      <c r="O537" s="56"/>
    </row>
    <row r="538" spans="1:15" ht="13" x14ac:dyDescent="0.15">
      <c r="A538" s="56"/>
      <c r="B538" s="56"/>
      <c r="K538" s="79"/>
      <c r="L538" s="79"/>
      <c r="O538" s="56"/>
    </row>
    <row r="539" spans="1:15" ht="13" x14ac:dyDescent="0.15">
      <c r="A539" s="56"/>
      <c r="B539" s="56"/>
      <c r="K539" s="79"/>
      <c r="L539" s="79"/>
      <c r="O539" s="56"/>
    </row>
    <row r="540" spans="1:15" ht="13" x14ac:dyDescent="0.15">
      <c r="A540" s="56"/>
      <c r="B540" s="56"/>
      <c r="K540" s="79"/>
      <c r="L540" s="79"/>
      <c r="O540" s="56"/>
    </row>
    <row r="541" spans="1:15" ht="13" x14ac:dyDescent="0.15">
      <c r="A541" s="56"/>
      <c r="B541" s="56"/>
      <c r="K541" s="79"/>
      <c r="L541" s="79"/>
      <c r="O541" s="56"/>
    </row>
    <row r="542" spans="1:15" ht="13" x14ac:dyDescent="0.15">
      <c r="A542" s="56"/>
      <c r="B542" s="56"/>
      <c r="K542" s="79"/>
      <c r="L542" s="79"/>
      <c r="O542" s="56"/>
    </row>
    <row r="543" spans="1:15" ht="13" x14ac:dyDescent="0.15">
      <c r="A543" s="56"/>
      <c r="B543" s="56"/>
      <c r="K543" s="79"/>
      <c r="L543" s="79"/>
      <c r="O543" s="56"/>
    </row>
    <row r="544" spans="1:15" ht="13" x14ac:dyDescent="0.15">
      <c r="A544" s="56"/>
      <c r="B544" s="56"/>
      <c r="K544" s="79"/>
      <c r="L544" s="79"/>
      <c r="O544" s="56"/>
    </row>
    <row r="545" spans="1:15" ht="13" x14ac:dyDescent="0.15">
      <c r="A545" s="56"/>
      <c r="B545" s="56"/>
      <c r="K545" s="79"/>
      <c r="L545" s="79"/>
      <c r="O545" s="56"/>
    </row>
    <row r="546" spans="1:15" ht="13" x14ac:dyDescent="0.15">
      <c r="A546" s="56"/>
      <c r="B546" s="56"/>
      <c r="K546" s="79"/>
      <c r="L546" s="79"/>
      <c r="O546" s="56"/>
    </row>
    <row r="547" spans="1:15" ht="13" x14ac:dyDescent="0.15">
      <c r="A547" s="56"/>
      <c r="B547" s="56"/>
      <c r="K547" s="79"/>
      <c r="L547" s="79"/>
      <c r="O547" s="56"/>
    </row>
    <row r="548" spans="1:15" ht="13" x14ac:dyDescent="0.15">
      <c r="A548" s="56"/>
      <c r="B548" s="56"/>
      <c r="K548" s="79"/>
      <c r="L548" s="79"/>
      <c r="O548" s="56"/>
    </row>
    <row r="549" spans="1:15" ht="13" x14ac:dyDescent="0.15">
      <c r="A549" s="56"/>
      <c r="B549" s="56"/>
      <c r="K549" s="79"/>
      <c r="L549" s="79"/>
      <c r="O549" s="56"/>
    </row>
    <row r="550" spans="1:15" ht="13" x14ac:dyDescent="0.15">
      <c r="A550" s="56"/>
      <c r="B550" s="56"/>
      <c r="K550" s="79"/>
      <c r="L550" s="79"/>
      <c r="O550" s="56"/>
    </row>
    <row r="551" spans="1:15" ht="13" x14ac:dyDescent="0.15">
      <c r="A551" s="56"/>
      <c r="B551" s="56"/>
      <c r="K551" s="79"/>
      <c r="L551" s="79"/>
      <c r="O551" s="56"/>
    </row>
    <row r="552" spans="1:15" ht="13" x14ac:dyDescent="0.15">
      <c r="A552" s="56"/>
      <c r="B552" s="56"/>
      <c r="K552" s="79"/>
      <c r="L552" s="79"/>
      <c r="O552" s="56"/>
    </row>
    <row r="553" spans="1:15" ht="13" x14ac:dyDescent="0.15">
      <c r="A553" s="56"/>
      <c r="B553" s="56"/>
      <c r="K553" s="79"/>
      <c r="L553" s="79"/>
      <c r="O553" s="56"/>
    </row>
    <row r="554" spans="1:15" ht="13" x14ac:dyDescent="0.15">
      <c r="A554" s="56"/>
      <c r="B554" s="56"/>
      <c r="K554" s="79"/>
      <c r="L554" s="79"/>
      <c r="O554" s="56"/>
    </row>
    <row r="555" spans="1:15" ht="13" x14ac:dyDescent="0.15">
      <c r="A555" s="56"/>
      <c r="B555" s="56"/>
      <c r="K555" s="79"/>
      <c r="L555" s="79"/>
      <c r="O555" s="56"/>
    </row>
    <row r="556" spans="1:15" ht="13" x14ac:dyDescent="0.15">
      <c r="A556" s="56"/>
      <c r="B556" s="56"/>
      <c r="K556" s="79"/>
      <c r="L556" s="79"/>
      <c r="O556" s="56"/>
    </row>
    <row r="557" spans="1:15" ht="13" x14ac:dyDescent="0.15">
      <c r="A557" s="56"/>
      <c r="B557" s="56"/>
      <c r="K557" s="79"/>
      <c r="L557" s="79"/>
      <c r="O557" s="56"/>
    </row>
    <row r="558" spans="1:15" ht="13" x14ac:dyDescent="0.15">
      <c r="A558" s="56"/>
      <c r="B558" s="56"/>
      <c r="K558" s="79"/>
      <c r="L558" s="79"/>
      <c r="O558" s="56"/>
    </row>
    <row r="559" spans="1:15" ht="13" x14ac:dyDescent="0.15">
      <c r="A559" s="56"/>
      <c r="B559" s="56"/>
      <c r="K559" s="79"/>
      <c r="L559" s="79"/>
      <c r="O559" s="56"/>
    </row>
    <row r="560" spans="1:15" ht="13" x14ac:dyDescent="0.15">
      <c r="A560" s="56"/>
      <c r="B560" s="56"/>
      <c r="K560" s="79"/>
      <c r="L560" s="79"/>
      <c r="O560" s="56"/>
    </row>
    <row r="561" spans="1:15" ht="13" x14ac:dyDescent="0.15">
      <c r="A561" s="56"/>
      <c r="B561" s="56"/>
      <c r="K561" s="79"/>
      <c r="L561" s="79"/>
      <c r="O561" s="56"/>
    </row>
    <row r="562" spans="1:15" ht="13" x14ac:dyDescent="0.15">
      <c r="A562" s="56"/>
      <c r="B562" s="56"/>
      <c r="K562" s="79"/>
      <c r="L562" s="79"/>
      <c r="O562" s="56"/>
    </row>
    <row r="563" spans="1:15" ht="13" x14ac:dyDescent="0.15">
      <c r="A563" s="56"/>
      <c r="B563" s="56"/>
      <c r="K563" s="79"/>
      <c r="L563" s="79"/>
      <c r="O563" s="56"/>
    </row>
    <row r="564" spans="1:15" ht="13" x14ac:dyDescent="0.15">
      <c r="A564" s="56"/>
      <c r="B564" s="56"/>
      <c r="K564" s="79"/>
      <c r="L564" s="79"/>
      <c r="O564" s="56"/>
    </row>
    <row r="565" spans="1:15" ht="13" x14ac:dyDescent="0.15">
      <c r="A565" s="56"/>
      <c r="B565" s="56"/>
      <c r="K565" s="79"/>
      <c r="L565" s="79"/>
      <c r="O565" s="56"/>
    </row>
    <row r="566" spans="1:15" ht="13" x14ac:dyDescent="0.15">
      <c r="A566" s="56"/>
      <c r="B566" s="56"/>
      <c r="K566" s="79"/>
      <c r="L566" s="79"/>
      <c r="O566" s="56"/>
    </row>
    <row r="567" spans="1:15" ht="13" x14ac:dyDescent="0.15">
      <c r="A567" s="56"/>
      <c r="B567" s="56"/>
      <c r="K567" s="79"/>
      <c r="L567" s="79"/>
      <c r="O567" s="56"/>
    </row>
    <row r="568" spans="1:15" ht="13" x14ac:dyDescent="0.15">
      <c r="A568" s="56"/>
      <c r="B568" s="56"/>
      <c r="K568" s="79"/>
      <c r="L568" s="79"/>
      <c r="O568" s="56"/>
    </row>
    <row r="569" spans="1:15" ht="13" x14ac:dyDescent="0.15">
      <c r="A569" s="56"/>
      <c r="B569" s="56"/>
      <c r="K569" s="79"/>
      <c r="L569" s="79"/>
      <c r="O569" s="56"/>
    </row>
    <row r="570" spans="1:15" ht="13" x14ac:dyDescent="0.15">
      <c r="A570" s="56"/>
      <c r="B570" s="56"/>
      <c r="K570" s="79"/>
      <c r="L570" s="79"/>
      <c r="O570" s="56"/>
    </row>
    <row r="571" spans="1:15" ht="13" x14ac:dyDescent="0.15">
      <c r="A571" s="56"/>
      <c r="B571" s="56"/>
      <c r="K571" s="79"/>
      <c r="L571" s="79"/>
      <c r="O571" s="56"/>
    </row>
    <row r="572" spans="1:15" ht="13" x14ac:dyDescent="0.15">
      <c r="A572" s="56"/>
      <c r="B572" s="56"/>
      <c r="K572" s="79"/>
      <c r="L572" s="79"/>
      <c r="O572" s="56"/>
    </row>
    <row r="573" spans="1:15" ht="13" x14ac:dyDescent="0.15">
      <c r="A573" s="56"/>
      <c r="B573" s="56"/>
      <c r="K573" s="79"/>
      <c r="L573" s="79"/>
      <c r="O573" s="56"/>
    </row>
    <row r="574" spans="1:15" ht="13" x14ac:dyDescent="0.15">
      <c r="A574" s="56"/>
      <c r="B574" s="56"/>
      <c r="K574" s="79"/>
      <c r="L574" s="79"/>
      <c r="O574" s="56"/>
    </row>
    <row r="575" spans="1:15" ht="13" x14ac:dyDescent="0.15">
      <c r="A575" s="56"/>
      <c r="B575" s="56"/>
      <c r="K575" s="79"/>
      <c r="L575" s="79"/>
      <c r="O575" s="56"/>
    </row>
    <row r="576" spans="1:15" ht="13" x14ac:dyDescent="0.15">
      <c r="A576" s="56"/>
      <c r="B576" s="56"/>
      <c r="K576" s="79"/>
      <c r="L576" s="79"/>
      <c r="O576" s="56"/>
    </row>
    <row r="577" spans="1:15" ht="13" x14ac:dyDescent="0.15">
      <c r="A577" s="56"/>
      <c r="B577" s="56"/>
      <c r="K577" s="79"/>
      <c r="L577" s="79"/>
      <c r="O577" s="56"/>
    </row>
    <row r="578" spans="1:15" ht="13" x14ac:dyDescent="0.15">
      <c r="A578" s="56"/>
      <c r="B578" s="56"/>
      <c r="K578" s="79"/>
      <c r="L578" s="79"/>
      <c r="O578" s="56"/>
    </row>
    <row r="579" spans="1:15" ht="13" x14ac:dyDescent="0.15">
      <c r="A579" s="56"/>
      <c r="B579" s="56"/>
      <c r="K579" s="79"/>
      <c r="L579" s="79"/>
      <c r="O579" s="56"/>
    </row>
    <row r="580" spans="1:15" ht="13" x14ac:dyDescent="0.15">
      <c r="A580" s="56"/>
      <c r="B580" s="56"/>
      <c r="K580" s="79"/>
      <c r="L580" s="79"/>
      <c r="O580" s="56"/>
    </row>
    <row r="581" spans="1:15" ht="13" x14ac:dyDescent="0.15">
      <c r="A581" s="56"/>
      <c r="B581" s="56"/>
      <c r="K581" s="79"/>
      <c r="L581" s="79"/>
      <c r="O581" s="56"/>
    </row>
    <row r="582" spans="1:15" ht="13" x14ac:dyDescent="0.15">
      <c r="A582" s="56"/>
      <c r="B582" s="56"/>
      <c r="K582" s="79"/>
      <c r="L582" s="79"/>
      <c r="O582" s="56"/>
    </row>
    <row r="583" spans="1:15" ht="13" x14ac:dyDescent="0.15">
      <c r="A583" s="56"/>
      <c r="B583" s="56"/>
      <c r="K583" s="79"/>
      <c r="L583" s="79"/>
      <c r="O583" s="56"/>
    </row>
    <row r="584" spans="1:15" ht="13" x14ac:dyDescent="0.15">
      <c r="A584" s="56"/>
      <c r="B584" s="56"/>
      <c r="K584" s="79"/>
      <c r="L584" s="79"/>
      <c r="O584" s="56"/>
    </row>
    <row r="585" spans="1:15" ht="13" x14ac:dyDescent="0.15">
      <c r="A585" s="56"/>
      <c r="B585" s="56"/>
      <c r="K585" s="79"/>
      <c r="L585" s="79"/>
      <c r="O585" s="56"/>
    </row>
    <row r="586" spans="1:15" ht="13" x14ac:dyDescent="0.15">
      <c r="A586" s="56"/>
      <c r="B586" s="56"/>
      <c r="K586" s="79"/>
      <c r="L586" s="79"/>
      <c r="O586" s="56"/>
    </row>
    <row r="587" spans="1:15" ht="13" x14ac:dyDescent="0.15">
      <c r="A587" s="56"/>
      <c r="B587" s="56"/>
      <c r="K587" s="79"/>
      <c r="L587" s="79"/>
      <c r="O587" s="56"/>
    </row>
    <row r="588" spans="1:15" ht="13" x14ac:dyDescent="0.15">
      <c r="A588" s="56"/>
      <c r="B588" s="56"/>
      <c r="K588" s="79"/>
      <c r="L588" s="79"/>
      <c r="O588" s="56"/>
    </row>
    <row r="589" spans="1:15" ht="13" x14ac:dyDescent="0.15">
      <c r="A589" s="56"/>
      <c r="B589" s="56"/>
      <c r="K589" s="79"/>
      <c r="L589" s="79"/>
      <c r="O589" s="56"/>
    </row>
    <row r="590" spans="1:15" ht="13" x14ac:dyDescent="0.15">
      <c r="A590" s="56"/>
      <c r="B590" s="56"/>
      <c r="K590" s="79"/>
      <c r="L590" s="79"/>
      <c r="O590" s="56"/>
    </row>
    <row r="591" spans="1:15" ht="13" x14ac:dyDescent="0.15">
      <c r="A591" s="56"/>
      <c r="B591" s="56"/>
      <c r="K591" s="79"/>
      <c r="L591" s="79"/>
      <c r="O591" s="56"/>
    </row>
    <row r="592" spans="1:15" ht="13" x14ac:dyDescent="0.15">
      <c r="A592" s="56"/>
      <c r="B592" s="56"/>
      <c r="K592" s="79"/>
      <c r="L592" s="79"/>
      <c r="O592" s="56"/>
    </row>
    <row r="593" spans="1:15" ht="13" x14ac:dyDescent="0.15">
      <c r="A593" s="56"/>
      <c r="B593" s="56"/>
      <c r="K593" s="79"/>
      <c r="L593" s="79"/>
      <c r="O593" s="56"/>
    </row>
    <row r="594" spans="1:15" ht="13" x14ac:dyDescent="0.15">
      <c r="A594" s="56"/>
      <c r="B594" s="56"/>
      <c r="K594" s="79"/>
      <c r="L594" s="79"/>
      <c r="O594" s="56"/>
    </row>
    <row r="595" spans="1:15" ht="13" x14ac:dyDescent="0.15">
      <c r="A595" s="56"/>
      <c r="B595" s="56"/>
      <c r="K595" s="79"/>
      <c r="L595" s="79"/>
      <c r="O595" s="56"/>
    </row>
    <row r="596" spans="1:15" ht="13" x14ac:dyDescent="0.15">
      <c r="A596" s="56"/>
      <c r="B596" s="56"/>
      <c r="K596" s="79"/>
      <c r="L596" s="79"/>
      <c r="O596" s="56"/>
    </row>
    <row r="597" spans="1:15" ht="13" x14ac:dyDescent="0.15">
      <c r="A597" s="56"/>
      <c r="B597" s="56"/>
      <c r="K597" s="79"/>
      <c r="L597" s="79"/>
      <c r="O597" s="56"/>
    </row>
    <row r="598" spans="1:15" ht="13" x14ac:dyDescent="0.15">
      <c r="A598" s="56"/>
      <c r="B598" s="56"/>
      <c r="K598" s="79"/>
      <c r="L598" s="79"/>
      <c r="O598" s="56"/>
    </row>
    <row r="599" spans="1:15" ht="13" x14ac:dyDescent="0.15">
      <c r="A599" s="56"/>
      <c r="B599" s="56"/>
      <c r="K599" s="79"/>
      <c r="L599" s="79"/>
      <c r="O599" s="56"/>
    </row>
    <row r="600" spans="1:15" ht="13" x14ac:dyDescent="0.15">
      <c r="A600" s="56"/>
      <c r="B600" s="56"/>
      <c r="K600" s="79"/>
      <c r="L600" s="79"/>
      <c r="O600" s="56"/>
    </row>
    <row r="601" spans="1:15" ht="13" x14ac:dyDescent="0.15">
      <c r="A601" s="56"/>
      <c r="B601" s="56"/>
      <c r="K601" s="79"/>
      <c r="L601" s="79"/>
      <c r="O601" s="56"/>
    </row>
    <row r="602" spans="1:15" ht="13" x14ac:dyDescent="0.15">
      <c r="A602" s="56"/>
      <c r="B602" s="56"/>
      <c r="K602" s="79"/>
      <c r="L602" s="79"/>
      <c r="O602" s="56"/>
    </row>
    <row r="603" spans="1:15" ht="13" x14ac:dyDescent="0.15">
      <c r="A603" s="56"/>
      <c r="B603" s="56"/>
      <c r="K603" s="79"/>
      <c r="L603" s="79"/>
      <c r="O603" s="56"/>
    </row>
    <row r="604" spans="1:15" ht="13" x14ac:dyDescent="0.15">
      <c r="A604" s="56"/>
      <c r="B604" s="56"/>
      <c r="K604" s="79"/>
      <c r="L604" s="79"/>
      <c r="O604" s="56"/>
    </row>
    <row r="605" spans="1:15" ht="13" x14ac:dyDescent="0.15">
      <c r="A605" s="56"/>
      <c r="B605" s="56"/>
      <c r="K605" s="79"/>
      <c r="L605" s="79"/>
      <c r="O605" s="56"/>
    </row>
    <row r="606" spans="1:15" ht="13" x14ac:dyDescent="0.15">
      <c r="A606" s="56"/>
      <c r="B606" s="56"/>
      <c r="K606" s="79"/>
      <c r="L606" s="79"/>
      <c r="O606" s="56"/>
    </row>
    <row r="607" spans="1:15" ht="13" x14ac:dyDescent="0.15">
      <c r="A607" s="56"/>
      <c r="B607" s="56"/>
      <c r="K607" s="79"/>
      <c r="L607" s="79"/>
      <c r="O607" s="56"/>
    </row>
    <row r="608" spans="1:15" ht="13" x14ac:dyDescent="0.15">
      <c r="A608" s="56"/>
      <c r="B608" s="56"/>
      <c r="K608" s="79"/>
      <c r="L608" s="79"/>
      <c r="O608" s="56"/>
    </row>
    <row r="609" spans="1:15" ht="13" x14ac:dyDescent="0.15">
      <c r="A609" s="56"/>
      <c r="B609" s="56"/>
      <c r="K609" s="79"/>
      <c r="L609" s="79"/>
      <c r="O609" s="56"/>
    </row>
    <row r="610" spans="1:15" ht="13" x14ac:dyDescent="0.15">
      <c r="A610" s="56"/>
      <c r="B610" s="56"/>
      <c r="K610" s="79"/>
      <c r="L610" s="79"/>
      <c r="O610" s="56"/>
    </row>
    <row r="611" spans="1:15" ht="13" x14ac:dyDescent="0.15">
      <c r="A611" s="56"/>
      <c r="B611" s="56"/>
      <c r="K611" s="79"/>
      <c r="L611" s="79"/>
      <c r="O611" s="56"/>
    </row>
    <row r="612" spans="1:15" ht="13" x14ac:dyDescent="0.15">
      <c r="A612" s="56"/>
      <c r="B612" s="56"/>
      <c r="K612" s="79"/>
      <c r="L612" s="79"/>
      <c r="O612" s="56"/>
    </row>
    <row r="613" spans="1:15" ht="13" x14ac:dyDescent="0.15">
      <c r="A613" s="56"/>
      <c r="B613" s="56"/>
      <c r="K613" s="79"/>
      <c r="L613" s="79"/>
      <c r="O613" s="56"/>
    </row>
    <row r="614" spans="1:15" ht="13" x14ac:dyDescent="0.15">
      <c r="A614" s="56"/>
      <c r="B614" s="56"/>
      <c r="K614" s="79"/>
      <c r="L614" s="79"/>
      <c r="O614" s="56"/>
    </row>
    <row r="615" spans="1:15" ht="13" x14ac:dyDescent="0.15">
      <c r="A615" s="56"/>
      <c r="B615" s="56"/>
      <c r="K615" s="79"/>
      <c r="L615" s="79"/>
      <c r="O615" s="56"/>
    </row>
    <row r="616" spans="1:15" ht="13" x14ac:dyDescent="0.15">
      <c r="A616" s="56"/>
      <c r="B616" s="56"/>
      <c r="K616" s="79"/>
      <c r="L616" s="79"/>
      <c r="O616" s="56"/>
    </row>
    <row r="617" spans="1:15" ht="13" x14ac:dyDescent="0.15">
      <c r="A617" s="56"/>
      <c r="B617" s="56"/>
      <c r="K617" s="79"/>
      <c r="L617" s="79"/>
      <c r="O617" s="56"/>
    </row>
    <row r="618" spans="1:15" ht="13" x14ac:dyDescent="0.15">
      <c r="A618" s="56"/>
      <c r="B618" s="56"/>
      <c r="K618" s="79"/>
      <c r="L618" s="79"/>
      <c r="O618" s="56"/>
    </row>
    <row r="619" spans="1:15" ht="13" x14ac:dyDescent="0.15">
      <c r="A619" s="56"/>
      <c r="B619" s="56"/>
      <c r="K619" s="79"/>
      <c r="L619" s="79"/>
      <c r="O619" s="56"/>
    </row>
    <row r="620" spans="1:15" ht="13" x14ac:dyDescent="0.15">
      <c r="A620" s="56"/>
      <c r="B620" s="56"/>
      <c r="K620" s="79"/>
      <c r="L620" s="79"/>
      <c r="O620" s="56"/>
    </row>
    <row r="621" spans="1:15" ht="13" x14ac:dyDescent="0.15">
      <c r="A621" s="56"/>
      <c r="B621" s="56"/>
      <c r="K621" s="79"/>
      <c r="L621" s="79"/>
      <c r="O621" s="56"/>
    </row>
    <row r="622" spans="1:15" ht="13" x14ac:dyDescent="0.15">
      <c r="A622" s="56"/>
      <c r="B622" s="56"/>
      <c r="K622" s="79"/>
      <c r="L622" s="79"/>
      <c r="O622" s="56"/>
    </row>
    <row r="623" spans="1:15" ht="13" x14ac:dyDescent="0.15">
      <c r="A623" s="56"/>
      <c r="B623" s="56"/>
      <c r="K623" s="79"/>
      <c r="L623" s="79"/>
      <c r="O623" s="56"/>
    </row>
    <row r="624" spans="1:15" ht="13" x14ac:dyDescent="0.15">
      <c r="A624" s="56"/>
      <c r="B624" s="56"/>
      <c r="K624" s="79"/>
      <c r="L624" s="79"/>
      <c r="O624" s="56"/>
    </row>
    <row r="625" spans="1:15" ht="13" x14ac:dyDescent="0.15">
      <c r="A625" s="56"/>
      <c r="B625" s="56"/>
      <c r="K625" s="79"/>
      <c r="L625" s="79"/>
      <c r="O625" s="56"/>
    </row>
    <row r="626" spans="1:15" ht="13" x14ac:dyDescent="0.15">
      <c r="A626" s="56"/>
      <c r="B626" s="56"/>
      <c r="K626" s="79"/>
      <c r="L626" s="79"/>
      <c r="O626" s="56"/>
    </row>
    <row r="627" spans="1:15" ht="13" x14ac:dyDescent="0.15">
      <c r="A627" s="56"/>
      <c r="B627" s="56"/>
      <c r="K627" s="79"/>
      <c r="L627" s="79"/>
      <c r="O627" s="56"/>
    </row>
    <row r="628" spans="1:15" ht="13" x14ac:dyDescent="0.15">
      <c r="A628" s="56"/>
      <c r="B628" s="56"/>
      <c r="K628" s="79"/>
      <c r="L628" s="79"/>
      <c r="O628" s="56"/>
    </row>
    <row r="629" spans="1:15" ht="13" x14ac:dyDescent="0.15">
      <c r="A629" s="56"/>
      <c r="B629" s="56"/>
      <c r="K629" s="79"/>
      <c r="L629" s="79"/>
      <c r="O629" s="56"/>
    </row>
    <row r="630" spans="1:15" ht="13" x14ac:dyDescent="0.15">
      <c r="A630" s="56"/>
      <c r="B630" s="56"/>
      <c r="K630" s="79"/>
      <c r="L630" s="79"/>
      <c r="O630" s="56"/>
    </row>
    <row r="631" spans="1:15" ht="13" x14ac:dyDescent="0.15">
      <c r="A631" s="56"/>
      <c r="B631" s="56"/>
      <c r="K631" s="79"/>
      <c r="L631" s="79"/>
      <c r="O631" s="56"/>
    </row>
    <row r="632" spans="1:15" ht="13" x14ac:dyDescent="0.15">
      <c r="A632" s="56"/>
      <c r="B632" s="56"/>
      <c r="K632" s="79"/>
      <c r="L632" s="79"/>
      <c r="O632" s="56"/>
    </row>
    <row r="633" spans="1:15" ht="13" x14ac:dyDescent="0.15">
      <c r="A633" s="56"/>
      <c r="B633" s="56"/>
      <c r="K633" s="79"/>
      <c r="L633" s="79"/>
      <c r="O633" s="56"/>
    </row>
    <row r="634" spans="1:15" ht="13" x14ac:dyDescent="0.15">
      <c r="A634" s="56"/>
      <c r="B634" s="56"/>
      <c r="K634" s="79"/>
      <c r="L634" s="79"/>
      <c r="O634" s="56"/>
    </row>
    <row r="635" spans="1:15" ht="13" x14ac:dyDescent="0.15">
      <c r="A635" s="56"/>
      <c r="B635" s="56"/>
      <c r="K635" s="79"/>
      <c r="L635" s="79"/>
      <c r="O635" s="56"/>
    </row>
    <row r="636" spans="1:15" ht="13" x14ac:dyDescent="0.15">
      <c r="A636" s="56"/>
      <c r="B636" s="56"/>
      <c r="K636" s="79"/>
      <c r="L636" s="79"/>
      <c r="O636" s="56"/>
    </row>
    <row r="637" spans="1:15" ht="13" x14ac:dyDescent="0.15">
      <c r="A637" s="56"/>
      <c r="B637" s="56"/>
      <c r="K637" s="79"/>
      <c r="L637" s="79"/>
      <c r="O637" s="56"/>
    </row>
    <row r="638" spans="1:15" ht="13" x14ac:dyDescent="0.15">
      <c r="A638" s="56"/>
      <c r="B638" s="56"/>
      <c r="K638" s="79"/>
      <c r="L638" s="79"/>
      <c r="O638" s="56"/>
    </row>
    <row r="639" spans="1:15" ht="13" x14ac:dyDescent="0.15">
      <c r="A639" s="56"/>
      <c r="B639" s="56"/>
      <c r="K639" s="79"/>
      <c r="L639" s="79"/>
      <c r="O639" s="56"/>
    </row>
    <row r="640" spans="1:15" ht="13" x14ac:dyDescent="0.15">
      <c r="A640" s="56"/>
      <c r="B640" s="56"/>
      <c r="K640" s="79"/>
      <c r="L640" s="79"/>
      <c r="O640" s="56"/>
    </row>
    <row r="641" spans="1:15" ht="13" x14ac:dyDescent="0.15">
      <c r="A641" s="56"/>
      <c r="B641" s="56"/>
      <c r="K641" s="79"/>
      <c r="L641" s="79"/>
      <c r="O641" s="56"/>
    </row>
    <row r="642" spans="1:15" ht="13" x14ac:dyDescent="0.15">
      <c r="A642" s="56"/>
      <c r="B642" s="56"/>
      <c r="K642" s="79"/>
      <c r="L642" s="79"/>
      <c r="O642" s="56"/>
    </row>
    <row r="643" spans="1:15" ht="13" x14ac:dyDescent="0.15">
      <c r="A643" s="56"/>
      <c r="B643" s="56"/>
      <c r="K643" s="79"/>
      <c r="L643" s="79"/>
      <c r="O643" s="56"/>
    </row>
    <row r="644" spans="1:15" ht="13" x14ac:dyDescent="0.15">
      <c r="A644" s="56"/>
      <c r="B644" s="56"/>
      <c r="K644" s="79"/>
      <c r="L644" s="79"/>
      <c r="O644" s="56"/>
    </row>
    <row r="645" spans="1:15" ht="13" x14ac:dyDescent="0.15">
      <c r="A645" s="56"/>
      <c r="B645" s="56"/>
      <c r="K645" s="79"/>
      <c r="L645" s="79"/>
      <c r="O645" s="56"/>
    </row>
    <row r="646" spans="1:15" ht="13" x14ac:dyDescent="0.15">
      <c r="A646" s="56"/>
      <c r="B646" s="56"/>
      <c r="K646" s="79"/>
      <c r="L646" s="79"/>
      <c r="O646" s="56"/>
    </row>
    <row r="647" spans="1:15" ht="13" x14ac:dyDescent="0.15">
      <c r="A647" s="56"/>
      <c r="B647" s="56"/>
      <c r="K647" s="79"/>
      <c r="L647" s="79"/>
      <c r="O647" s="56"/>
    </row>
    <row r="648" spans="1:15" ht="13" x14ac:dyDescent="0.15">
      <c r="A648" s="56"/>
      <c r="B648" s="56"/>
      <c r="K648" s="79"/>
      <c r="L648" s="79"/>
      <c r="O648" s="56"/>
    </row>
    <row r="649" spans="1:15" ht="13" x14ac:dyDescent="0.15">
      <c r="A649" s="56"/>
      <c r="B649" s="56"/>
      <c r="K649" s="79"/>
      <c r="L649" s="79"/>
      <c r="O649" s="56"/>
    </row>
    <row r="650" spans="1:15" ht="13" x14ac:dyDescent="0.15">
      <c r="A650" s="56"/>
      <c r="B650" s="56"/>
      <c r="K650" s="79"/>
      <c r="L650" s="79"/>
      <c r="O650" s="56"/>
    </row>
    <row r="651" spans="1:15" ht="13" x14ac:dyDescent="0.15">
      <c r="A651" s="56"/>
      <c r="B651" s="56"/>
      <c r="K651" s="79"/>
      <c r="L651" s="79"/>
      <c r="O651" s="56"/>
    </row>
    <row r="652" spans="1:15" ht="13" x14ac:dyDescent="0.15">
      <c r="A652" s="56"/>
      <c r="B652" s="56"/>
      <c r="K652" s="79"/>
      <c r="L652" s="79"/>
      <c r="O652" s="56"/>
    </row>
    <row r="653" spans="1:15" ht="13" x14ac:dyDescent="0.15">
      <c r="A653" s="56"/>
      <c r="B653" s="56"/>
      <c r="K653" s="79"/>
      <c r="L653" s="79"/>
      <c r="O653" s="56"/>
    </row>
    <row r="654" spans="1:15" ht="13" x14ac:dyDescent="0.15">
      <c r="A654" s="56"/>
      <c r="B654" s="56"/>
      <c r="K654" s="79"/>
      <c r="L654" s="79"/>
      <c r="O654" s="56"/>
    </row>
    <row r="655" spans="1:15" ht="13" x14ac:dyDescent="0.15">
      <c r="A655" s="56"/>
      <c r="B655" s="56"/>
      <c r="K655" s="79"/>
      <c r="L655" s="79"/>
      <c r="O655" s="56"/>
    </row>
    <row r="656" spans="1:15" ht="13" x14ac:dyDescent="0.15">
      <c r="A656" s="56"/>
      <c r="B656" s="56"/>
      <c r="K656" s="79"/>
      <c r="L656" s="79"/>
      <c r="O656" s="56"/>
    </row>
    <row r="657" spans="1:15" ht="13" x14ac:dyDescent="0.15">
      <c r="A657" s="56"/>
      <c r="B657" s="56"/>
      <c r="K657" s="79"/>
      <c r="L657" s="79"/>
      <c r="O657" s="56"/>
    </row>
    <row r="658" spans="1:15" ht="13" x14ac:dyDescent="0.15">
      <c r="A658" s="56"/>
      <c r="B658" s="56"/>
      <c r="K658" s="79"/>
      <c r="L658" s="79"/>
      <c r="O658" s="56"/>
    </row>
    <row r="659" spans="1:15" ht="13" x14ac:dyDescent="0.15">
      <c r="A659" s="56"/>
      <c r="B659" s="56"/>
      <c r="K659" s="79"/>
      <c r="L659" s="79"/>
      <c r="O659" s="56"/>
    </row>
    <row r="660" spans="1:15" ht="13" x14ac:dyDescent="0.15">
      <c r="A660" s="56"/>
      <c r="B660" s="56"/>
      <c r="K660" s="79"/>
      <c r="L660" s="79"/>
      <c r="O660" s="56"/>
    </row>
    <row r="661" spans="1:15" ht="13" x14ac:dyDescent="0.15">
      <c r="A661" s="56"/>
      <c r="B661" s="56"/>
      <c r="K661" s="79"/>
      <c r="L661" s="79"/>
      <c r="O661" s="56"/>
    </row>
    <row r="662" spans="1:15" ht="13" x14ac:dyDescent="0.15">
      <c r="A662" s="56"/>
      <c r="B662" s="56"/>
      <c r="K662" s="79"/>
      <c r="L662" s="79"/>
      <c r="O662" s="56"/>
    </row>
    <row r="663" spans="1:15" ht="13" x14ac:dyDescent="0.15">
      <c r="A663" s="56"/>
      <c r="B663" s="56"/>
      <c r="K663" s="79"/>
      <c r="L663" s="79"/>
      <c r="O663" s="56"/>
    </row>
    <row r="664" spans="1:15" ht="13" x14ac:dyDescent="0.15">
      <c r="A664" s="56"/>
      <c r="B664" s="56"/>
      <c r="K664" s="79"/>
      <c r="L664" s="79"/>
      <c r="O664" s="56"/>
    </row>
    <row r="665" spans="1:15" ht="13" x14ac:dyDescent="0.15">
      <c r="A665" s="56"/>
      <c r="B665" s="56"/>
      <c r="K665" s="79"/>
      <c r="L665" s="79"/>
      <c r="O665" s="56"/>
    </row>
    <row r="666" spans="1:15" ht="13" x14ac:dyDescent="0.15">
      <c r="A666" s="56"/>
      <c r="B666" s="56"/>
      <c r="K666" s="79"/>
      <c r="L666" s="79"/>
      <c r="O666" s="56"/>
    </row>
    <row r="667" spans="1:15" ht="13" x14ac:dyDescent="0.15">
      <c r="A667" s="56"/>
      <c r="B667" s="56"/>
      <c r="K667" s="79"/>
      <c r="L667" s="79"/>
      <c r="O667" s="56"/>
    </row>
    <row r="668" spans="1:15" ht="13" x14ac:dyDescent="0.15">
      <c r="A668" s="56"/>
      <c r="B668" s="56"/>
      <c r="K668" s="79"/>
      <c r="L668" s="79"/>
      <c r="O668" s="56"/>
    </row>
    <row r="669" spans="1:15" ht="13" x14ac:dyDescent="0.15">
      <c r="A669" s="56"/>
      <c r="B669" s="56"/>
      <c r="K669" s="79"/>
      <c r="L669" s="79"/>
      <c r="O669" s="56"/>
    </row>
    <row r="670" spans="1:15" ht="13" x14ac:dyDescent="0.15">
      <c r="A670" s="56"/>
      <c r="B670" s="56"/>
      <c r="K670" s="79"/>
      <c r="L670" s="79"/>
      <c r="O670" s="56"/>
    </row>
    <row r="671" spans="1:15" ht="13" x14ac:dyDescent="0.15">
      <c r="A671" s="56"/>
      <c r="B671" s="56"/>
      <c r="K671" s="79"/>
      <c r="L671" s="79"/>
      <c r="O671" s="56"/>
    </row>
    <row r="672" spans="1:15" ht="13" x14ac:dyDescent="0.15">
      <c r="A672" s="56"/>
      <c r="B672" s="56"/>
      <c r="K672" s="79"/>
      <c r="L672" s="79"/>
      <c r="O672" s="56"/>
    </row>
    <row r="673" spans="1:15" ht="13" x14ac:dyDescent="0.15">
      <c r="A673" s="56"/>
      <c r="B673" s="56"/>
      <c r="K673" s="79"/>
      <c r="L673" s="79"/>
      <c r="O673" s="56"/>
    </row>
    <row r="674" spans="1:15" ht="13" x14ac:dyDescent="0.15">
      <c r="A674" s="56"/>
      <c r="B674" s="56"/>
      <c r="K674" s="79"/>
      <c r="L674" s="79"/>
      <c r="O674" s="56"/>
    </row>
    <row r="675" spans="1:15" ht="13" x14ac:dyDescent="0.15">
      <c r="A675" s="56"/>
      <c r="B675" s="56"/>
      <c r="K675" s="79"/>
      <c r="L675" s="79"/>
      <c r="O675" s="56"/>
    </row>
    <row r="676" spans="1:15" ht="13" x14ac:dyDescent="0.15">
      <c r="A676" s="56"/>
      <c r="B676" s="56"/>
      <c r="K676" s="79"/>
      <c r="L676" s="79"/>
      <c r="O676" s="56"/>
    </row>
    <row r="677" spans="1:15" ht="13" x14ac:dyDescent="0.15">
      <c r="A677" s="56"/>
      <c r="B677" s="56"/>
      <c r="K677" s="79"/>
      <c r="L677" s="79"/>
      <c r="O677" s="56"/>
    </row>
    <row r="678" spans="1:15" ht="13" x14ac:dyDescent="0.15">
      <c r="A678" s="56"/>
      <c r="B678" s="56"/>
      <c r="K678" s="79"/>
      <c r="L678" s="79"/>
      <c r="O678" s="56"/>
    </row>
    <row r="679" spans="1:15" ht="13" x14ac:dyDescent="0.15">
      <c r="A679" s="56"/>
      <c r="B679" s="56"/>
      <c r="K679" s="79"/>
      <c r="L679" s="79"/>
      <c r="O679" s="56"/>
    </row>
    <row r="680" spans="1:15" ht="13" x14ac:dyDescent="0.15">
      <c r="A680" s="56"/>
      <c r="B680" s="56"/>
      <c r="K680" s="79"/>
      <c r="L680" s="79"/>
      <c r="O680" s="56"/>
    </row>
    <row r="681" spans="1:15" ht="13" x14ac:dyDescent="0.15">
      <c r="A681" s="56"/>
      <c r="B681" s="56"/>
      <c r="K681" s="79"/>
      <c r="L681" s="79"/>
      <c r="O681" s="56"/>
    </row>
    <row r="682" spans="1:15" ht="13" x14ac:dyDescent="0.15">
      <c r="A682" s="56"/>
      <c r="B682" s="56"/>
      <c r="K682" s="79"/>
      <c r="L682" s="79"/>
      <c r="O682" s="56"/>
    </row>
    <row r="683" spans="1:15" ht="13" x14ac:dyDescent="0.15">
      <c r="A683" s="56"/>
      <c r="B683" s="56"/>
      <c r="K683" s="79"/>
      <c r="L683" s="79"/>
      <c r="O683" s="56"/>
    </row>
    <row r="684" spans="1:15" ht="13" x14ac:dyDescent="0.15">
      <c r="A684" s="56"/>
      <c r="B684" s="56"/>
      <c r="K684" s="79"/>
      <c r="L684" s="79"/>
      <c r="O684" s="56"/>
    </row>
    <row r="685" spans="1:15" ht="13" x14ac:dyDescent="0.15">
      <c r="A685" s="56"/>
      <c r="B685" s="56"/>
      <c r="K685" s="79"/>
      <c r="L685" s="79"/>
      <c r="O685" s="56"/>
    </row>
    <row r="686" spans="1:15" ht="13" x14ac:dyDescent="0.15">
      <c r="A686" s="56"/>
      <c r="B686" s="56"/>
      <c r="K686" s="79"/>
      <c r="L686" s="79"/>
      <c r="O686" s="56"/>
    </row>
    <row r="687" spans="1:15" ht="13" x14ac:dyDescent="0.15">
      <c r="A687" s="56"/>
      <c r="B687" s="56"/>
      <c r="K687" s="79"/>
      <c r="L687" s="79"/>
      <c r="O687" s="56"/>
    </row>
    <row r="688" spans="1:15" ht="13" x14ac:dyDescent="0.15">
      <c r="A688" s="56"/>
      <c r="B688" s="56"/>
      <c r="K688" s="79"/>
      <c r="L688" s="79"/>
      <c r="O688" s="56"/>
    </row>
    <row r="689" spans="1:15" ht="13" x14ac:dyDescent="0.15">
      <c r="A689" s="56"/>
      <c r="B689" s="56"/>
      <c r="K689" s="79"/>
      <c r="L689" s="79"/>
      <c r="O689" s="56"/>
    </row>
    <row r="690" spans="1:15" ht="13" x14ac:dyDescent="0.15">
      <c r="A690" s="56"/>
      <c r="B690" s="56"/>
      <c r="K690" s="79"/>
      <c r="L690" s="79"/>
      <c r="O690" s="56"/>
    </row>
    <row r="691" spans="1:15" ht="13" x14ac:dyDescent="0.15">
      <c r="A691" s="56"/>
      <c r="B691" s="56"/>
      <c r="K691" s="79"/>
      <c r="L691" s="79"/>
      <c r="O691" s="56"/>
    </row>
    <row r="692" spans="1:15" ht="13" x14ac:dyDescent="0.15">
      <c r="A692" s="56"/>
      <c r="B692" s="56"/>
      <c r="K692" s="79"/>
      <c r="L692" s="79"/>
      <c r="O692" s="56"/>
    </row>
    <row r="693" spans="1:15" ht="13" x14ac:dyDescent="0.15">
      <c r="A693" s="56"/>
      <c r="B693" s="56"/>
      <c r="K693" s="79"/>
      <c r="L693" s="79"/>
      <c r="O693" s="56"/>
    </row>
    <row r="694" spans="1:15" ht="13" x14ac:dyDescent="0.15">
      <c r="A694" s="56"/>
      <c r="B694" s="56"/>
      <c r="K694" s="79"/>
      <c r="L694" s="79"/>
      <c r="O694" s="56"/>
    </row>
    <row r="695" spans="1:15" ht="13" x14ac:dyDescent="0.15">
      <c r="A695" s="56"/>
      <c r="B695" s="56"/>
      <c r="K695" s="79"/>
      <c r="L695" s="79"/>
      <c r="O695" s="56"/>
    </row>
    <row r="696" spans="1:15" ht="13" x14ac:dyDescent="0.15">
      <c r="A696" s="56"/>
      <c r="B696" s="56"/>
      <c r="K696" s="79"/>
      <c r="L696" s="79"/>
      <c r="O696" s="56"/>
    </row>
    <row r="697" spans="1:15" ht="13" x14ac:dyDescent="0.15">
      <c r="A697" s="56"/>
      <c r="B697" s="56"/>
      <c r="K697" s="79"/>
      <c r="L697" s="79"/>
      <c r="O697" s="56"/>
    </row>
    <row r="698" spans="1:15" ht="13" x14ac:dyDescent="0.15">
      <c r="A698" s="56"/>
      <c r="B698" s="56"/>
      <c r="K698" s="79"/>
      <c r="L698" s="79"/>
      <c r="O698" s="56"/>
    </row>
    <row r="699" spans="1:15" ht="13" x14ac:dyDescent="0.15">
      <c r="A699" s="56"/>
      <c r="B699" s="56"/>
      <c r="K699" s="79"/>
      <c r="L699" s="79"/>
      <c r="O699" s="56"/>
    </row>
    <row r="700" spans="1:15" ht="13" x14ac:dyDescent="0.15">
      <c r="A700" s="56"/>
      <c r="B700" s="56"/>
      <c r="K700" s="79"/>
      <c r="L700" s="79"/>
      <c r="O700" s="56"/>
    </row>
    <row r="701" spans="1:15" ht="13" x14ac:dyDescent="0.15">
      <c r="A701" s="56"/>
      <c r="B701" s="56"/>
      <c r="K701" s="79"/>
      <c r="L701" s="79"/>
      <c r="O701" s="56"/>
    </row>
    <row r="702" spans="1:15" ht="13" x14ac:dyDescent="0.15">
      <c r="A702" s="56"/>
      <c r="B702" s="56"/>
      <c r="K702" s="79"/>
      <c r="L702" s="79"/>
      <c r="O702" s="56"/>
    </row>
    <row r="703" spans="1:15" ht="13" x14ac:dyDescent="0.15">
      <c r="A703" s="56"/>
      <c r="B703" s="56"/>
      <c r="K703" s="79"/>
      <c r="L703" s="79"/>
      <c r="O703" s="56"/>
    </row>
    <row r="704" spans="1:15" ht="13" x14ac:dyDescent="0.15">
      <c r="A704" s="56"/>
      <c r="B704" s="56"/>
      <c r="K704" s="79"/>
      <c r="L704" s="79"/>
      <c r="O704" s="56"/>
    </row>
    <row r="705" spans="1:15" ht="13" x14ac:dyDescent="0.15">
      <c r="A705" s="56"/>
      <c r="B705" s="56"/>
      <c r="K705" s="79"/>
      <c r="L705" s="79"/>
      <c r="O705" s="56"/>
    </row>
    <row r="706" spans="1:15" ht="13" x14ac:dyDescent="0.15">
      <c r="A706" s="56"/>
      <c r="B706" s="56"/>
      <c r="K706" s="79"/>
      <c r="L706" s="79"/>
      <c r="O706" s="56"/>
    </row>
    <row r="707" spans="1:15" ht="13" x14ac:dyDescent="0.15">
      <c r="A707" s="56"/>
      <c r="B707" s="56"/>
      <c r="K707" s="79"/>
      <c r="L707" s="79"/>
      <c r="O707" s="56"/>
    </row>
    <row r="708" spans="1:15" ht="13" x14ac:dyDescent="0.15">
      <c r="A708" s="56"/>
      <c r="B708" s="56"/>
      <c r="K708" s="79"/>
      <c r="L708" s="79"/>
      <c r="O708" s="56"/>
    </row>
    <row r="709" spans="1:15" ht="13" x14ac:dyDescent="0.15">
      <c r="A709" s="56"/>
      <c r="B709" s="56"/>
      <c r="K709" s="79"/>
      <c r="L709" s="79"/>
      <c r="O709" s="56"/>
    </row>
    <row r="710" spans="1:15" ht="13" x14ac:dyDescent="0.15">
      <c r="A710" s="56"/>
      <c r="B710" s="56"/>
      <c r="K710" s="79"/>
      <c r="L710" s="79"/>
      <c r="O710" s="56"/>
    </row>
    <row r="711" spans="1:15" ht="13" x14ac:dyDescent="0.15">
      <c r="A711" s="56"/>
      <c r="B711" s="56"/>
      <c r="K711" s="79"/>
      <c r="L711" s="79"/>
      <c r="O711" s="56"/>
    </row>
    <row r="712" spans="1:15" ht="13" x14ac:dyDescent="0.15">
      <c r="A712" s="56"/>
      <c r="B712" s="56"/>
      <c r="K712" s="79"/>
      <c r="L712" s="79"/>
      <c r="O712" s="56"/>
    </row>
    <row r="713" spans="1:15" ht="13" x14ac:dyDescent="0.15">
      <c r="A713" s="56"/>
      <c r="B713" s="56"/>
      <c r="K713" s="79"/>
      <c r="L713" s="79"/>
      <c r="O713" s="56"/>
    </row>
    <row r="714" spans="1:15" ht="13" x14ac:dyDescent="0.15">
      <c r="A714" s="56"/>
      <c r="B714" s="56"/>
      <c r="K714" s="79"/>
      <c r="L714" s="79"/>
      <c r="O714" s="56"/>
    </row>
    <row r="715" spans="1:15" ht="13" x14ac:dyDescent="0.15">
      <c r="A715" s="56"/>
      <c r="B715" s="56"/>
      <c r="K715" s="79"/>
      <c r="L715" s="79"/>
      <c r="O715" s="56"/>
    </row>
    <row r="716" spans="1:15" ht="13" x14ac:dyDescent="0.15">
      <c r="A716" s="56"/>
      <c r="B716" s="56"/>
      <c r="K716" s="79"/>
      <c r="L716" s="79"/>
      <c r="O716" s="56"/>
    </row>
    <row r="717" spans="1:15" ht="13" x14ac:dyDescent="0.15">
      <c r="A717" s="56"/>
      <c r="B717" s="56"/>
      <c r="K717" s="79"/>
      <c r="L717" s="79"/>
      <c r="O717" s="56"/>
    </row>
    <row r="718" spans="1:15" ht="13" x14ac:dyDescent="0.15">
      <c r="A718" s="56"/>
      <c r="B718" s="56"/>
      <c r="K718" s="79"/>
      <c r="L718" s="79"/>
      <c r="O718" s="56"/>
    </row>
    <row r="719" spans="1:15" ht="13" x14ac:dyDescent="0.15">
      <c r="A719" s="56"/>
      <c r="B719" s="56"/>
      <c r="K719" s="79"/>
      <c r="L719" s="79"/>
      <c r="O719" s="56"/>
    </row>
    <row r="720" spans="1:15" ht="13" x14ac:dyDescent="0.15">
      <c r="A720" s="56"/>
      <c r="B720" s="56"/>
      <c r="K720" s="79"/>
      <c r="L720" s="79"/>
      <c r="O720" s="56"/>
    </row>
    <row r="721" spans="1:15" ht="13" x14ac:dyDescent="0.15">
      <c r="A721" s="56"/>
      <c r="B721" s="56"/>
      <c r="K721" s="79"/>
      <c r="L721" s="79"/>
      <c r="O721" s="56"/>
    </row>
    <row r="722" spans="1:15" ht="13" x14ac:dyDescent="0.15">
      <c r="A722" s="56"/>
      <c r="B722" s="56"/>
      <c r="K722" s="79"/>
      <c r="L722" s="79"/>
      <c r="O722" s="56"/>
    </row>
    <row r="723" spans="1:15" ht="13" x14ac:dyDescent="0.15">
      <c r="A723" s="56"/>
      <c r="B723" s="56"/>
      <c r="K723" s="79"/>
      <c r="L723" s="79"/>
      <c r="O723" s="56"/>
    </row>
    <row r="724" spans="1:15" ht="13" x14ac:dyDescent="0.15">
      <c r="A724" s="56"/>
      <c r="B724" s="56"/>
      <c r="K724" s="79"/>
      <c r="L724" s="79"/>
      <c r="O724" s="56"/>
    </row>
    <row r="725" spans="1:15" ht="13" x14ac:dyDescent="0.15">
      <c r="A725" s="56"/>
      <c r="B725" s="56"/>
      <c r="K725" s="79"/>
      <c r="L725" s="79"/>
      <c r="O725" s="56"/>
    </row>
    <row r="726" spans="1:15" ht="13" x14ac:dyDescent="0.15">
      <c r="A726" s="56"/>
      <c r="B726" s="56"/>
      <c r="K726" s="79"/>
      <c r="L726" s="79"/>
      <c r="O726" s="56"/>
    </row>
    <row r="727" spans="1:15" ht="13" x14ac:dyDescent="0.15">
      <c r="A727" s="56"/>
      <c r="B727" s="56"/>
      <c r="K727" s="79"/>
      <c r="L727" s="79"/>
      <c r="O727" s="56"/>
    </row>
    <row r="728" spans="1:15" ht="13" x14ac:dyDescent="0.15">
      <c r="A728" s="56"/>
      <c r="B728" s="56"/>
      <c r="K728" s="79"/>
      <c r="L728" s="79"/>
      <c r="O728" s="56"/>
    </row>
    <row r="729" spans="1:15" ht="13" x14ac:dyDescent="0.15">
      <c r="A729" s="56"/>
      <c r="B729" s="56"/>
      <c r="K729" s="79"/>
      <c r="L729" s="79"/>
      <c r="O729" s="56"/>
    </row>
    <row r="730" spans="1:15" ht="13" x14ac:dyDescent="0.15">
      <c r="A730" s="56"/>
      <c r="B730" s="56"/>
      <c r="K730" s="79"/>
      <c r="L730" s="79"/>
      <c r="O730" s="56"/>
    </row>
    <row r="731" spans="1:15" ht="13" x14ac:dyDescent="0.15">
      <c r="A731" s="56"/>
      <c r="B731" s="56"/>
      <c r="K731" s="79"/>
      <c r="L731" s="79"/>
      <c r="O731" s="56"/>
    </row>
    <row r="732" spans="1:15" ht="13" x14ac:dyDescent="0.15">
      <c r="A732" s="56"/>
      <c r="B732" s="56"/>
      <c r="K732" s="79"/>
      <c r="L732" s="79"/>
      <c r="O732" s="56"/>
    </row>
    <row r="733" spans="1:15" ht="13" x14ac:dyDescent="0.15">
      <c r="A733" s="56"/>
      <c r="B733" s="56"/>
      <c r="K733" s="79"/>
      <c r="L733" s="79"/>
      <c r="O733" s="56"/>
    </row>
    <row r="734" spans="1:15" ht="13" x14ac:dyDescent="0.15">
      <c r="A734" s="56"/>
      <c r="B734" s="56"/>
      <c r="K734" s="79"/>
      <c r="L734" s="79"/>
      <c r="O734" s="56"/>
    </row>
    <row r="735" spans="1:15" ht="13" x14ac:dyDescent="0.15">
      <c r="A735" s="56"/>
      <c r="B735" s="56"/>
      <c r="K735" s="79"/>
      <c r="L735" s="79"/>
      <c r="O735" s="56"/>
    </row>
    <row r="736" spans="1:15" ht="13" x14ac:dyDescent="0.15">
      <c r="A736" s="56"/>
      <c r="B736" s="56"/>
      <c r="K736" s="79"/>
      <c r="L736" s="79"/>
      <c r="O736" s="56"/>
    </row>
    <row r="737" spans="1:15" ht="13" x14ac:dyDescent="0.15">
      <c r="A737" s="56"/>
      <c r="B737" s="56"/>
      <c r="K737" s="79"/>
      <c r="L737" s="79"/>
      <c r="O737" s="56"/>
    </row>
    <row r="738" spans="1:15" ht="13" x14ac:dyDescent="0.15">
      <c r="A738" s="56"/>
      <c r="B738" s="56"/>
      <c r="K738" s="79"/>
      <c r="L738" s="79"/>
      <c r="O738" s="56"/>
    </row>
    <row r="739" spans="1:15" ht="13" x14ac:dyDescent="0.15">
      <c r="A739" s="56"/>
      <c r="B739" s="56"/>
      <c r="K739" s="79"/>
      <c r="L739" s="79"/>
      <c r="O739" s="56"/>
    </row>
    <row r="740" spans="1:15" ht="13" x14ac:dyDescent="0.15">
      <c r="A740" s="56"/>
      <c r="B740" s="56"/>
      <c r="K740" s="79"/>
      <c r="L740" s="79"/>
      <c r="O740" s="56"/>
    </row>
    <row r="741" spans="1:15" ht="13" x14ac:dyDescent="0.15">
      <c r="A741" s="56"/>
      <c r="B741" s="56"/>
      <c r="K741" s="79"/>
      <c r="L741" s="79"/>
      <c r="O741" s="56"/>
    </row>
    <row r="742" spans="1:15" ht="13" x14ac:dyDescent="0.15">
      <c r="A742" s="56"/>
      <c r="B742" s="56"/>
      <c r="K742" s="79"/>
      <c r="L742" s="79"/>
      <c r="O742" s="56"/>
    </row>
    <row r="743" spans="1:15" ht="13" x14ac:dyDescent="0.15">
      <c r="A743" s="56"/>
      <c r="B743" s="56"/>
      <c r="K743" s="79"/>
      <c r="L743" s="79"/>
      <c r="O743" s="56"/>
    </row>
    <row r="744" spans="1:15" ht="13" x14ac:dyDescent="0.15">
      <c r="A744" s="56"/>
      <c r="B744" s="56"/>
      <c r="K744" s="79"/>
      <c r="L744" s="79"/>
      <c r="O744" s="56"/>
    </row>
    <row r="745" spans="1:15" ht="13" x14ac:dyDescent="0.15">
      <c r="A745" s="56"/>
      <c r="B745" s="56"/>
      <c r="K745" s="79"/>
      <c r="L745" s="79"/>
      <c r="O745" s="56"/>
    </row>
    <row r="746" spans="1:15" ht="13" x14ac:dyDescent="0.15">
      <c r="A746" s="56"/>
      <c r="B746" s="56"/>
      <c r="K746" s="79"/>
      <c r="L746" s="79"/>
      <c r="O746" s="56"/>
    </row>
    <row r="747" spans="1:15" ht="13" x14ac:dyDescent="0.15">
      <c r="A747" s="56"/>
      <c r="B747" s="56"/>
      <c r="K747" s="79"/>
      <c r="L747" s="79"/>
      <c r="O747" s="56"/>
    </row>
    <row r="748" spans="1:15" ht="13" x14ac:dyDescent="0.15">
      <c r="A748" s="56"/>
      <c r="B748" s="56"/>
      <c r="K748" s="79"/>
      <c r="L748" s="79"/>
      <c r="O748" s="56"/>
    </row>
    <row r="749" spans="1:15" ht="13" x14ac:dyDescent="0.15">
      <c r="A749" s="56"/>
      <c r="B749" s="56"/>
      <c r="K749" s="79"/>
      <c r="L749" s="79"/>
      <c r="O749" s="56"/>
    </row>
    <row r="750" spans="1:15" ht="13" x14ac:dyDescent="0.15">
      <c r="A750" s="56"/>
      <c r="B750" s="56"/>
      <c r="K750" s="79"/>
      <c r="L750" s="79"/>
      <c r="O750" s="56"/>
    </row>
    <row r="751" spans="1:15" ht="13" x14ac:dyDescent="0.15">
      <c r="A751" s="56"/>
      <c r="B751" s="56"/>
      <c r="K751" s="79"/>
      <c r="L751" s="79"/>
      <c r="O751" s="56"/>
    </row>
    <row r="752" spans="1:15" ht="13" x14ac:dyDescent="0.15">
      <c r="A752" s="56"/>
      <c r="B752" s="56"/>
      <c r="K752" s="79"/>
      <c r="L752" s="79"/>
      <c r="O752" s="56"/>
    </row>
    <row r="753" spans="1:15" ht="13" x14ac:dyDescent="0.15">
      <c r="A753" s="56"/>
      <c r="B753" s="56"/>
      <c r="K753" s="79"/>
      <c r="L753" s="79"/>
      <c r="O753" s="56"/>
    </row>
    <row r="754" spans="1:15" ht="13" x14ac:dyDescent="0.15">
      <c r="A754" s="56"/>
      <c r="B754" s="56"/>
      <c r="K754" s="79"/>
      <c r="L754" s="79"/>
      <c r="O754" s="56"/>
    </row>
    <row r="755" spans="1:15" ht="13" x14ac:dyDescent="0.15">
      <c r="A755" s="56"/>
      <c r="B755" s="56"/>
      <c r="K755" s="79"/>
      <c r="L755" s="79"/>
      <c r="O755" s="56"/>
    </row>
    <row r="756" spans="1:15" ht="13" x14ac:dyDescent="0.15">
      <c r="A756" s="56"/>
      <c r="B756" s="56"/>
      <c r="K756" s="79"/>
      <c r="L756" s="79"/>
      <c r="O756" s="56"/>
    </row>
    <row r="757" spans="1:15" ht="13" x14ac:dyDescent="0.15">
      <c r="A757" s="56"/>
      <c r="B757" s="56"/>
      <c r="K757" s="79"/>
      <c r="L757" s="79"/>
      <c r="O757" s="56"/>
    </row>
    <row r="758" spans="1:15" ht="13" x14ac:dyDescent="0.15">
      <c r="A758" s="56"/>
      <c r="B758" s="56"/>
      <c r="K758" s="79"/>
      <c r="L758" s="79"/>
      <c r="O758" s="56"/>
    </row>
    <row r="759" spans="1:15" ht="13" x14ac:dyDescent="0.15">
      <c r="A759" s="56"/>
      <c r="B759" s="56"/>
      <c r="K759" s="79"/>
      <c r="L759" s="79"/>
      <c r="O759" s="56"/>
    </row>
    <row r="760" spans="1:15" ht="13" x14ac:dyDescent="0.15">
      <c r="A760" s="56"/>
      <c r="B760" s="56"/>
      <c r="K760" s="79"/>
      <c r="L760" s="79"/>
      <c r="O760" s="56"/>
    </row>
    <row r="761" spans="1:15" ht="13" x14ac:dyDescent="0.15">
      <c r="A761" s="56"/>
      <c r="B761" s="56"/>
      <c r="K761" s="79"/>
      <c r="L761" s="79"/>
      <c r="O761" s="56"/>
    </row>
    <row r="762" spans="1:15" ht="13" x14ac:dyDescent="0.15">
      <c r="A762" s="56"/>
      <c r="B762" s="56"/>
      <c r="K762" s="79"/>
      <c r="L762" s="79"/>
      <c r="O762" s="56"/>
    </row>
    <row r="763" spans="1:15" ht="13" x14ac:dyDescent="0.15">
      <c r="A763" s="56"/>
      <c r="B763" s="56"/>
      <c r="K763" s="79"/>
      <c r="L763" s="79"/>
      <c r="O763" s="56"/>
    </row>
    <row r="764" spans="1:15" ht="13" x14ac:dyDescent="0.15">
      <c r="A764" s="56"/>
      <c r="B764" s="56"/>
      <c r="K764" s="79"/>
      <c r="L764" s="79"/>
      <c r="O764" s="56"/>
    </row>
    <row r="765" spans="1:15" ht="13" x14ac:dyDescent="0.15">
      <c r="A765" s="56"/>
      <c r="B765" s="56"/>
      <c r="K765" s="79"/>
      <c r="L765" s="79"/>
      <c r="O765" s="56"/>
    </row>
    <row r="766" spans="1:15" ht="13" x14ac:dyDescent="0.15">
      <c r="A766" s="56"/>
      <c r="B766" s="56"/>
      <c r="K766" s="79"/>
      <c r="L766" s="79"/>
      <c r="O766" s="56"/>
    </row>
    <row r="767" spans="1:15" ht="13" x14ac:dyDescent="0.15">
      <c r="A767" s="56"/>
      <c r="B767" s="56"/>
      <c r="K767" s="79"/>
      <c r="L767" s="79"/>
      <c r="O767" s="56"/>
    </row>
    <row r="768" spans="1:15" ht="13" x14ac:dyDescent="0.15">
      <c r="A768" s="56"/>
      <c r="B768" s="56"/>
      <c r="K768" s="79"/>
      <c r="L768" s="79"/>
      <c r="O768" s="56"/>
    </row>
    <row r="769" spans="1:15" ht="13" x14ac:dyDescent="0.15">
      <c r="A769" s="56"/>
      <c r="B769" s="56"/>
      <c r="K769" s="79"/>
      <c r="L769" s="79"/>
      <c r="O769" s="56"/>
    </row>
    <row r="770" spans="1:15" ht="13" x14ac:dyDescent="0.15">
      <c r="A770" s="56"/>
      <c r="B770" s="56"/>
      <c r="K770" s="79"/>
      <c r="L770" s="79"/>
      <c r="O770" s="56"/>
    </row>
    <row r="771" spans="1:15" ht="13" x14ac:dyDescent="0.15">
      <c r="A771" s="56"/>
      <c r="B771" s="56"/>
      <c r="K771" s="79"/>
      <c r="L771" s="79"/>
      <c r="O771" s="56"/>
    </row>
    <row r="772" spans="1:15" ht="13" x14ac:dyDescent="0.15">
      <c r="A772" s="56"/>
      <c r="B772" s="56"/>
      <c r="K772" s="79"/>
      <c r="L772" s="79"/>
      <c r="O772" s="56"/>
    </row>
    <row r="773" spans="1:15" ht="13" x14ac:dyDescent="0.15">
      <c r="A773" s="56"/>
      <c r="B773" s="56"/>
      <c r="K773" s="79"/>
      <c r="L773" s="79"/>
      <c r="O773" s="56"/>
    </row>
    <row r="774" spans="1:15" ht="13" x14ac:dyDescent="0.15">
      <c r="A774" s="56"/>
      <c r="B774" s="56"/>
      <c r="K774" s="79"/>
      <c r="L774" s="79"/>
      <c r="O774" s="56"/>
    </row>
    <row r="775" spans="1:15" ht="13" x14ac:dyDescent="0.15">
      <c r="A775" s="56"/>
      <c r="B775" s="56"/>
      <c r="K775" s="79"/>
      <c r="L775" s="79"/>
      <c r="O775" s="56"/>
    </row>
    <row r="776" spans="1:15" ht="13" x14ac:dyDescent="0.15">
      <c r="A776" s="56"/>
      <c r="B776" s="56"/>
      <c r="K776" s="79"/>
      <c r="L776" s="79"/>
      <c r="O776" s="56"/>
    </row>
    <row r="777" spans="1:15" ht="13" x14ac:dyDescent="0.15">
      <c r="A777" s="56"/>
      <c r="B777" s="56"/>
      <c r="K777" s="79"/>
      <c r="L777" s="79"/>
      <c r="O777" s="56"/>
    </row>
    <row r="778" spans="1:15" ht="13" x14ac:dyDescent="0.15">
      <c r="A778" s="56"/>
      <c r="B778" s="56"/>
      <c r="K778" s="79"/>
      <c r="L778" s="79"/>
      <c r="O778" s="56"/>
    </row>
    <row r="779" spans="1:15" ht="13" x14ac:dyDescent="0.15">
      <c r="A779" s="56"/>
      <c r="B779" s="56"/>
      <c r="K779" s="79"/>
      <c r="L779" s="79"/>
      <c r="O779" s="56"/>
    </row>
    <row r="780" spans="1:15" ht="13" x14ac:dyDescent="0.15">
      <c r="A780" s="56"/>
      <c r="B780" s="56"/>
      <c r="K780" s="79"/>
      <c r="L780" s="79"/>
      <c r="O780" s="56"/>
    </row>
    <row r="781" spans="1:15" ht="13" x14ac:dyDescent="0.15">
      <c r="A781" s="56"/>
      <c r="B781" s="56"/>
      <c r="K781" s="79"/>
      <c r="L781" s="79"/>
      <c r="O781" s="56"/>
    </row>
    <row r="782" spans="1:15" ht="13" x14ac:dyDescent="0.15">
      <c r="A782" s="56"/>
      <c r="B782" s="56"/>
      <c r="K782" s="79"/>
      <c r="L782" s="79"/>
      <c r="O782" s="56"/>
    </row>
    <row r="783" spans="1:15" ht="13" x14ac:dyDescent="0.15">
      <c r="A783" s="56"/>
      <c r="B783" s="56"/>
      <c r="K783" s="79"/>
      <c r="L783" s="79"/>
      <c r="O783" s="56"/>
    </row>
    <row r="784" spans="1:15" ht="13" x14ac:dyDescent="0.15">
      <c r="A784" s="56"/>
      <c r="B784" s="56"/>
      <c r="K784" s="79"/>
      <c r="L784" s="79"/>
      <c r="O784" s="56"/>
    </row>
    <row r="785" spans="1:15" ht="13" x14ac:dyDescent="0.15">
      <c r="A785" s="56"/>
      <c r="B785" s="56"/>
      <c r="K785" s="79"/>
      <c r="L785" s="79"/>
      <c r="O785" s="56"/>
    </row>
    <row r="786" spans="1:15" ht="13" x14ac:dyDescent="0.15">
      <c r="A786" s="56"/>
      <c r="B786" s="56"/>
      <c r="K786" s="79"/>
      <c r="L786" s="79"/>
      <c r="O786" s="56"/>
    </row>
    <row r="787" spans="1:15" ht="13" x14ac:dyDescent="0.15">
      <c r="A787" s="56"/>
      <c r="B787" s="56"/>
      <c r="K787" s="79"/>
      <c r="L787" s="79"/>
      <c r="O787" s="56"/>
    </row>
    <row r="788" spans="1:15" ht="13" x14ac:dyDescent="0.15">
      <c r="A788" s="56"/>
      <c r="B788" s="56"/>
      <c r="K788" s="79"/>
      <c r="L788" s="79"/>
      <c r="O788" s="56"/>
    </row>
    <row r="789" spans="1:15" ht="13" x14ac:dyDescent="0.15">
      <c r="A789" s="56"/>
      <c r="B789" s="56"/>
      <c r="K789" s="79"/>
      <c r="L789" s="79"/>
      <c r="O789" s="56"/>
    </row>
    <row r="790" spans="1:15" ht="13" x14ac:dyDescent="0.15">
      <c r="A790" s="56"/>
      <c r="B790" s="56"/>
      <c r="K790" s="79"/>
      <c r="L790" s="79"/>
      <c r="O790" s="56"/>
    </row>
    <row r="791" spans="1:15" ht="13" x14ac:dyDescent="0.15">
      <c r="A791" s="56"/>
      <c r="B791" s="56"/>
      <c r="K791" s="79"/>
      <c r="L791" s="79"/>
      <c r="O791" s="56"/>
    </row>
    <row r="792" spans="1:15" ht="13" x14ac:dyDescent="0.15">
      <c r="A792" s="56"/>
      <c r="B792" s="56"/>
      <c r="K792" s="79"/>
      <c r="L792" s="79"/>
      <c r="O792" s="56"/>
    </row>
    <row r="793" spans="1:15" ht="13" x14ac:dyDescent="0.15">
      <c r="A793" s="56"/>
      <c r="B793" s="56"/>
      <c r="K793" s="79"/>
      <c r="L793" s="79"/>
      <c r="O793" s="56"/>
    </row>
    <row r="794" spans="1:15" ht="13" x14ac:dyDescent="0.15">
      <c r="A794" s="56"/>
      <c r="B794" s="56"/>
      <c r="K794" s="79"/>
      <c r="L794" s="79"/>
      <c r="O794" s="56"/>
    </row>
    <row r="795" spans="1:15" ht="13" x14ac:dyDescent="0.15">
      <c r="A795" s="56"/>
      <c r="B795" s="56"/>
      <c r="K795" s="79"/>
      <c r="L795" s="79"/>
      <c r="O795" s="56"/>
    </row>
    <row r="796" spans="1:15" ht="13" x14ac:dyDescent="0.15">
      <c r="A796" s="56"/>
      <c r="B796" s="56"/>
      <c r="K796" s="79"/>
      <c r="L796" s="79"/>
      <c r="O796" s="56"/>
    </row>
    <row r="797" spans="1:15" ht="13" x14ac:dyDescent="0.15">
      <c r="A797" s="56"/>
      <c r="B797" s="56"/>
      <c r="K797" s="79"/>
      <c r="L797" s="79"/>
      <c r="O797" s="56"/>
    </row>
    <row r="798" spans="1:15" ht="13" x14ac:dyDescent="0.15">
      <c r="A798" s="56"/>
      <c r="B798" s="56"/>
      <c r="K798" s="79"/>
      <c r="L798" s="79"/>
      <c r="O798" s="56"/>
    </row>
    <row r="799" spans="1:15" ht="13" x14ac:dyDescent="0.15">
      <c r="A799" s="56"/>
      <c r="B799" s="56"/>
      <c r="K799" s="79"/>
      <c r="L799" s="79"/>
      <c r="O799" s="56"/>
    </row>
    <row r="800" spans="1:15" ht="13" x14ac:dyDescent="0.15">
      <c r="A800" s="56"/>
      <c r="B800" s="56"/>
      <c r="K800" s="79"/>
      <c r="L800" s="79"/>
      <c r="O800" s="56"/>
    </row>
    <row r="801" spans="1:15" ht="13" x14ac:dyDescent="0.15">
      <c r="A801" s="56"/>
      <c r="B801" s="56"/>
      <c r="K801" s="79"/>
      <c r="L801" s="79"/>
      <c r="O801" s="56"/>
    </row>
    <row r="802" spans="1:15" ht="13" x14ac:dyDescent="0.15">
      <c r="A802" s="56"/>
      <c r="B802" s="56"/>
      <c r="K802" s="79"/>
      <c r="L802" s="79"/>
      <c r="O802" s="56"/>
    </row>
    <row r="803" spans="1:15" ht="13" x14ac:dyDescent="0.15">
      <c r="A803" s="56"/>
      <c r="B803" s="56"/>
      <c r="K803" s="79"/>
      <c r="L803" s="79"/>
      <c r="O803" s="56"/>
    </row>
    <row r="804" spans="1:15" ht="13" x14ac:dyDescent="0.15">
      <c r="A804" s="56"/>
      <c r="B804" s="56"/>
      <c r="K804" s="79"/>
      <c r="L804" s="79"/>
      <c r="O804" s="56"/>
    </row>
    <row r="805" spans="1:15" ht="13" x14ac:dyDescent="0.15">
      <c r="A805" s="56"/>
      <c r="B805" s="56"/>
      <c r="K805" s="79"/>
      <c r="L805" s="79"/>
      <c r="O805" s="56"/>
    </row>
    <row r="806" spans="1:15" ht="13" x14ac:dyDescent="0.15">
      <c r="A806" s="56"/>
      <c r="B806" s="56"/>
      <c r="K806" s="79"/>
      <c r="L806" s="79"/>
      <c r="O806" s="56"/>
    </row>
    <row r="807" spans="1:15" ht="13" x14ac:dyDescent="0.15">
      <c r="A807" s="56"/>
      <c r="B807" s="56"/>
      <c r="K807" s="79"/>
      <c r="L807" s="79"/>
      <c r="O807" s="56"/>
    </row>
    <row r="808" spans="1:15" ht="13" x14ac:dyDescent="0.15">
      <c r="A808" s="56"/>
      <c r="B808" s="56"/>
      <c r="K808" s="79"/>
      <c r="L808" s="79"/>
      <c r="O808" s="56"/>
    </row>
    <row r="809" spans="1:15" ht="13" x14ac:dyDescent="0.15">
      <c r="A809" s="56"/>
      <c r="B809" s="56"/>
      <c r="K809" s="79"/>
      <c r="L809" s="79"/>
      <c r="O809" s="56"/>
    </row>
    <row r="810" spans="1:15" ht="13" x14ac:dyDescent="0.15">
      <c r="A810" s="56"/>
      <c r="B810" s="56"/>
      <c r="K810" s="79"/>
      <c r="L810" s="79"/>
      <c r="O810" s="56"/>
    </row>
    <row r="811" spans="1:15" ht="13" x14ac:dyDescent="0.15">
      <c r="A811" s="56"/>
      <c r="B811" s="56"/>
      <c r="K811" s="79"/>
      <c r="L811" s="79"/>
      <c r="O811" s="56"/>
    </row>
    <row r="812" spans="1:15" ht="13" x14ac:dyDescent="0.15">
      <c r="A812" s="56"/>
      <c r="B812" s="56"/>
      <c r="K812" s="79"/>
      <c r="L812" s="79"/>
      <c r="O812" s="56"/>
    </row>
    <row r="813" spans="1:15" ht="13" x14ac:dyDescent="0.15">
      <c r="A813" s="56"/>
      <c r="B813" s="56"/>
      <c r="K813" s="79"/>
      <c r="L813" s="79"/>
      <c r="O813" s="56"/>
    </row>
    <row r="814" spans="1:15" ht="13" x14ac:dyDescent="0.15">
      <c r="A814" s="56"/>
      <c r="B814" s="56"/>
      <c r="K814" s="79"/>
      <c r="L814" s="79"/>
      <c r="O814" s="56"/>
    </row>
    <row r="815" spans="1:15" ht="13" x14ac:dyDescent="0.15">
      <c r="A815" s="56"/>
      <c r="B815" s="56"/>
      <c r="K815" s="79"/>
      <c r="L815" s="79"/>
      <c r="O815" s="56"/>
    </row>
    <row r="816" spans="1:15" ht="13" x14ac:dyDescent="0.15">
      <c r="A816" s="56"/>
      <c r="B816" s="56"/>
      <c r="K816" s="79"/>
      <c r="L816" s="79"/>
      <c r="O816" s="56"/>
    </row>
    <row r="817" spans="1:15" ht="13" x14ac:dyDescent="0.15">
      <c r="A817" s="56"/>
      <c r="B817" s="56"/>
      <c r="K817" s="79"/>
      <c r="L817" s="79"/>
      <c r="O817" s="56"/>
    </row>
    <row r="818" spans="1:15" ht="13" x14ac:dyDescent="0.15">
      <c r="A818" s="56"/>
      <c r="B818" s="56"/>
      <c r="K818" s="79"/>
      <c r="L818" s="79"/>
      <c r="O818" s="56"/>
    </row>
    <row r="819" spans="1:15" ht="13" x14ac:dyDescent="0.15">
      <c r="A819" s="56"/>
      <c r="B819" s="56"/>
      <c r="K819" s="79"/>
      <c r="L819" s="79"/>
      <c r="O819" s="56"/>
    </row>
    <row r="820" spans="1:15" ht="13" x14ac:dyDescent="0.15">
      <c r="A820" s="56"/>
      <c r="B820" s="56"/>
      <c r="K820" s="79"/>
      <c r="L820" s="79"/>
      <c r="O820" s="56"/>
    </row>
    <row r="821" spans="1:15" ht="13" x14ac:dyDescent="0.15">
      <c r="A821" s="56"/>
      <c r="B821" s="56"/>
      <c r="K821" s="79"/>
      <c r="L821" s="79"/>
      <c r="O821" s="56"/>
    </row>
    <row r="822" spans="1:15" ht="13" x14ac:dyDescent="0.15">
      <c r="A822" s="56"/>
      <c r="B822" s="56"/>
      <c r="K822" s="79"/>
      <c r="L822" s="79"/>
      <c r="O822" s="56"/>
    </row>
    <row r="823" spans="1:15" ht="13" x14ac:dyDescent="0.15">
      <c r="A823" s="56"/>
      <c r="B823" s="56"/>
      <c r="K823" s="79"/>
      <c r="L823" s="79"/>
      <c r="O823" s="56"/>
    </row>
    <row r="824" spans="1:15" ht="13" x14ac:dyDescent="0.15">
      <c r="A824" s="56"/>
      <c r="B824" s="56"/>
      <c r="K824" s="79"/>
      <c r="L824" s="79"/>
      <c r="O824" s="56"/>
    </row>
    <row r="825" spans="1:15" ht="13" x14ac:dyDescent="0.15">
      <c r="A825" s="56"/>
      <c r="B825" s="56"/>
      <c r="K825" s="79"/>
      <c r="L825" s="79"/>
      <c r="O825" s="56"/>
    </row>
    <row r="826" spans="1:15" ht="13" x14ac:dyDescent="0.15">
      <c r="A826" s="56"/>
      <c r="B826" s="56"/>
      <c r="K826" s="79"/>
      <c r="L826" s="79"/>
      <c r="O826" s="56"/>
    </row>
    <row r="827" spans="1:15" ht="13" x14ac:dyDescent="0.15">
      <c r="A827" s="56"/>
      <c r="B827" s="56"/>
      <c r="K827" s="79"/>
      <c r="L827" s="79"/>
      <c r="O827" s="56"/>
    </row>
    <row r="828" spans="1:15" ht="13" x14ac:dyDescent="0.15">
      <c r="A828" s="56"/>
      <c r="B828" s="56"/>
      <c r="K828" s="79"/>
      <c r="L828" s="79"/>
      <c r="O828" s="56"/>
    </row>
    <row r="829" spans="1:15" ht="13" x14ac:dyDescent="0.15">
      <c r="A829" s="56"/>
      <c r="B829" s="56"/>
      <c r="K829" s="79"/>
      <c r="L829" s="79"/>
      <c r="O829" s="56"/>
    </row>
    <row r="830" spans="1:15" ht="13" x14ac:dyDescent="0.15">
      <c r="A830" s="56"/>
      <c r="B830" s="56"/>
      <c r="K830" s="79"/>
      <c r="L830" s="79"/>
      <c r="O830" s="56"/>
    </row>
    <row r="831" spans="1:15" ht="13" x14ac:dyDescent="0.15">
      <c r="A831" s="56"/>
      <c r="B831" s="56"/>
      <c r="K831" s="79"/>
      <c r="L831" s="79"/>
      <c r="O831" s="56"/>
    </row>
    <row r="832" spans="1:15" ht="13" x14ac:dyDescent="0.15">
      <c r="A832" s="56"/>
      <c r="B832" s="56"/>
      <c r="K832" s="79"/>
      <c r="L832" s="79"/>
      <c r="O832" s="56"/>
    </row>
    <row r="833" spans="1:15" ht="13" x14ac:dyDescent="0.15">
      <c r="A833" s="56"/>
      <c r="B833" s="56"/>
      <c r="K833" s="79"/>
      <c r="L833" s="79"/>
      <c r="O833" s="56"/>
    </row>
    <row r="834" spans="1:15" ht="13" x14ac:dyDescent="0.15">
      <c r="A834" s="56"/>
      <c r="B834" s="56"/>
      <c r="K834" s="79"/>
      <c r="L834" s="79"/>
      <c r="O834" s="56"/>
    </row>
    <row r="835" spans="1:15" ht="13" x14ac:dyDescent="0.15">
      <c r="A835" s="56"/>
      <c r="B835" s="56"/>
      <c r="K835" s="79"/>
      <c r="L835" s="79"/>
      <c r="O835" s="56"/>
    </row>
    <row r="836" spans="1:15" ht="13" x14ac:dyDescent="0.15">
      <c r="A836" s="56"/>
      <c r="B836" s="56"/>
      <c r="K836" s="79"/>
      <c r="L836" s="79"/>
      <c r="O836" s="56"/>
    </row>
    <row r="837" spans="1:15" ht="13" x14ac:dyDescent="0.15">
      <c r="A837" s="56"/>
      <c r="B837" s="56"/>
      <c r="K837" s="79"/>
      <c r="L837" s="79"/>
      <c r="O837" s="56"/>
    </row>
    <row r="838" spans="1:15" ht="13" x14ac:dyDescent="0.15">
      <c r="A838" s="56"/>
      <c r="B838" s="56"/>
      <c r="K838" s="79"/>
      <c r="L838" s="79"/>
      <c r="O838" s="56"/>
    </row>
    <row r="839" spans="1:15" ht="13" x14ac:dyDescent="0.15">
      <c r="A839" s="56"/>
      <c r="B839" s="56"/>
      <c r="K839" s="79"/>
      <c r="L839" s="79"/>
      <c r="O839" s="56"/>
    </row>
    <row r="840" spans="1:15" ht="13" x14ac:dyDescent="0.15">
      <c r="A840" s="56"/>
      <c r="B840" s="56"/>
      <c r="K840" s="79"/>
      <c r="L840" s="79"/>
      <c r="O840" s="56"/>
    </row>
    <row r="841" spans="1:15" ht="13" x14ac:dyDescent="0.15">
      <c r="A841" s="56"/>
      <c r="B841" s="56"/>
      <c r="K841" s="79"/>
      <c r="L841" s="79"/>
      <c r="O841" s="56"/>
    </row>
    <row r="842" spans="1:15" ht="13" x14ac:dyDescent="0.15">
      <c r="A842" s="56"/>
      <c r="B842" s="56"/>
      <c r="K842" s="79"/>
      <c r="L842" s="79"/>
      <c r="O842" s="56"/>
    </row>
    <row r="843" spans="1:15" ht="13" x14ac:dyDescent="0.15">
      <c r="A843" s="56"/>
      <c r="B843" s="56"/>
      <c r="K843" s="79"/>
      <c r="L843" s="79"/>
      <c r="O843" s="56"/>
    </row>
    <row r="844" spans="1:15" ht="13" x14ac:dyDescent="0.15">
      <c r="A844" s="56"/>
      <c r="B844" s="56"/>
      <c r="K844" s="79"/>
      <c r="L844" s="79"/>
      <c r="O844" s="56"/>
    </row>
    <row r="845" spans="1:15" ht="13" x14ac:dyDescent="0.15">
      <c r="A845" s="56"/>
      <c r="B845" s="56"/>
      <c r="K845" s="79"/>
      <c r="L845" s="79"/>
      <c r="O845" s="56"/>
    </row>
    <row r="846" spans="1:15" ht="13" x14ac:dyDescent="0.15">
      <c r="A846" s="56"/>
      <c r="B846" s="56"/>
      <c r="K846" s="79"/>
      <c r="L846" s="79"/>
      <c r="O846" s="56"/>
    </row>
    <row r="847" spans="1:15" ht="13" x14ac:dyDescent="0.15">
      <c r="A847" s="56"/>
      <c r="B847" s="56"/>
      <c r="K847" s="79"/>
      <c r="L847" s="79"/>
      <c r="O847" s="56"/>
    </row>
    <row r="848" spans="1:15" ht="13" x14ac:dyDescent="0.15">
      <c r="A848" s="56"/>
      <c r="B848" s="56"/>
      <c r="K848" s="79"/>
      <c r="L848" s="79"/>
      <c r="O848" s="56"/>
    </row>
    <row r="849" spans="1:15" ht="13" x14ac:dyDescent="0.15">
      <c r="A849" s="56"/>
      <c r="B849" s="56"/>
      <c r="K849" s="79"/>
      <c r="L849" s="79"/>
      <c r="O849" s="56"/>
    </row>
    <row r="850" spans="1:15" ht="13" x14ac:dyDescent="0.15">
      <c r="A850" s="56"/>
      <c r="B850" s="56"/>
      <c r="K850" s="79"/>
      <c r="L850" s="79"/>
      <c r="O850" s="56"/>
    </row>
    <row r="851" spans="1:15" ht="13" x14ac:dyDescent="0.15">
      <c r="A851" s="56"/>
      <c r="B851" s="56"/>
      <c r="K851" s="79"/>
      <c r="L851" s="79"/>
      <c r="O851" s="56"/>
    </row>
    <row r="852" spans="1:15" ht="13" x14ac:dyDescent="0.15">
      <c r="A852" s="56"/>
      <c r="B852" s="56"/>
      <c r="K852" s="79"/>
      <c r="L852" s="79"/>
      <c r="O852" s="56"/>
    </row>
    <row r="853" spans="1:15" ht="13" x14ac:dyDescent="0.15">
      <c r="A853" s="56"/>
      <c r="B853" s="56"/>
      <c r="K853" s="79"/>
      <c r="L853" s="79"/>
      <c r="O853" s="56"/>
    </row>
    <row r="854" spans="1:15" ht="13" x14ac:dyDescent="0.15">
      <c r="A854" s="56"/>
      <c r="B854" s="56"/>
      <c r="K854" s="79"/>
      <c r="L854" s="79"/>
      <c r="O854" s="56"/>
    </row>
    <row r="855" spans="1:15" ht="13" x14ac:dyDescent="0.15">
      <c r="A855" s="56"/>
      <c r="B855" s="56"/>
      <c r="K855" s="79"/>
      <c r="L855" s="79"/>
      <c r="O855" s="56"/>
    </row>
    <row r="856" spans="1:15" ht="13" x14ac:dyDescent="0.15">
      <c r="A856" s="56"/>
      <c r="B856" s="56"/>
      <c r="K856" s="79"/>
      <c r="L856" s="79"/>
      <c r="O856" s="56"/>
    </row>
    <row r="857" spans="1:15" ht="13" x14ac:dyDescent="0.15">
      <c r="A857" s="56"/>
      <c r="B857" s="56"/>
      <c r="K857" s="79"/>
      <c r="L857" s="79"/>
      <c r="O857" s="56"/>
    </row>
    <row r="858" spans="1:15" ht="13" x14ac:dyDescent="0.15">
      <c r="A858" s="56"/>
      <c r="B858" s="56"/>
      <c r="K858" s="79"/>
      <c r="L858" s="79"/>
      <c r="O858" s="56"/>
    </row>
    <row r="859" spans="1:15" ht="13" x14ac:dyDescent="0.15">
      <c r="A859" s="56"/>
      <c r="B859" s="56"/>
      <c r="K859" s="79"/>
      <c r="L859" s="79"/>
      <c r="O859" s="56"/>
    </row>
    <row r="860" spans="1:15" ht="13" x14ac:dyDescent="0.15">
      <c r="A860" s="56"/>
      <c r="B860" s="56"/>
      <c r="K860" s="79"/>
      <c r="L860" s="79"/>
      <c r="O860" s="56"/>
    </row>
    <row r="861" spans="1:15" ht="13" x14ac:dyDescent="0.15">
      <c r="A861" s="56"/>
      <c r="B861" s="56"/>
      <c r="K861" s="79"/>
      <c r="L861" s="79"/>
      <c r="O861" s="56"/>
    </row>
    <row r="862" spans="1:15" ht="13" x14ac:dyDescent="0.15">
      <c r="A862" s="56"/>
      <c r="B862" s="56"/>
      <c r="K862" s="79"/>
      <c r="L862" s="79"/>
      <c r="O862" s="56"/>
    </row>
    <row r="863" spans="1:15" ht="13" x14ac:dyDescent="0.15">
      <c r="A863" s="56"/>
      <c r="B863" s="56"/>
      <c r="K863" s="79"/>
      <c r="L863" s="79"/>
      <c r="O863" s="56"/>
    </row>
    <row r="864" spans="1:15" ht="13" x14ac:dyDescent="0.15">
      <c r="A864" s="56"/>
      <c r="B864" s="56"/>
      <c r="K864" s="79"/>
      <c r="L864" s="79"/>
      <c r="O864" s="56"/>
    </row>
    <row r="865" spans="1:15" ht="13" x14ac:dyDescent="0.15">
      <c r="A865" s="56"/>
      <c r="B865" s="56"/>
      <c r="K865" s="79"/>
      <c r="L865" s="79"/>
      <c r="O865" s="56"/>
    </row>
    <row r="866" spans="1:15" ht="13" x14ac:dyDescent="0.15">
      <c r="A866" s="56"/>
      <c r="B866" s="56"/>
      <c r="K866" s="79"/>
      <c r="L866" s="79"/>
      <c r="O866" s="56"/>
    </row>
    <row r="867" spans="1:15" ht="13" x14ac:dyDescent="0.15">
      <c r="A867" s="56"/>
      <c r="B867" s="56"/>
      <c r="K867" s="79"/>
      <c r="L867" s="79"/>
      <c r="O867" s="56"/>
    </row>
    <row r="868" spans="1:15" ht="13" x14ac:dyDescent="0.15">
      <c r="A868" s="56"/>
      <c r="B868" s="56"/>
      <c r="K868" s="79"/>
      <c r="L868" s="79"/>
      <c r="O868" s="56"/>
    </row>
    <row r="869" spans="1:15" ht="13" x14ac:dyDescent="0.15">
      <c r="A869" s="56"/>
      <c r="B869" s="56"/>
      <c r="K869" s="79"/>
      <c r="L869" s="79"/>
      <c r="O869" s="56"/>
    </row>
    <row r="870" spans="1:15" ht="13" x14ac:dyDescent="0.15">
      <c r="A870" s="56"/>
      <c r="B870" s="56"/>
      <c r="K870" s="79"/>
      <c r="L870" s="79"/>
      <c r="O870" s="56"/>
    </row>
    <row r="871" spans="1:15" ht="13" x14ac:dyDescent="0.15">
      <c r="A871" s="56"/>
      <c r="B871" s="56"/>
      <c r="K871" s="79"/>
      <c r="L871" s="79"/>
      <c r="O871" s="56"/>
    </row>
    <row r="872" spans="1:15" ht="13" x14ac:dyDescent="0.15">
      <c r="A872" s="56"/>
      <c r="B872" s="56"/>
      <c r="K872" s="79"/>
      <c r="L872" s="79"/>
      <c r="O872" s="56"/>
    </row>
    <row r="873" spans="1:15" ht="13" x14ac:dyDescent="0.15">
      <c r="A873" s="56"/>
      <c r="B873" s="56"/>
      <c r="K873" s="79"/>
      <c r="L873" s="79"/>
      <c r="O873" s="56"/>
    </row>
    <row r="874" spans="1:15" ht="13" x14ac:dyDescent="0.15">
      <c r="A874" s="56"/>
      <c r="B874" s="56"/>
      <c r="K874" s="79"/>
      <c r="L874" s="79"/>
      <c r="O874" s="56"/>
    </row>
    <row r="875" spans="1:15" ht="13" x14ac:dyDescent="0.15">
      <c r="A875" s="56"/>
      <c r="B875" s="56"/>
      <c r="K875" s="79"/>
      <c r="L875" s="79"/>
      <c r="O875" s="56"/>
    </row>
    <row r="876" spans="1:15" ht="13" x14ac:dyDescent="0.15">
      <c r="A876" s="56"/>
      <c r="B876" s="56"/>
      <c r="K876" s="79"/>
      <c r="L876" s="79"/>
      <c r="O876" s="56"/>
    </row>
    <row r="877" spans="1:15" ht="13" x14ac:dyDescent="0.15">
      <c r="A877" s="56"/>
      <c r="B877" s="56"/>
      <c r="K877" s="79"/>
      <c r="L877" s="79"/>
      <c r="O877" s="56"/>
    </row>
    <row r="878" spans="1:15" ht="13" x14ac:dyDescent="0.15">
      <c r="A878" s="56"/>
      <c r="B878" s="56"/>
      <c r="K878" s="79"/>
      <c r="L878" s="79"/>
      <c r="O878" s="56"/>
    </row>
    <row r="879" spans="1:15" ht="13" x14ac:dyDescent="0.15">
      <c r="A879" s="56"/>
      <c r="B879" s="56"/>
      <c r="K879" s="79"/>
      <c r="L879" s="79"/>
      <c r="O879" s="56"/>
    </row>
    <row r="880" spans="1:15" ht="13" x14ac:dyDescent="0.15">
      <c r="A880" s="56"/>
      <c r="B880" s="56"/>
      <c r="K880" s="79"/>
      <c r="L880" s="79"/>
      <c r="O880" s="56"/>
    </row>
    <row r="881" spans="1:15" ht="13" x14ac:dyDescent="0.15">
      <c r="A881" s="56"/>
      <c r="B881" s="56"/>
      <c r="K881" s="79"/>
      <c r="L881" s="79"/>
      <c r="O881" s="56"/>
    </row>
    <row r="882" spans="1:15" ht="13" x14ac:dyDescent="0.15">
      <c r="A882" s="56"/>
      <c r="B882" s="56"/>
      <c r="K882" s="79"/>
      <c r="L882" s="79"/>
      <c r="O882" s="56"/>
    </row>
    <row r="883" spans="1:15" ht="13" x14ac:dyDescent="0.15">
      <c r="A883" s="56"/>
      <c r="B883" s="56"/>
      <c r="K883" s="79"/>
      <c r="L883" s="79"/>
      <c r="O883" s="56"/>
    </row>
    <row r="884" spans="1:15" ht="13" x14ac:dyDescent="0.15">
      <c r="A884" s="56"/>
      <c r="B884" s="56"/>
      <c r="K884" s="79"/>
      <c r="L884" s="79"/>
      <c r="O884" s="56"/>
    </row>
    <row r="885" spans="1:15" ht="13" x14ac:dyDescent="0.15">
      <c r="A885" s="56"/>
      <c r="B885" s="56"/>
      <c r="K885" s="79"/>
      <c r="L885" s="79"/>
      <c r="O885" s="56"/>
    </row>
    <row r="886" spans="1:15" ht="13" x14ac:dyDescent="0.15">
      <c r="A886" s="56"/>
      <c r="B886" s="56"/>
      <c r="K886" s="79"/>
      <c r="L886" s="79"/>
      <c r="O886" s="56"/>
    </row>
    <row r="887" spans="1:15" ht="13" x14ac:dyDescent="0.15">
      <c r="A887" s="56"/>
      <c r="B887" s="56"/>
      <c r="K887" s="79"/>
      <c r="L887" s="79"/>
      <c r="O887" s="56"/>
    </row>
    <row r="888" spans="1:15" ht="13" x14ac:dyDescent="0.15">
      <c r="A888" s="56"/>
      <c r="B888" s="56"/>
      <c r="K888" s="79"/>
      <c r="L888" s="79"/>
      <c r="O888" s="56"/>
    </row>
    <row r="889" spans="1:15" ht="13" x14ac:dyDescent="0.15">
      <c r="A889" s="56"/>
      <c r="B889" s="56"/>
      <c r="K889" s="79"/>
      <c r="L889" s="79"/>
      <c r="O889" s="56"/>
    </row>
    <row r="890" spans="1:15" ht="13" x14ac:dyDescent="0.15">
      <c r="A890" s="56"/>
      <c r="B890" s="56"/>
      <c r="K890" s="79"/>
      <c r="L890" s="79"/>
      <c r="O890" s="56"/>
    </row>
    <row r="891" spans="1:15" ht="13" x14ac:dyDescent="0.15">
      <c r="A891" s="56"/>
      <c r="B891" s="56"/>
      <c r="K891" s="79"/>
      <c r="L891" s="79"/>
      <c r="O891" s="56"/>
    </row>
    <row r="892" spans="1:15" ht="13" x14ac:dyDescent="0.15">
      <c r="A892" s="56"/>
      <c r="B892" s="56"/>
      <c r="K892" s="79"/>
      <c r="L892" s="79"/>
      <c r="O892" s="56"/>
    </row>
    <row r="893" spans="1:15" ht="13" x14ac:dyDescent="0.15">
      <c r="A893" s="56"/>
      <c r="B893" s="56"/>
      <c r="K893" s="79"/>
      <c r="L893" s="79"/>
      <c r="O893" s="56"/>
    </row>
    <row r="894" spans="1:15" ht="13" x14ac:dyDescent="0.15">
      <c r="A894" s="56"/>
      <c r="B894" s="56"/>
      <c r="K894" s="79"/>
      <c r="L894" s="79"/>
      <c r="O894" s="56"/>
    </row>
    <row r="895" spans="1:15" ht="13" x14ac:dyDescent="0.15">
      <c r="A895" s="56"/>
      <c r="B895" s="56"/>
      <c r="K895" s="79"/>
      <c r="L895" s="79"/>
      <c r="O895" s="56"/>
    </row>
    <row r="896" spans="1:15" ht="13" x14ac:dyDescent="0.15">
      <c r="A896" s="56"/>
      <c r="B896" s="56"/>
      <c r="K896" s="79"/>
      <c r="L896" s="79"/>
      <c r="O896" s="56"/>
    </row>
    <row r="897" spans="1:15" ht="13" x14ac:dyDescent="0.15">
      <c r="A897" s="56"/>
      <c r="B897" s="56"/>
      <c r="K897" s="79"/>
      <c r="L897" s="79"/>
      <c r="O897" s="56"/>
    </row>
    <row r="898" spans="1:15" ht="13" x14ac:dyDescent="0.15">
      <c r="A898" s="56"/>
      <c r="B898" s="56"/>
      <c r="K898" s="79"/>
      <c r="L898" s="79"/>
      <c r="O898" s="56"/>
    </row>
    <row r="899" spans="1:15" ht="13" x14ac:dyDescent="0.15">
      <c r="A899" s="56"/>
      <c r="B899" s="56"/>
      <c r="K899" s="79"/>
      <c r="L899" s="79"/>
      <c r="O899" s="56"/>
    </row>
    <row r="900" spans="1:15" ht="13" x14ac:dyDescent="0.15">
      <c r="A900" s="56"/>
      <c r="B900" s="56"/>
      <c r="K900" s="79"/>
      <c r="L900" s="79"/>
      <c r="O900" s="56"/>
    </row>
    <row r="901" spans="1:15" ht="13" x14ac:dyDescent="0.15">
      <c r="A901" s="56"/>
      <c r="B901" s="56"/>
      <c r="K901" s="79"/>
      <c r="L901" s="79"/>
      <c r="O901" s="56"/>
    </row>
    <row r="902" spans="1:15" ht="13" x14ac:dyDescent="0.15">
      <c r="A902" s="56"/>
      <c r="B902" s="56"/>
      <c r="K902" s="79"/>
      <c r="L902" s="79"/>
      <c r="O902" s="56"/>
    </row>
    <row r="903" spans="1:15" ht="13" x14ac:dyDescent="0.15">
      <c r="A903" s="56"/>
      <c r="B903" s="56"/>
      <c r="K903" s="79"/>
      <c r="L903" s="79"/>
      <c r="O903" s="56"/>
    </row>
    <row r="904" spans="1:15" ht="13" x14ac:dyDescent="0.15">
      <c r="A904" s="56"/>
      <c r="B904" s="56"/>
      <c r="K904" s="79"/>
      <c r="L904" s="79"/>
      <c r="O904" s="56"/>
    </row>
    <row r="905" spans="1:15" ht="13" x14ac:dyDescent="0.15">
      <c r="A905" s="56"/>
      <c r="B905" s="56"/>
      <c r="K905" s="79"/>
      <c r="L905" s="79"/>
      <c r="O905" s="56"/>
    </row>
    <row r="906" spans="1:15" ht="13" x14ac:dyDescent="0.15">
      <c r="A906" s="56"/>
      <c r="B906" s="56"/>
      <c r="K906" s="79"/>
      <c r="L906" s="79"/>
      <c r="O906" s="56"/>
    </row>
    <row r="907" spans="1:15" ht="13" x14ac:dyDescent="0.15">
      <c r="A907" s="56"/>
      <c r="B907" s="56"/>
      <c r="K907" s="79"/>
      <c r="L907" s="79"/>
      <c r="O907" s="56"/>
    </row>
    <row r="908" spans="1:15" ht="13" x14ac:dyDescent="0.15">
      <c r="A908" s="56"/>
      <c r="B908" s="56"/>
      <c r="K908" s="79"/>
      <c r="L908" s="79"/>
      <c r="O908" s="56"/>
    </row>
    <row r="909" spans="1:15" ht="13" x14ac:dyDescent="0.15">
      <c r="A909" s="56"/>
      <c r="B909" s="56"/>
      <c r="K909" s="79"/>
      <c r="L909" s="79"/>
      <c r="O909" s="56"/>
    </row>
    <row r="910" spans="1:15" ht="13" x14ac:dyDescent="0.15">
      <c r="A910" s="56"/>
      <c r="B910" s="56"/>
      <c r="K910" s="79"/>
      <c r="L910" s="79"/>
      <c r="O910" s="56"/>
    </row>
    <row r="911" spans="1:15" ht="13" x14ac:dyDescent="0.15">
      <c r="A911" s="56"/>
      <c r="B911" s="56"/>
      <c r="K911" s="79"/>
      <c r="L911" s="79"/>
      <c r="O911" s="56"/>
    </row>
    <row r="912" spans="1:15" ht="13" x14ac:dyDescent="0.15">
      <c r="A912" s="56"/>
      <c r="B912" s="56"/>
      <c r="K912" s="79"/>
      <c r="L912" s="79"/>
      <c r="O912" s="56"/>
    </row>
    <row r="913" spans="1:15" ht="13" x14ac:dyDescent="0.15">
      <c r="A913" s="56"/>
      <c r="B913" s="56"/>
      <c r="K913" s="79"/>
      <c r="L913" s="79"/>
      <c r="O913" s="56"/>
    </row>
    <row r="914" spans="1:15" ht="13" x14ac:dyDescent="0.15">
      <c r="A914" s="56"/>
      <c r="B914" s="56"/>
      <c r="K914" s="79"/>
      <c r="L914" s="79"/>
      <c r="O914" s="56"/>
    </row>
    <row r="915" spans="1:15" ht="13" x14ac:dyDescent="0.15">
      <c r="A915" s="56"/>
      <c r="B915" s="56"/>
      <c r="K915" s="79"/>
      <c r="L915" s="79"/>
      <c r="O915" s="56"/>
    </row>
    <row r="916" spans="1:15" ht="13" x14ac:dyDescent="0.15">
      <c r="A916" s="56"/>
      <c r="B916" s="56"/>
      <c r="K916" s="79"/>
      <c r="L916" s="79"/>
      <c r="O916" s="56"/>
    </row>
    <row r="917" spans="1:15" ht="13" x14ac:dyDescent="0.15">
      <c r="A917" s="56"/>
      <c r="B917" s="56"/>
      <c r="K917" s="79"/>
      <c r="L917" s="79"/>
      <c r="O917" s="56"/>
    </row>
    <row r="918" spans="1:15" ht="13" x14ac:dyDescent="0.15">
      <c r="A918" s="56"/>
      <c r="B918" s="56"/>
      <c r="K918" s="79"/>
      <c r="L918" s="79"/>
      <c r="O918" s="56"/>
    </row>
    <row r="919" spans="1:15" ht="13" x14ac:dyDescent="0.15">
      <c r="A919" s="56"/>
      <c r="B919" s="56"/>
      <c r="K919" s="79"/>
      <c r="L919" s="79"/>
      <c r="O919" s="56"/>
    </row>
    <row r="920" spans="1:15" ht="13" x14ac:dyDescent="0.15">
      <c r="A920" s="56"/>
      <c r="B920" s="56"/>
      <c r="K920" s="79"/>
      <c r="L920" s="79"/>
      <c r="O920" s="56"/>
    </row>
    <row r="921" spans="1:15" ht="13" x14ac:dyDescent="0.15">
      <c r="A921" s="56"/>
      <c r="B921" s="56"/>
      <c r="K921" s="79"/>
      <c r="L921" s="79"/>
      <c r="O921" s="56"/>
    </row>
    <row r="922" spans="1:15" ht="13" x14ac:dyDescent="0.15">
      <c r="A922" s="56"/>
      <c r="B922" s="56"/>
      <c r="K922" s="79"/>
      <c r="L922" s="79"/>
      <c r="O922" s="56"/>
    </row>
    <row r="923" spans="1:15" ht="13" x14ac:dyDescent="0.15">
      <c r="A923" s="56"/>
      <c r="B923" s="56"/>
      <c r="K923" s="79"/>
      <c r="L923" s="79"/>
      <c r="O923" s="56"/>
    </row>
    <row r="924" spans="1:15" ht="13" x14ac:dyDescent="0.15">
      <c r="A924" s="56"/>
      <c r="B924" s="56"/>
      <c r="K924" s="79"/>
      <c r="L924" s="79"/>
      <c r="O924" s="56"/>
    </row>
    <row r="925" spans="1:15" ht="13" x14ac:dyDescent="0.15">
      <c r="A925" s="56"/>
      <c r="B925" s="56"/>
      <c r="K925" s="79"/>
      <c r="L925" s="79"/>
      <c r="O925" s="56"/>
    </row>
    <row r="926" spans="1:15" ht="13" x14ac:dyDescent="0.15">
      <c r="A926" s="56"/>
      <c r="B926" s="56"/>
      <c r="K926" s="79"/>
      <c r="L926" s="79"/>
      <c r="O926" s="56"/>
    </row>
    <row r="927" spans="1:15" ht="13" x14ac:dyDescent="0.15">
      <c r="A927" s="56"/>
      <c r="B927" s="56"/>
      <c r="K927" s="79"/>
      <c r="L927" s="79"/>
      <c r="O927" s="56"/>
    </row>
    <row r="928" spans="1:15" ht="13" x14ac:dyDescent="0.15">
      <c r="A928" s="56"/>
      <c r="B928" s="56"/>
      <c r="K928" s="79"/>
      <c r="L928" s="79"/>
      <c r="O928" s="56"/>
    </row>
    <row r="929" spans="1:15" ht="13" x14ac:dyDescent="0.15">
      <c r="A929" s="56"/>
      <c r="B929" s="56"/>
      <c r="K929" s="79"/>
      <c r="L929" s="79"/>
      <c r="O929" s="56"/>
    </row>
    <row r="930" spans="1:15" ht="13" x14ac:dyDescent="0.15">
      <c r="A930" s="56"/>
      <c r="B930" s="56"/>
      <c r="K930" s="79"/>
      <c r="L930" s="79"/>
      <c r="O930" s="56"/>
    </row>
    <row r="931" spans="1:15" ht="13" x14ac:dyDescent="0.15">
      <c r="A931" s="56"/>
      <c r="B931" s="56"/>
      <c r="K931" s="79"/>
      <c r="L931" s="79"/>
      <c r="O931" s="56"/>
    </row>
    <row r="932" spans="1:15" ht="13" x14ac:dyDescent="0.15">
      <c r="A932" s="56"/>
      <c r="B932" s="56"/>
      <c r="K932" s="79"/>
      <c r="L932" s="79"/>
      <c r="O932" s="56"/>
    </row>
    <row r="933" spans="1:15" ht="13" x14ac:dyDescent="0.15">
      <c r="A933" s="56"/>
      <c r="B933" s="56"/>
      <c r="K933" s="79"/>
      <c r="L933" s="79"/>
      <c r="O933" s="56"/>
    </row>
    <row r="934" spans="1:15" ht="13" x14ac:dyDescent="0.15">
      <c r="A934" s="56"/>
      <c r="B934" s="56"/>
      <c r="K934" s="79"/>
      <c r="L934" s="79"/>
      <c r="O934" s="56"/>
    </row>
    <row r="935" spans="1:15" ht="13" x14ac:dyDescent="0.15">
      <c r="A935" s="56"/>
      <c r="B935" s="56"/>
      <c r="K935" s="79"/>
      <c r="L935" s="79"/>
      <c r="O935" s="56"/>
    </row>
    <row r="936" spans="1:15" ht="13" x14ac:dyDescent="0.15">
      <c r="A936" s="56"/>
      <c r="B936" s="56"/>
      <c r="K936" s="79"/>
      <c r="L936" s="79"/>
      <c r="O936" s="56"/>
    </row>
    <row r="937" spans="1:15" ht="13" x14ac:dyDescent="0.15">
      <c r="A937" s="56"/>
      <c r="B937" s="56"/>
      <c r="K937" s="79"/>
      <c r="L937" s="79"/>
      <c r="O937" s="56"/>
    </row>
    <row r="938" spans="1:15" ht="13" x14ac:dyDescent="0.15">
      <c r="A938" s="56"/>
      <c r="B938" s="56"/>
      <c r="K938" s="79"/>
      <c r="L938" s="79"/>
      <c r="O938" s="56"/>
    </row>
    <row r="939" spans="1:15" ht="13" x14ac:dyDescent="0.15">
      <c r="A939" s="56"/>
      <c r="B939" s="56"/>
      <c r="K939" s="79"/>
      <c r="L939" s="79"/>
      <c r="O939" s="56"/>
    </row>
    <row r="940" spans="1:15" ht="13" x14ac:dyDescent="0.15">
      <c r="A940" s="56"/>
      <c r="B940" s="56"/>
      <c r="K940" s="79"/>
      <c r="L940" s="79"/>
      <c r="O940" s="56"/>
    </row>
    <row r="941" spans="1:15" ht="13" x14ac:dyDescent="0.15">
      <c r="A941" s="56"/>
      <c r="B941" s="56"/>
      <c r="K941" s="79"/>
      <c r="L941" s="79"/>
      <c r="O941" s="56"/>
    </row>
    <row r="942" spans="1:15" ht="13" x14ac:dyDescent="0.15">
      <c r="A942" s="56"/>
      <c r="B942" s="56"/>
      <c r="K942" s="79"/>
      <c r="L942" s="79"/>
      <c r="O942" s="56"/>
    </row>
    <row r="943" spans="1:15" ht="13" x14ac:dyDescent="0.15">
      <c r="A943" s="56"/>
      <c r="B943" s="56"/>
      <c r="K943" s="79"/>
      <c r="L943" s="79"/>
      <c r="O943" s="56"/>
    </row>
    <row r="944" spans="1:15" ht="13" x14ac:dyDescent="0.15">
      <c r="A944" s="56"/>
      <c r="B944" s="56"/>
      <c r="K944" s="79"/>
      <c r="L944" s="79"/>
      <c r="O944" s="56"/>
    </row>
    <row r="945" spans="1:15" ht="13" x14ac:dyDescent="0.15">
      <c r="A945" s="56"/>
      <c r="B945" s="56"/>
      <c r="K945" s="79"/>
      <c r="L945" s="79"/>
      <c r="O945" s="56"/>
    </row>
    <row r="946" spans="1:15" ht="13" x14ac:dyDescent="0.15">
      <c r="A946" s="56"/>
      <c r="B946" s="56"/>
      <c r="K946" s="79"/>
      <c r="L946" s="79"/>
      <c r="O946" s="56"/>
    </row>
    <row r="947" spans="1:15" ht="13" x14ac:dyDescent="0.15">
      <c r="A947" s="56"/>
      <c r="B947" s="56"/>
      <c r="K947" s="79"/>
      <c r="L947" s="79"/>
      <c r="O947" s="56"/>
    </row>
    <row r="948" spans="1:15" ht="13" x14ac:dyDescent="0.15">
      <c r="A948" s="56"/>
      <c r="B948" s="56"/>
      <c r="K948" s="79"/>
      <c r="L948" s="79"/>
      <c r="O948" s="56"/>
    </row>
    <row r="949" spans="1:15" ht="13" x14ac:dyDescent="0.15">
      <c r="A949" s="56"/>
      <c r="B949" s="56"/>
      <c r="K949" s="79"/>
      <c r="L949" s="79"/>
      <c r="O949" s="56"/>
    </row>
    <row r="950" spans="1:15" ht="13" x14ac:dyDescent="0.15">
      <c r="A950" s="56"/>
      <c r="B950" s="56"/>
      <c r="K950" s="79"/>
      <c r="L950" s="79"/>
      <c r="O950" s="56"/>
    </row>
    <row r="951" spans="1:15" ht="13" x14ac:dyDescent="0.15">
      <c r="A951" s="56"/>
      <c r="B951" s="56"/>
      <c r="K951" s="79"/>
      <c r="L951" s="79"/>
      <c r="O951" s="56"/>
    </row>
    <row r="952" spans="1:15" ht="13" x14ac:dyDescent="0.15">
      <c r="A952" s="56"/>
      <c r="B952" s="56"/>
      <c r="K952" s="79"/>
      <c r="L952" s="79"/>
      <c r="O952" s="56"/>
    </row>
    <row r="953" spans="1:15" ht="13" x14ac:dyDescent="0.15">
      <c r="A953" s="56"/>
      <c r="B953" s="56"/>
      <c r="K953" s="79"/>
      <c r="L953" s="79"/>
      <c r="O953" s="56"/>
    </row>
    <row r="954" spans="1:15" ht="13" x14ac:dyDescent="0.15">
      <c r="A954" s="56"/>
      <c r="B954" s="56"/>
      <c r="K954" s="79"/>
      <c r="L954" s="79"/>
      <c r="O954" s="56"/>
    </row>
    <row r="955" spans="1:15" ht="13" x14ac:dyDescent="0.15">
      <c r="A955" s="56"/>
      <c r="B955" s="56"/>
      <c r="K955" s="79"/>
      <c r="L955" s="79"/>
      <c r="O955" s="56"/>
    </row>
    <row r="956" spans="1:15" ht="13" x14ac:dyDescent="0.15">
      <c r="A956" s="56"/>
      <c r="B956" s="56"/>
      <c r="K956" s="79"/>
      <c r="L956" s="79"/>
      <c r="O956" s="56"/>
    </row>
    <row r="957" spans="1:15" ht="13" x14ac:dyDescent="0.15">
      <c r="A957" s="56"/>
      <c r="B957" s="56"/>
      <c r="K957" s="79"/>
      <c r="L957" s="79"/>
      <c r="O957" s="56"/>
    </row>
    <row r="958" spans="1:15" ht="13" x14ac:dyDescent="0.15">
      <c r="A958" s="56"/>
      <c r="B958" s="56"/>
      <c r="K958" s="79"/>
      <c r="L958" s="79"/>
      <c r="O958" s="56"/>
    </row>
    <row r="959" spans="1:15" ht="13" x14ac:dyDescent="0.15">
      <c r="A959" s="56"/>
      <c r="B959" s="56"/>
      <c r="K959" s="79"/>
      <c r="L959" s="79"/>
      <c r="O959" s="56"/>
    </row>
    <row r="960" spans="1:15" ht="13" x14ac:dyDescent="0.15">
      <c r="A960" s="56"/>
      <c r="B960" s="56"/>
      <c r="K960" s="79"/>
      <c r="L960" s="79"/>
      <c r="O960" s="56"/>
    </row>
    <row r="961" spans="1:15" ht="13" x14ac:dyDescent="0.15">
      <c r="A961" s="56"/>
      <c r="B961" s="56"/>
      <c r="K961" s="79"/>
      <c r="L961" s="79"/>
      <c r="O961" s="56"/>
    </row>
    <row r="962" spans="1:15" ht="13" x14ac:dyDescent="0.15">
      <c r="A962" s="56"/>
      <c r="B962" s="56"/>
      <c r="K962" s="79"/>
      <c r="L962" s="79"/>
      <c r="O962" s="56"/>
    </row>
    <row r="963" spans="1:15" ht="13" x14ac:dyDescent="0.15">
      <c r="A963" s="56"/>
      <c r="B963" s="56"/>
      <c r="K963" s="79"/>
      <c r="L963" s="79"/>
      <c r="O963" s="56"/>
    </row>
    <row r="964" spans="1:15" ht="13" x14ac:dyDescent="0.15">
      <c r="A964" s="56"/>
      <c r="B964" s="56"/>
      <c r="K964" s="79"/>
      <c r="L964" s="79"/>
      <c r="O964" s="56"/>
    </row>
    <row r="965" spans="1:15" ht="13" x14ac:dyDescent="0.15">
      <c r="A965" s="56"/>
      <c r="B965" s="56"/>
      <c r="K965" s="79"/>
      <c r="L965" s="79"/>
      <c r="O965" s="56"/>
    </row>
    <row r="966" spans="1:15" ht="13" x14ac:dyDescent="0.15">
      <c r="A966" s="56"/>
      <c r="B966" s="56"/>
      <c r="K966" s="79"/>
      <c r="L966" s="79"/>
      <c r="O966" s="56"/>
    </row>
    <row r="967" spans="1:15" ht="13" x14ac:dyDescent="0.15">
      <c r="A967" s="56"/>
      <c r="B967" s="56"/>
      <c r="K967" s="79"/>
      <c r="L967" s="79"/>
      <c r="O967" s="56"/>
    </row>
  </sheetData>
  <hyperlinks>
    <hyperlink ref="M2" r:id="rId1" xr:uid="{00000000-0004-0000-0C00-000000000000}"/>
    <hyperlink ref="N2" r:id="rId2" xr:uid="{00000000-0004-0000-0C00-000001000000}"/>
    <hyperlink ref="M3" r:id="rId3" xr:uid="{00000000-0004-0000-0C00-000002000000}"/>
    <hyperlink ref="M4" r:id="rId4" xr:uid="{00000000-0004-0000-0C00-000003000000}"/>
    <hyperlink ref="M7" r:id="rId5" xr:uid="{00000000-0004-0000-0C00-000004000000}"/>
    <hyperlink ref="M9" r:id="rId6" xr:uid="{00000000-0004-0000-0C00-000005000000}"/>
    <hyperlink ref="M13" r:id="rId7" xr:uid="{00000000-0004-0000-0C00-000006000000}"/>
    <hyperlink ref="M15" r:id="rId8" xr:uid="{00000000-0004-0000-0C00-000007000000}"/>
    <hyperlink ref="M16" r:id="rId9" xr:uid="{00000000-0004-0000-0C00-000008000000}"/>
    <hyperlink ref="M17" r:id="rId10" xr:uid="{00000000-0004-0000-0C00-000009000000}"/>
    <hyperlink ref="M20" r:id="rId11" xr:uid="{00000000-0004-0000-0C00-00000A000000}"/>
    <hyperlink ref="N89" r:id="rId12" xr:uid="{00000000-0004-0000-0C00-00000B000000}"/>
  </hyperlinks>
  <pageMargins left="0.7" right="0.7" top="0.3" bottom="0.3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98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1640625" customWidth="1"/>
    <col min="2" max="2" width="19.1640625" customWidth="1"/>
    <col min="3" max="4" width="12.1640625" customWidth="1"/>
    <col min="5" max="5" width="66.1640625" customWidth="1"/>
    <col min="6" max="6" width="112.33203125" customWidth="1"/>
    <col min="7" max="7" width="21.83203125" customWidth="1"/>
    <col min="8" max="8" width="32.33203125" customWidth="1"/>
    <col min="9" max="9" width="31.6640625" customWidth="1"/>
    <col min="10" max="10" width="28" customWidth="1"/>
    <col min="11" max="11" width="20" customWidth="1"/>
    <col min="12" max="12" width="18.33203125" customWidth="1"/>
    <col min="13" max="13" width="20.1640625" customWidth="1"/>
    <col min="14" max="14" width="40.83203125" customWidth="1"/>
    <col min="15" max="15" width="18.6640625" customWidth="1"/>
    <col min="16" max="16" width="8.6640625" customWidth="1"/>
    <col min="17" max="17" width="19.83203125" customWidth="1"/>
    <col min="18" max="18" width="22" customWidth="1"/>
    <col min="19" max="19" width="18.6640625" customWidth="1"/>
    <col min="20" max="20" width="8.6640625" customWidth="1"/>
    <col min="21" max="21" width="29" customWidth="1"/>
    <col min="22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80" t="s">
        <v>38</v>
      </c>
      <c r="D1" s="80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215">
        <v>21</v>
      </c>
      <c r="B2" s="215" t="s">
        <v>4691</v>
      </c>
      <c r="C2" s="216" t="s">
        <v>51</v>
      </c>
      <c r="D2" s="216" t="str">
        <f t="shared" ref="D2:D37" si="0">A2&amp;B2&amp;C2</f>
        <v>2113001</v>
      </c>
      <c r="E2" s="217" t="s">
        <v>4692</v>
      </c>
      <c r="F2" s="217" t="s">
        <v>4693</v>
      </c>
      <c r="G2" s="69" t="s">
        <v>4694</v>
      </c>
      <c r="H2" s="217" t="s">
        <v>4695</v>
      </c>
      <c r="I2" s="218" t="s">
        <v>4696</v>
      </c>
      <c r="J2" s="217" t="s">
        <v>663</v>
      </c>
      <c r="K2" s="218" t="s">
        <v>4697</v>
      </c>
      <c r="L2" s="215" t="s">
        <v>663</v>
      </c>
      <c r="M2" s="219" t="s">
        <v>4698</v>
      </c>
      <c r="N2" s="218" t="s">
        <v>4699</v>
      </c>
      <c r="O2" s="215">
        <v>14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40"/>
    </row>
    <row r="3" spans="1:27" ht="15.75" customHeight="1" x14ac:dyDescent="0.2">
      <c r="A3" s="61">
        <v>20</v>
      </c>
      <c r="B3" s="61" t="s">
        <v>4691</v>
      </c>
      <c r="C3" s="62" t="s">
        <v>60</v>
      </c>
      <c r="D3" s="62" t="str">
        <f t="shared" si="0"/>
        <v>2013002</v>
      </c>
      <c r="E3" s="67" t="s">
        <v>4700</v>
      </c>
      <c r="F3" s="67" t="s">
        <v>4701</v>
      </c>
      <c r="G3" s="69" t="s">
        <v>4702</v>
      </c>
      <c r="H3" s="67" t="s">
        <v>4703</v>
      </c>
      <c r="I3" s="67" t="s">
        <v>4704</v>
      </c>
      <c r="J3" s="67" t="s">
        <v>4705</v>
      </c>
      <c r="K3" s="61">
        <v>81336262720</v>
      </c>
      <c r="L3" s="61">
        <v>85204694848</v>
      </c>
      <c r="M3" s="86" t="s">
        <v>4706</v>
      </c>
      <c r="N3" s="67" t="s">
        <v>4707</v>
      </c>
      <c r="O3" s="6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20</v>
      </c>
      <c r="B4" s="61" t="s">
        <v>4691</v>
      </c>
      <c r="C4" s="216" t="s">
        <v>68</v>
      </c>
      <c r="D4" s="62" t="str">
        <f t="shared" si="0"/>
        <v>2013003</v>
      </c>
      <c r="E4" s="69" t="s">
        <v>4708</v>
      </c>
      <c r="F4" s="69" t="s">
        <v>4709</v>
      </c>
      <c r="G4" s="69" t="s">
        <v>4694</v>
      </c>
      <c r="H4" s="69" t="s">
        <v>4710</v>
      </c>
      <c r="I4" s="69" t="s">
        <v>4711</v>
      </c>
      <c r="J4" s="67"/>
      <c r="K4" s="70" t="s">
        <v>4712</v>
      </c>
      <c r="L4" s="61"/>
      <c r="M4" s="67"/>
      <c r="N4" s="67"/>
      <c r="O4" s="6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20</v>
      </c>
      <c r="B5" s="61" t="s">
        <v>4691</v>
      </c>
      <c r="C5" s="62" t="s">
        <v>76</v>
      </c>
      <c r="D5" s="62" t="str">
        <f t="shared" si="0"/>
        <v>2013004</v>
      </c>
      <c r="E5" s="67" t="s">
        <v>4713</v>
      </c>
      <c r="F5" s="67" t="s">
        <v>4714</v>
      </c>
      <c r="G5" s="69" t="s">
        <v>4694</v>
      </c>
      <c r="H5" s="67" t="s">
        <v>4715</v>
      </c>
      <c r="I5" s="67" t="s">
        <v>4716</v>
      </c>
      <c r="J5" s="63"/>
      <c r="K5" s="61">
        <v>81332075469</v>
      </c>
      <c r="L5" s="62"/>
      <c r="M5" s="246" t="s">
        <v>4717</v>
      </c>
      <c r="N5" s="241"/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20</v>
      </c>
      <c r="B6" s="61" t="s">
        <v>4691</v>
      </c>
      <c r="C6" s="216" t="s">
        <v>84</v>
      </c>
      <c r="D6" s="62" t="str">
        <f t="shared" si="0"/>
        <v>2013005</v>
      </c>
      <c r="E6" s="67" t="s">
        <v>4718</v>
      </c>
      <c r="F6" s="67" t="s">
        <v>4719</v>
      </c>
      <c r="G6" s="69" t="s">
        <v>4694</v>
      </c>
      <c r="H6" s="67" t="s">
        <v>4720</v>
      </c>
      <c r="I6" s="67" t="s">
        <v>4721</v>
      </c>
      <c r="J6" s="63"/>
      <c r="K6" s="61">
        <v>85335093593</v>
      </c>
      <c r="L6" s="62"/>
      <c r="M6" s="86" t="s">
        <v>4722</v>
      </c>
      <c r="N6" s="67" t="s">
        <v>4723</v>
      </c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20</v>
      </c>
      <c r="B7" s="61" t="s">
        <v>4691</v>
      </c>
      <c r="C7" s="62" t="s">
        <v>92</v>
      </c>
      <c r="D7" s="62" t="str">
        <f t="shared" si="0"/>
        <v>2013006</v>
      </c>
      <c r="E7" s="67" t="s">
        <v>4724</v>
      </c>
      <c r="F7" s="67" t="s">
        <v>4725</v>
      </c>
      <c r="G7" s="69" t="s">
        <v>4694</v>
      </c>
      <c r="H7" s="67" t="s">
        <v>4726</v>
      </c>
      <c r="I7" s="67" t="s">
        <v>4727</v>
      </c>
      <c r="J7" s="67" t="s">
        <v>4728</v>
      </c>
      <c r="K7" s="61" t="s">
        <v>4729</v>
      </c>
      <c r="L7" s="61" t="s">
        <v>4730</v>
      </c>
      <c r="M7" s="67" t="s">
        <v>781</v>
      </c>
      <c r="N7" s="67" t="s">
        <v>4731</v>
      </c>
      <c r="O7" s="6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22</v>
      </c>
      <c r="B8" s="61" t="s">
        <v>4691</v>
      </c>
      <c r="C8" s="62" t="s">
        <v>100</v>
      </c>
      <c r="D8" s="62" t="str">
        <f t="shared" si="0"/>
        <v>2213007</v>
      </c>
      <c r="E8" s="67" t="s">
        <v>4732</v>
      </c>
      <c r="F8" s="67" t="s">
        <v>4733</v>
      </c>
      <c r="G8" s="69" t="s">
        <v>4694</v>
      </c>
      <c r="H8" s="67" t="s">
        <v>4734</v>
      </c>
      <c r="I8" s="67" t="s">
        <v>4735</v>
      </c>
      <c r="J8" s="67" t="s">
        <v>4736</v>
      </c>
      <c r="K8" s="61">
        <v>82228613407</v>
      </c>
      <c r="L8" s="61">
        <f>62821-4699-2619</f>
        <v>55503</v>
      </c>
      <c r="M8" s="67" t="s">
        <v>4737</v>
      </c>
      <c r="N8" s="67" t="s">
        <v>4738</v>
      </c>
      <c r="O8" s="61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22</v>
      </c>
      <c r="B9" s="61" t="s">
        <v>4691</v>
      </c>
      <c r="C9" s="216" t="s">
        <v>108</v>
      </c>
      <c r="D9" s="62" t="str">
        <f t="shared" si="0"/>
        <v>2213008</v>
      </c>
      <c r="E9" s="67" t="s">
        <v>4739</v>
      </c>
      <c r="F9" s="67" t="s">
        <v>4740</v>
      </c>
      <c r="G9" s="69" t="s">
        <v>4694</v>
      </c>
      <c r="H9" s="67" t="s">
        <v>4741</v>
      </c>
      <c r="I9" s="67" t="s">
        <v>4742</v>
      </c>
      <c r="J9" s="63"/>
      <c r="K9" s="61">
        <v>82334809342</v>
      </c>
      <c r="L9" s="62"/>
      <c r="M9" s="63"/>
      <c r="N9" s="63"/>
      <c r="O9" s="6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22</v>
      </c>
      <c r="B10" s="61" t="s">
        <v>4691</v>
      </c>
      <c r="C10" s="62" t="s">
        <v>116</v>
      </c>
      <c r="D10" s="62" t="str">
        <f t="shared" si="0"/>
        <v>2213009</v>
      </c>
      <c r="E10" s="67" t="s">
        <v>4743</v>
      </c>
      <c r="F10" s="67" t="s">
        <v>4744</v>
      </c>
      <c r="G10" s="69" t="s">
        <v>4694</v>
      </c>
      <c r="H10" s="67" t="s">
        <v>4745</v>
      </c>
      <c r="I10" s="67" t="s">
        <v>4746</v>
      </c>
      <c r="J10" s="63"/>
      <c r="K10" s="61">
        <v>85335418454</v>
      </c>
      <c r="L10" s="62"/>
      <c r="M10" s="63"/>
      <c r="N10" s="63"/>
      <c r="O10" s="68">
        <v>4</v>
      </c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23"/>
    </row>
    <row r="11" spans="1:27" ht="15.75" customHeight="1" x14ac:dyDescent="0.2">
      <c r="A11" s="61">
        <v>22</v>
      </c>
      <c r="B11" s="61" t="s">
        <v>4691</v>
      </c>
      <c r="C11" s="216" t="s">
        <v>124</v>
      </c>
      <c r="D11" s="62" t="str">
        <f t="shared" si="0"/>
        <v>2213010</v>
      </c>
      <c r="E11" s="220" t="s">
        <v>4747</v>
      </c>
      <c r="F11" s="67" t="s">
        <v>4748</v>
      </c>
      <c r="G11" s="69" t="s">
        <v>4694</v>
      </c>
      <c r="H11" s="220" t="s">
        <v>4749</v>
      </c>
      <c r="I11" s="67" t="s">
        <v>4750</v>
      </c>
      <c r="J11" s="63"/>
      <c r="K11" s="61">
        <v>82302044414</v>
      </c>
      <c r="L11" s="62"/>
      <c r="M11" s="63"/>
      <c r="N11" s="63"/>
      <c r="O11" s="68">
        <v>15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22</v>
      </c>
      <c r="B12" s="61" t="s">
        <v>4691</v>
      </c>
      <c r="C12" s="62" t="s">
        <v>132</v>
      </c>
      <c r="D12" s="62" t="str">
        <f t="shared" si="0"/>
        <v>2213011</v>
      </c>
      <c r="E12" s="69" t="s">
        <v>4751</v>
      </c>
      <c r="F12" s="69" t="s">
        <v>4752</v>
      </c>
      <c r="G12" s="69" t="s">
        <v>4694</v>
      </c>
      <c r="H12" s="69" t="s">
        <v>4753</v>
      </c>
      <c r="I12" s="69" t="s">
        <v>4754</v>
      </c>
      <c r="J12" s="67"/>
      <c r="K12" s="70" t="s">
        <v>4755</v>
      </c>
      <c r="L12" s="61"/>
      <c r="M12" s="67"/>
      <c r="N12" s="67"/>
      <c r="O12" s="68">
        <v>1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22</v>
      </c>
      <c r="B13" s="61" t="s">
        <v>4691</v>
      </c>
      <c r="C13" s="216" t="s">
        <v>140</v>
      </c>
      <c r="D13" s="62" t="str">
        <f t="shared" si="0"/>
        <v>2213012</v>
      </c>
      <c r="E13" s="69" t="s">
        <v>4756</v>
      </c>
      <c r="F13" s="69" t="s">
        <v>4757</v>
      </c>
      <c r="G13" s="69" t="s">
        <v>4694</v>
      </c>
      <c r="H13" s="69" t="s">
        <v>4758</v>
      </c>
      <c r="I13" s="69" t="s">
        <v>4756</v>
      </c>
      <c r="J13" s="67"/>
      <c r="K13" s="70" t="s">
        <v>4759</v>
      </c>
      <c r="L13" s="61"/>
      <c r="M13" s="67"/>
      <c r="N13" s="67"/>
      <c r="O13" s="68">
        <v>4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22</v>
      </c>
      <c r="B14" s="61" t="s">
        <v>4691</v>
      </c>
      <c r="C14" s="62" t="s">
        <v>148</v>
      </c>
      <c r="D14" s="62" t="str">
        <f t="shared" si="0"/>
        <v>2213013</v>
      </c>
      <c r="E14" s="69" t="s">
        <v>4760</v>
      </c>
      <c r="F14" s="69" t="s">
        <v>4761</v>
      </c>
      <c r="G14" s="69" t="s">
        <v>4694</v>
      </c>
      <c r="H14" s="69" t="s">
        <v>4762</v>
      </c>
      <c r="I14" s="69" t="s">
        <v>4763</v>
      </c>
      <c r="J14" s="67"/>
      <c r="K14" s="70" t="s">
        <v>4764</v>
      </c>
      <c r="L14" s="61"/>
      <c r="M14" s="67"/>
      <c r="N14" s="67"/>
      <c r="O14" s="68">
        <v>3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22</v>
      </c>
      <c r="B15" s="61" t="s">
        <v>4691</v>
      </c>
      <c r="C15" s="62" t="s">
        <v>156</v>
      </c>
      <c r="D15" s="62" t="str">
        <f t="shared" si="0"/>
        <v>2213014</v>
      </c>
      <c r="E15" s="69" t="s">
        <v>4765</v>
      </c>
      <c r="F15" s="69" t="s">
        <v>4766</v>
      </c>
      <c r="G15" s="69" t="s">
        <v>4767</v>
      </c>
      <c r="H15" s="69" t="s">
        <v>4768</v>
      </c>
      <c r="I15" s="69" t="s">
        <v>4769</v>
      </c>
      <c r="J15" s="67"/>
      <c r="K15" s="70" t="s">
        <v>4770</v>
      </c>
      <c r="L15" s="61"/>
      <c r="M15" s="67"/>
      <c r="N15" s="67"/>
      <c r="O15" s="68">
        <v>9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22</v>
      </c>
      <c r="B16" s="61" t="s">
        <v>4691</v>
      </c>
      <c r="C16" s="216" t="s">
        <v>164</v>
      </c>
      <c r="D16" s="62" t="str">
        <f t="shared" si="0"/>
        <v>2213015</v>
      </c>
      <c r="E16" s="69" t="s">
        <v>4771</v>
      </c>
      <c r="F16" s="69" t="s">
        <v>4772</v>
      </c>
      <c r="G16" s="69" t="s">
        <v>4767</v>
      </c>
      <c r="H16" s="69" t="s">
        <v>4773</v>
      </c>
      <c r="I16" s="69" t="s">
        <v>4774</v>
      </c>
      <c r="J16" s="67"/>
      <c r="K16" s="70" t="s">
        <v>4775</v>
      </c>
      <c r="L16" s="61"/>
      <c r="M16" s="67"/>
      <c r="N16" s="67"/>
      <c r="O16" s="68">
        <v>1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4691</v>
      </c>
      <c r="C17" s="62" t="s">
        <v>173</v>
      </c>
      <c r="D17" s="62" t="str">
        <f t="shared" si="0"/>
        <v>2213016</v>
      </c>
      <c r="E17" s="69" t="s">
        <v>4776</v>
      </c>
      <c r="F17" s="69" t="s">
        <v>4777</v>
      </c>
      <c r="G17" s="69" t="s">
        <v>4694</v>
      </c>
      <c r="H17" s="69" t="s">
        <v>4778</v>
      </c>
      <c r="I17" s="69" t="s">
        <v>4779</v>
      </c>
      <c r="J17" s="67"/>
      <c r="K17" s="70" t="s">
        <v>4780</v>
      </c>
      <c r="L17" s="61"/>
      <c r="M17" s="67"/>
      <c r="N17" s="67"/>
      <c r="O17" s="68">
        <v>3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22</v>
      </c>
      <c r="B18" s="61" t="s">
        <v>4691</v>
      </c>
      <c r="C18" s="216" t="s">
        <v>180</v>
      </c>
      <c r="D18" s="62" t="str">
        <f t="shared" si="0"/>
        <v>2213017</v>
      </c>
      <c r="E18" s="69" t="s">
        <v>4781</v>
      </c>
      <c r="F18" s="69" t="s">
        <v>4782</v>
      </c>
      <c r="G18" s="69" t="s">
        <v>4694</v>
      </c>
      <c r="H18" s="69" t="s">
        <v>4783</v>
      </c>
      <c r="I18" s="69" t="s">
        <v>4784</v>
      </c>
      <c r="J18" s="67"/>
      <c r="K18" s="70" t="s">
        <v>4785</v>
      </c>
      <c r="L18" s="61"/>
      <c r="M18" s="67"/>
      <c r="N18" s="67"/>
      <c r="O18" s="68">
        <v>3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22</v>
      </c>
      <c r="B19" s="61" t="s">
        <v>4691</v>
      </c>
      <c r="C19" s="62" t="s">
        <v>188</v>
      </c>
      <c r="D19" s="62" t="str">
        <f t="shared" si="0"/>
        <v>2213018</v>
      </c>
      <c r="E19" s="69" t="s">
        <v>4786</v>
      </c>
      <c r="F19" s="69" t="s">
        <v>4786</v>
      </c>
      <c r="G19" s="69" t="s">
        <v>4702</v>
      </c>
      <c r="H19" s="69" t="s">
        <v>4787</v>
      </c>
      <c r="I19" s="69" t="s">
        <v>4788</v>
      </c>
      <c r="J19" s="67"/>
      <c r="K19" s="70" t="s">
        <v>4789</v>
      </c>
      <c r="L19" s="61"/>
      <c r="M19" s="67"/>
      <c r="N19" s="67"/>
      <c r="O19" s="68">
        <v>4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22</v>
      </c>
      <c r="B20" s="61" t="s">
        <v>4691</v>
      </c>
      <c r="C20" s="216" t="s">
        <v>196</v>
      </c>
      <c r="D20" s="62" t="str">
        <f t="shared" si="0"/>
        <v>2213019</v>
      </c>
      <c r="E20" s="69" t="s">
        <v>4781</v>
      </c>
      <c r="F20" s="69" t="s">
        <v>4782</v>
      </c>
      <c r="G20" s="69" t="s">
        <v>4694</v>
      </c>
      <c r="H20" s="69" t="s">
        <v>4790</v>
      </c>
      <c r="I20" s="69" t="s">
        <v>4784</v>
      </c>
      <c r="J20" s="67"/>
      <c r="K20" s="70" t="s">
        <v>4785</v>
      </c>
      <c r="L20" s="61"/>
      <c r="M20" s="67"/>
      <c r="N20" s="67"/>
      <c r="O20" s="68">
        <v>3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22</v>
      </c>
      <c r="B21" s="61" t="s">
        <v>4691</v>
      </c>
      <c r="C21" s="62" t="s">
        <v>204</v>
      </c>
      <c r="D21" s="62" t="str">
        <f t="shared" si="0"/>
        <v>2213020</v>
      </c>
      <c r="E21" s="69" t="s">
        <v>4791</v>
      </c>
      <c r="F21" s="69" t="s">
        <v>4792</v>
      </c>
      <c r="G21" s="69" t="s">
        <v>4767</v>
      </c>
      <c r="H21" s="69" t="s">
        <v>4793</v>
      </c>
      <c r="I21" s="69" t="s">
        <v>4794</v>
      </c>
      <c r="J21" s="67"/>
      <c r="K21" s="70" t="s">
        <v>4795</v>
      </c>
      <c r="L21" s="61"/>
      <c r="M21" s="67"/>
      <c r="N21" s="67"/>
      <c r="O21" s="68">
        <v>6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23</v>
      </c>
      <c r="B22" s="61" t="s">
        <v>4691</v>
      </c>
      <c r="C22" s="62" t="s">
        <v>212</v>
      </c>
      <c r="D22" s="62" t="str">
        <f t="shared" si="0"/>
        <v>2313021</v>
      </c>
      <c r="E22" s="69" t="s">
        <v>4796</v>
      </c>
      <c r="F22" s="69" t="s">
        <v>4797</v>
      </c>
      <c r="G22" s="69" t="s">
        <v>4694</v>
      </c>
      <c r="H22" s="69" t="s">
        <v>4798</v>
      </c>
      <c r="I22" s="69" t="s">
        <v>4799</v>
      </c>
      <c r="J22" s="67"/>
      <c r="K22" s="70" t="s">
        <v>4800</v>
      </c>
      <c r="L22" s="61"/>
      <c r="M22" s="67"/>
      <c r="N22" s="67"/>
      <c r="O22" s="68">
        <v>4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23</v>
      </c>
      <c r="B23" s="61" t="s">
        <v>4691</v>
      </c>
      <c r="C23" s="216" t="s">
        <v>219</v>
      </c>
      <c r="D23" s="62" t="str">
        <f t="shared" si="0"/>
        <v>2313022</v>
      </c>
      <c r="E23" s="69" t="s">
        <v>4801</v>
      </c>
      <c r="F23" s="69" t="s">
        <v>4802</v>
      </c>
      <c r="G23" s="69" t="s">
        <v>4694</v>
      </c>
      <c r="H23" s="69" t="s">
        <v>4803</v>
      </c>
      <c r="I23" s="69" t="s">
        <v>4804</v>
      </c>
      <c r="J23" s="67"/>
      <c r="K23" s="70" t="s">
        <v>4805</v>
      </c>
      <c r="L23" s="61"/>
      <c r="M23" s="67"/>
      <c r="N23" s="67"/>
      <c r="O23" s="68">
        <v>4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23</v>
      </c>
      <c r="B24" s="61" t="s">
        <v>4691</v>
      </c>
      <c r="C24" s="62" t="s">
        <v>226</v>
      </c>
      <c r="D24" s="62" t="str">
        <f t="shared" si="0"/>
        <v>2313023</v>
      </c>
      <c r="E24" s="69" t="s">
        <v>4806</v>
      </c>
      <c r="F24" s="69" t="s">
        <v>4807</v>
      </c>
      <c r="G24" s="69" t="s">
        <v>4767</v>
      </c>
      <c r="H24" s="69" t="s">
        <v>4808</v>
      </c>
      <c r="I24" s="69" t="s">
        <v>4809</v>
      </c>
      <c r="J24" s="67"/>
      <c r="K24" s="70" t="s">
        <v>4810</v>
      </c>
      <c r="L24" s="61"/>
      <c r="M24" s="67"/>
      <c r="N24" s="67"/>
      <c r="O24" s="68">
        <v>3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23</v>
      </c>
      <c r="B25" s="61" t="s">
        <v>4691</v>
      </c>
      <c r="C25" s="216" t="s">
        <v>234</v>
      </c>
      <c r="D25" s="62" t="str">
        <f t="shared" si="0"/>
        <v>2313024</v>
      </c>
      <c r="E25" s="69" t="s">
        <v>4811</v>
      </c>
      <c r="F25" s="69" t="s">
        <v>4812</v>
      </c>
      <c r="G25" s="69" t="s">
        <v>4694</v>
      </c>
      <c r="H25" s="69" t="s">
        <v>4813</v>
      </c>
      <c r="I25" s="69" t="s">
        <v>4814</v>
      </c>
      <c r="J25" s="67"/>
      <c r="K25" s="70" t="s">
        <v>4815</v>
      </c>
      <c r="L25" s="61"/>
      <c r="M25" s="67"/>
      <c r="N25" s="67"/>
      <c r="O25" s="68">
        <v>4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23</v>
      </c>
      <c r="B26" s="61" t="s">
        <v>4691</v>
      </c>
      <c r="C26" s="62" t="s">
        <v>240</v>
      </c>
      <c r="D26" s="62" t="str">
        <f t="shared" si="0"/>
        <v>2313025</v>
      </c>
      <c r="E26" s="69" t="s">
        <v>3048</v>
      </c>
      <c r="F26" s="69" t="s">
        <v>4816</v>
      </c>
      <c r="G26" s="69" t="s">
        <v>4702</v>
      </c>
      <c r="H26" s="69" t="s">
        <v>4817</v>
      </c>
      <c r="I26" s="69" t="s">
        <v>4818</v>
      </c>
      <c r="J26" s="54" t="s">
        <v>4819</v>
      </c>
      <c r="K26" s="70" t="s">
        <v>4820</v>
      </c>
      <c r="L26" s="96" t="s">
        <v>4821</v>
      </c>
      <c r="M26" s="67"/>
      <c r="N26" s="54" t="s">
        <v>4822</v>
      </c>
      <c r="O26" s="96">
        <v>5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23</v>
      </c>
      <c r="B27" s="61" t="s">
        <v>4691</v>
      </c>
      <c r="C27" s="216" t="s">
        <v>246</v>
      </c>
      <c r="D27" s="62" t="str">
        <f t="shared" si="0"/>
        <v>2313026</v>
      </c>
      <c r="E27" s="69" t="s">
        <v>4823</v>
      </c>
      <c r="F27" s="69" t="s">
        <v>4824</v>
      </c>
      <c r="G27" s="69" t="s">
        <v>4694</v>
      </c>
      <c r="H27" s="69" t="s">
        <v>4825</v>
      </c>
      <c r="I27" s="69" t="s">
        <v>4826</v>
      </c>
      <c r="J27" s="67"/>
      <c r="K27" s="70" t="s">
        <v>4827</v>
      </c>
      <c r="L27" s="61"/>
      <c r="M27" s="67"/>
      <c r="N27" s="69" t="s">
        <v>4828</v>
      </c>
      <c r="O27" s="68">
        <v>7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23</v>
      </c>
      <c r="B28" s="61" t="s">
        <v>4691</v>
      </c>
      <c r="C28" s="62" t="s">
        <v>251</v>
      </c>
      <c r="D28" s="62" t="str">
        <f t="shared" si="0"/>
        <v>2313027</v>
      </c>
      <c r="E28" s="69" t="s">
        <v>4829</v>
      </c>
      <c r="F28" s="69" t="s">
        <v>4830</v>
      </c>
      <c r="G28" s="69" t="s">
        <v>4694</v>
      </c>
      <c r="H28" s="69" t="s">
        <v>4831</v>
      </c>
      <c r="I28" s="69" t="s">
        <v>4832</v>
      </c>
      <c r="J28" s="67"/>
      <c r="K28" s="70" t="s">
        <v>4833</v>
      </c>
      <c r="L28" s="61"/>
      <c r="M28" s="67"/>
      <c r="N28" s="69" t="s">
        <v>4723</v>
      </c>
      <c r="O28" s="68">
        <v>4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23</v>
      </c>
      <c r="B29" s="61" t="s">
        <v>4691</v>
      </c>
      <c r="C29" s="62" t="s">
        <v>256</v>
      </c>
      <c r="D29" s="62" t="str">
        <f t="shared" si="0"/>
        <v>2313028</v>
      </c>
      <c r="E29" s="69" t="s">
        <v>4834</v>
      </c>
      <c r="F29" s="69" t="s">
        <v>4835</v>
      </c>
      <c r="G29" s="69" t="s">
        <v>4767</v>
      </c>
      <c r="H29" s="69" t="s">
        <v>4836</v>
      </c>
      <c r="I29" s="69" t="s">
        <v>4837</v>
      </c>
      <c r="J29" s="67"/>
      <c r="K29" s="70" t="s">
        <v>4838</v>
      </c>
      <c r="L29" s="61"/>
      <c r="M29" s="67"/>
      <c r="N29" s="69" t="s">
        <v>4839</v>
      </c>
      <c r="O29" s="68">
        <v>3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23</v>
      </c>
      <c r="B30" s="61" t="s">
        <v>4691</v>
      </c>
      <c r="C30" s="216" t="s">
        <v>261</v>
      </c>
      <c r="D30" s="62" t="str">
        <f t="shared" si="0"/>
        <v>2313029</v>
      </c>
      <c r="E30" s="69" t="s">
        <v>4840</v>
      </c>
      <c r="F30" s="69" t="s">
        <v>4841</v>
      </c>
      <c r="G30" s="69" t="s">
        <v>4694</v>
      </c>
      <c r="H30" s="69" t="s">
        <v>4825</v>
      </c>
      <c r="I30" s="69" t="s">
        <v>4842</v>
      </c>
      <c r="J30" s="67"/>
      <c r="K30" s="70" t="s">
        <v>4843</v>
      </c>
      <c r="L30" s="61"/>
      <c r="M30" s="67"/>
      <c r="N30" s="69" t="s">
        <v>4828</v>
      </c>
      <c r="O30" s="68">
        <v>6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23</v>
      </c>
      <c r="B31" s="61" t="s">
        <v>4691</v>
      </c>
      <c r="C31" s="62" t="s">
        <v>266</v>
      </c>
      <c r="D31" s="62" t="str">
        <f t="shared" si="0"/>
        <v>2313030</v>
      </c>
      <c r="E31" s="69" t="s">
        <v>4844</v>
      </c>
      <c r="F31" s="69" t="s">
        <v>4845</v>
      </c>
      <c r="G31" s="69" t="s">
        <v>4694</v>
      </c>
      <c r="H31" s="69" t="s">
        <v>4846</v>
      </c>
      <c r="I31" s="69" t="s">
        <v>4847</v>
      </c>
      <c r="J31" s="67"/>
      <c r="K31" s="70" t="s">
        <v>4848</v>
      </c>
      <c r="L31" s="61"/>
      <c r="M31" s="67"/>
      <c r="N31" s="69" t="s">
        <v>4849</v>
      </c>
      <c r="O31" s="68">
        <v>12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23</v>
      </c>
      <c r="B32" s="61" t="s">
        <v>4691</v>
      </c>
      <c r="C32" s="216" t="s">
        <v>272</v>
      </c>
      <c r="D32" s="62" t="str">
        <f t="shared" si="0"/>
        <v>2313031</v>
      </c>
      <c r="E32" s="75" t="s">
        <v>4850</v>
      </c>
      <c r="F32" s="75" t="s">
        <v>4851</v>
      </c>
      <c r="G32" s="75" t="s">
        <v>4694</v>
      </c>
      <c r="H32" s="75" t="s">
        <v>4852</v>
      </c>
      <c r="I32" s="54" t="s">
        <v>4853</v>
      </c>
      <c r="J32" s="54" t="s">
        <v>4854</v>
      </c>
      <c r="K32" s="96" t="s">
        <v>4855</v>
      </c>
      <c r="L32" s="93" t="s">
        <v>4856</v>
      </c>
      <c r="M32" s="67"/>
      <c r="N32" s="77" t="s">
        <v>4857</v>
      </c>
      <c r="O32" s="76">
        <v>5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23</v>
      </c>
      <c r="B33" s="61" t="s">
        <v>4691</v>
      </c>
      <c r="C33" s="62" t="s">
        <v>278</v>
      </c>
      <c r="D33" s="62" t="str">
        <f t="shared" si="0"/>
        <v>2313032</v>
      </c>
      <c r="E33" s="75" t="s">
        <v>4858</v>
      </c>
      <c r="F33" s="75" t="s">
        <v>4859</v>
      </c>
      <c r="G33" s="75" t="s">
        <v>4694</v>
      </c>
      <c r="H33" s="75" t="s">
        <v>4860</v>
      </c>
      <c r="I33" s="75" t="s">
        <v>4861</v>
      </c>
      <c r="J33" s="67"/>
      <c r="K33" s="76">
        <v>83140116988</v>
      </c>
      <c r="L33" s="61"/>
      <c r="M33" s="67"/>
      <c r="N33" s="75"/>
      <c r="O33" s="76">
        <v>2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23</v>
      </c>
      <c r="B34" s="61" t="s">
        <v>4691</v>
      </c>
      <c r="C34" s="216" t="s">
        <v>284</v>
      </c>
      <c r="D34" s="62" t="str">
        <f t="shared" si="0"/>
        <v>2313033</v>
      </c>
      <c r="E34" s="54" t="s">
        <v>4862</v>
      </c>
      <c r="F34" s="54" t="s">
        <v>4863</v>
      </c>
      <c r="G34" s="54" t="s">
        <v>4702</v>
      </c>
      <c r="H34" s="54" t="s">
        <v>4864</v>
      </c>
      <c r="I34" s="54" t="s">
        <v>4865</v>
      </c>
      <c r="J34" s="54"/>
      <c r="K34" s="93" t="s">
        <v>4866</v>
      </c>
      <c r="L34" s="96"/>
      <c r="M34" s="54"/>
      <c r="N34" s="54" t="s">
        <v>4867</v>
      </c>
      <c r="O34" s="96">
        <v>6</v>
      </c>
      <c r="R34" s="43"/>
      <c r="T34" s="43"/>
      <c r="V34" s="43"/>
      <c r="W34" s="43"/>
      <c r="X34" s="43"/>
      <c r="Y34" s="43"/>
      <c r="Z34" s="43"/>
      <c r="AA34" s="43"/>
    </row>
    <row r="35" spans="1:27" ht="15.75" customHeight="1" x14ac:dyDescent="0.2">
      <c r="A35" s="61">
        <v>25</v>
      </c>
      <c r="B35" s="61" t="s">
        <v>4691</v>
      </c>
      <c r="C35" s="62" t="s">
        <v>290</v>
      </c>
      <c r="D35" s="62" t="str">
        <f t="shared" si="0"/>
        <v>2513034</v>
      </c>
      <c r="E35" s="54" t="s">
        <v>4868</v>
      </c>
      <c r="F35" s="54" t="s">
        <v>4869</v>
      </c>
      <c r="G35" s="54" t="s">
        <v>4694</v>
      </c>
      <c r="H35" s="54" t="s">
        <v>4870</v>
      </c>
      <c r="I35" s="54" t="s">
        <v>4871</v>
      </c>
      <c r="J35" s="54"/>
      <c r="K35" s="93" t="s">
        <v>4872</v>
      </c>
      <c r="L35" s="96"/>
      <c r="M35" s="54"/>
      <c r="N35" s="54" t="s">
        <v>4873</v>
      </c>
      <c r="O35" s="96">
        <v>5</v>
      </c>
      <c r="R35" s="43"/>
      <c r="T35" s="44"/>
      <c r="V35" s="43"/>
      <c r="W35" s="43"/>
      <c r="X35" s="43"/>
      <c r="Y35" s="43"/>
      <c r="Z35" s="43"/>
      <c r="AA35" s="43"/>
    </row>
    <row r="36" spans="1:27" ht="15.75" customHeight="1" x14ac:dyDescent="0.2">
      <c r="A36" s="61">
        <v>25</v>
      </c>
      <c r="B36" s="61" t="s">
        <v>4691</v>
      </c>
      <c r="C36" s="62" t="s">
        <v>296</v>
      </c>
      <c r="D36" s="62" t="str">
        <f t="shared" si="0"/>
        <v>2513035</v>
      </c>
      <c r="E36" s="43" t="s">
        <v>4874</v>
      </c>
      <c r="F36" s="43" t="s">
        <v>4875</v>
      </c>
      <c r="G36" s="43" t="s">
        <v>4694</v>
      </c>
      <c r="H36" s="43" t="s">
        <v>4876</v>
      </c>
      <c r="I36" s="43" t="s">
        <v>4877</v>
      </c>
      <c r="J36" s="43" t="s">
        <v>4877</v>
      </c>
      <c r="K36" s="43" t="s">
        <v>4877</v>
      </c>
      <c r="L36" s="43" t="s">
        <v>4877</v>
      </c>
      <c r="M36" s="78" t="s">
        <v>4878</v>
      </c>
      <c r="N36" s="43" t="s">
        <v>4877</v>
      </c>
      <c r="O36" s="43" t="s">
        <v>4877</v>
      </c>
      <c r="P36" s="44">
        <v>14</v>
      </c>
      <c r="Q36" s="43" t="s">
        <v>4696</v>
      </c>
      <c r="R36" s="43" t="s">
        <v>4879</v>
      </c>
      <c r="S36" s="43" t="s">
        <v>4697</v>
      </c>
      <c r="T36" s="44">
        <v>0</v>
      </c>
      <c r="U36" s="43" t="s">
        <v>4699</v>
      </c>
      <c r="V36" s="43"/>
      <c r="W36" s="43"/>
      <c r="X36" s="43"/>
      <c r="Y36" s="43"/>
      <c r="Z36" s="43"/>
      <c r="AA36" s="43"/>
    </row>
    <row r="37" spans="1:27" ht="15.75" customHeight="1" x14ac:dyDescent="0.2">
      <c r="A37" s="61">
        <v>25</v>
      </c>
      <c r="B37" s="61" t="s">
        <v>4691</v>
      </c>
      <c r="C37" s="62" t="s">
        <v>301</v>
      </c>
      <c r="D37" s="62" t="str">
        <f t="shared" si="0"/>
        <v>2513036</v>
      </c>
      <c r="E37" s="43" t="s">
        <v>4880</v>
      </c>
      <c r="F37" s="43" t="s">
        <v>4881</v>
      </c>
      <c r="G37" s="43" t="s">
        <v>4694</v>
      </c>
      <c r="H37" s="43" t="s">
        <v>4882</v>
      </c>
      <c r="I37" s="43"/>
      <c r="J37" s="43"/>
      <c r="K37" s="43" t="s">
        <v>4883</v>
      </c>
      <c r="L37" s="43"/>
      <c r="M37" s="43"/>
      <c r="N37" s="43" t="s">
        <v>4884</v>
      </c>
      <c r="O37" s="43"/>
      <c r="P37" s="44">
        <v>3</v>
      </c>
      <c r="Q37" s="43" t="s">
        <v>4885</v>
      </c>
      <c r="R37" s="43" t="s">
        <v>4886</v>
      </c>
      <c r="S37" s="55" t="s">
        <v>4887</v>
      </c>
      <c r="T37" s="44">
        <v>0</v>
      </c>
      <c r="U37" s="43"/>
      <c r="V37" s="43"/>
      <c r="W37" s="43"/>
      <c r="X37" s="43"/>
      <c r="Y37" s="43"/>
      <c r="Z37" s="43"/>
      <c r="AA37" s="43"/>
    </row>
    <row r="38" spans="1:27" ht="15.75" customHeight="1" x14ac:dyDescent="0.15">
      <c r="A38" s="56"/>
      <c r="B38" s="56"/>
      <c r="C38" s="23"/>
      <c r="D38" s="23"/>
      <c r="E38" s="23"/>
      <c r="F38" s="23"/>
      <c r="G38" s="23"/>
      <c r="H38" s="23"/>
      <c r="I38" s="23"/>
      <c r="J38" s="23"/>
      <c r="K38" s="56"/>
      <c r="L38" s="56"/>
      <c r="M38" s="23"/>
      <c r="N38" s="23"/>
      <c r="O38" s="56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15">
      <c r="A39" s="56"/>
      <c r="B39" s="56"/>
      <c r="C39" s="23"/>
      <c r="D39" s="23"/>
      <c r="E39" s="23"/>
      <c r="F39" s="23"/>
      <c r="G39" s="23"/>
      <c r="H39" s="23"/>
      <c r="I39" s="23"/>
      <c r="J39" s="23"/>
      <c r="K39" s="56"/>
      <c r="L39" s="56"/>
      <c r="M39" s="23"/>
      <c r="N39" s="23"/>
      <c r="O39" s="56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15">
      <c r="A40" s="56"/>
      <c r="B40" s="56"/>
      <c r="C40" s="23"/>
      <c r="D40" s="23"/>
      <c r="E40" s="23"/>
      <c r="F40" s="23"/>
      <c r="G40" s="23"/>
      <c r="H40" s="23"/>
      <c r="I40" s="23"/>
      <c r="J40" s="23"/>
      <c r="K40" s="56"/>
      <c r="L40" s="56"/>
      <c r="M40" s="23"/>
      <c r="N40" s="23"/>
      <c r="O40" s="56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15">
      <c r="A41" s="56"/>
      <c r="B41" s="56"/>
      <c r="C41" s="23"/>
      <c r="D41" s="23"/>
      <c r="E41" s="23"/>
      <c r="F41" s="23"/>
      <c r="G41" s="23"/>
      <c r="H41" s="23"/>
      <c r="I41" s="23"/>
      <c r="J41" s="23"/>
      <c r="K41" s="56"/>
      <c r="L41" s="56"/>
      <c r="M41" s="23"/>
      <c r="N41" s="23"/>
      <c r="O41" s="56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15">
      <c r="A42" s="56"/>
      <c r="B42" s="56"/>
      <c r="C42" s="23"/>
      <c r="D42" s="23"/>
      <c r="E42" s="23"/>
      <c r="F42" s="23"/>
      <c r="G42" s="23"/>
      <c r="H42" s="23"/>
      <c r="I42" s="23"/>
      <c r="J42" s="23"/>
      <c r="K42" s="56"/>
      <c r="L42" s="56"/>
      <c r="M42" s="23"/>
      <c r="N42" s="23"/>
      <c r="O42" s="56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15">
      <c r="A43" s="56"/>
      <c r="B43" s="56"/>
      <c r="C43" s="23"/>
      <c r="D43" s="23"/>
      <c r="E43" s="23"/>
      <c r="F43" s="23"/>
      <c r="G43" s="23"/>
      <c r="H43" s="23"/>
      <c r="I43" s="23"/>
      <c r="J43" s="23"/>
      <c r="K43" s="56"/>
      <c r="L43" s="56"/>
      <c r="M43" s="23"/>
      <c r="N43" s="23"/>
      <c r="O43" s="56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15">
      <c r="A44" s="56"/>
      <c r="B44" s="56"/>
      <c r="C44" s="23"/>
      <c r="D44" s="23"/>
      <c r="E44" s="23"/>
      <c r="F44" s="23"/>
      <c r="G44" s="23"/>
      <c r="H44" s="23"/>
      <c r="I44" s="23"/>
      <c r="J44" s="23"/>
      <c r="K44" s="56"/>
      <c r="L44" s="56"/>
      <c r="M44" s="23"/>
      <c r="N44" s="23"/>
      <c r="O44" s="56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15">
      <c r="A45" s="56"/>
      <c r="B45" s="56"/>
      <c r="C45" s="23"/>
      <c r="D45" s="23"/>
      <c r="E45" s="23"/>
      <c r="F45" s="23"/>
      <c r="G45" s="23"/>
      <c r="H45" s="23"/>
      <c r="I45" s="23"/>
      <c r="J45" s="23"/>
      <c r="K45" s="56"/>
      <c r="L45" s="56"/>
      <c r="M45" s="23"/>
      <c r="N45" s="23"/>
      <c r="O45" s="56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15">
      <c r="A46" s="56"/>
      <c r="B46" s="56"/>
      <c r="C46" s="23"/>
      <c r="D46" s="23"/>
      <c r="E46" s="23"/>
      <c r="F46" s="23"/>
      <c r="G46" s="23"/>
      <c r="H46" s="23"/>
      <c r="I46" s="23"/>
      <c r="J46" s="23"/>
      <c r="K46" s="56"/>
      <c r="L46" s="56"/>
      <c r="M46" s="23"/>
      <c r="N46" s="23"/>
      <c r="O46" s="56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15">
      <c r="A47" s="56"/>
      <c r="B47" s="56"/>
      <c r="C47" s="23"/>
      <c r="D47" s="23"/>
      <c r="E47" s="23"/>
      <c r="F47" s="23"/>
      <c r="G47" s="23"/>
      <c r="H47" s="23"/>
      <c r="I47" s="23"/>
      <c r="J47" s="23"/>
      <c r="K47" s="56"/>
      <c r="L47" s="56"/>
      <c r="M47" s="23"/>
      <c r="N47" s="23"/>
      <c r="O47" s="56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5.75" customHeight="1" x14ac:dyDescent="0.15">
      <c r="A48" s="56"/>
      <c r="B48" s="56"/>
      <c r="C48" s="23"/>
      <c r="D48" s="23"/>
      <c r="E48" s="23"/>
      <c r="F48" s="23"/>
      <c r="G48" s="23"/>
      <c r="H48" s="23"/>
      <c r="I48" s="23"/>
      <c r="J48" s="23"/>
      <c r="K48" s="56"/>
      <c r="L48" s="56"/>
      <c r="M48" s="23"/>
      <c r="N48" s="23"/>
      <c r="O48" s="5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5.75" customHeight="1" x14ac:dyDescent="0.15">
      <c r="A49" s="56"/>
      <c r="B49" s="56"/>
      <c r="C49" s="23"/>
      <c r="D49" s="23"/>
      <c r="E49" s="23"/>
      <c r="F49" s="23"/>
      <c r="G49" s="23"/>
      <c r="H49" s="23"/>
      <c r="I49" s="23"/>
      <c r="J49" s="23"/>
      <c r="K49" s="56"/>
      <c r="L49" s="56"/>
      <c r="M49" s="23"/>
      <c r="N49" s="23"/>
      <c r="O49" s="56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5.75" customHeight="1" x14ac:dyDescent="0.15">
      <c r="A50" s="56"/>
      <c r="B50" s="56"/>
      <c r="C50" s="23"/>
      <c r="D50" s="23"/>
      <c r="E50" s="23"/>
      <c r="F50" s="23"/>
      <c r="G50" s="23"/>
      <c r="H50" s="23"/>
      <c r="I50" s="23"/>
      <c r="J50" s="23"/>
      <c r="K50" s="56"/>
      <c r="L50" s="56"/>
      <c r="M50" s="23"/>
      <c r="N50" s="23"/>
      <c r="O50" s="56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5.75" customHeight="1" x14ac:dyDescent="0.15">
      <c r="A51" s="56"/>
      <c r="B51" s="56"/>
      <c r="C51" s="23"/>
      <c r="D51" s="23"/>
      <c r="E51" s="23"/>
      <c r="F51" s="23"/>
      <c r="G51" s="23"/>
      <c r="H51" s="23"/>
      <c r="I51" s="23"/>
      <c r="J51" s="23"/>
      <c r="K51" s="56"/>
      <c r="L51" s="56"/>
      <c r="M51" s="23"/>
      <c r="N51" s="23"/>
      <c r="O51" s="56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5.75" customHeight="1" x14ac:dyDescent="0.15">
      <c r="A52" s="56"/>
      <c r="B52" s="56"/>
      <c r="C52" s="23"/>
      <c r="D52" s="23"/>
      <c r="E52" s="23"/>
      <c r="F52" s="23"/>
      <c r="G52" s="23"/>
      <c r="H52" s="23"/>
      <c r="I52" s="23"/>
      <c r="J52" s="23"/>
      <c r="K52" s="56"/>
      <c r="L52" s="56"/>
      <c r="M52" s="23"/>
      <c r="N52" s="23"/>
      <c r="O52" s="5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15">
      <c r="A53" s="56"/>
      <c r="B53" s="56"/>
      <c r="C53" s="23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3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3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3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3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3" x14ac:dyDescent="0.15">
      <c r="A234" s="56"/>
      <c r="B234" s="56"/>
      <c r="K234" s="56"/>
      <c r="L234" s="56"/>
      <c r="O234" s="56"/>
    </row>
    <row r="235" spans="1:27" ht="13" x14ac:dyDescent="0.15">
      <c r="A235" s="56"/>
      <c r="B235" s="56"/>
      <c r="K235" s="56"/>
      <c r="L235" s="56"/>
      <c r="O235" s="56"/>
    </row>
    <row r="236" spans="1:27" ht="13" x14ac:dyDescent="0.15">
      <c r="A236" s="56"/>
      <c r="B236" s="56"/>
      <c r="K236" s="56"/>
      <c r="L236" s="56"/>
      <c r="O236" s="56"/>
    </row>
    <row r="237" spans="1:27" ht="13" x14ac:dyDescent="0.15">
      <c r="A237" s="56"/>
      <c r="B237" s="56"/>
      <c r="K237" s="56"/>
      <c r="L237" s="56"/>
      <c r="O237" s="56"/>
    </row>
    <row r="238" spans="1:27" ht="13" x14ac:dyDescent="0.15">
      <c r="A238" s="56"/>
      <c r="B238" s="56"/>
      <c r="K238" s="56"/>
      <c r="L238" s="56"/>
      <c r="O238" s="56"/>
    </row>
    <row r="239" spans="1:27" ht="13" x14ac:dyDescent="0.15">
      <c r="A239" s="56"/>
      <c r="B239" s="56"/>
      <c r="K239" s="56"/>
      <c r="L239" s="56"/>
      <c r="O239" s="56"/>
    </row>
    <row r="240" spans="1:27" ht="13" x14ac:dyDescent="0.15">
      <c r="A240" s="56"/>
      <c r="B240" s="56"/>
      <c r="K240" s="56"/>
      <c r="L240" s="56"/>
      <c r="O240" s="56"/>
    </row>
    <row r="241" spans="1:15" ht="13" x14ac:dyDescent="0.15">
      <c r="A241" s="56"/>
      <c r="B241" s="56"/>
      <c r="K241" s="56"/>
      <c r="L241" s="56"/>
      <c r="O241" s="56"/>
    </row>
    <row r="242" spans="1:15" ht="13" x14ac:dyDescent="0.15">
      <c r="A242" s="56"/>
      <c r="B242" s="56"/>
      <c r="K242" s="56"/>
      <c r="L242" s="56"/>
      <c r="O242" s="56"/>
    </row>
    <row r="243" spans="1:15" ht="13" x14ac:dyDescent="0.15">
      <c r="A243" s="56"/>
      <c r="B243" s="56"/>
      <c r="K243" s="56"/>
      <c r="L243" s="56"/>
      <c r="O243" s="56"/>
    </row>
    <row r="244" spans="1:15" ht="13" x14ac:dyDescent="0.15">
      <c r="A244" s="56"/>
      <c r="B244" s="56"/>
      <c r="K244" s="56"/>
      <c r="L244" s="56"/>
      <c r="O244" s="56"/>
    </row>
    <row r="245" spans="1:15" ht="13" x14ac:dyDescent="0.15">
      <c r="A245" s="56"/>
      <c r="B245" s="56"/>
      <c r="K245" s="56"/>
      <c r="L245" s="56"/>
      <c r="O245" s="56"/>
    </row>
    <row r="246" spans="1:15" ht="13" x14ac:dyDescent="0.15">
      <c r="A246" s="56"/>
      <c r="B246" s="56"/>
      <c r="K246" s="56"/>
      <c r="L246" s="56"/>
      <c r="O246" s="56"/>
    </row>
    <row r="247" spans="1:15" ht="13" x14ac:dyDescent="0.15">
      <c r="A247" s="56"/>
      <c r="B247" s="56"/>
      <c r="K247" s="56"/>
      <c r="L247" s="56"/>
      <c r="O247" s="56"/>
    </row>
    <row r="248" spans="1:15" ht="13" x14ac:dyDescent="0.15">
      <c r="A248" s="56"/>
      <c r="B248" s="56"/>
      <c r="K248" s="56"/>
      <c r="L248" s="56"/>
      <c r="O248" s="56"/>
    </row>
    <row r="249" spans="1:15" ht="13" x14ac:dyDescent="0.15">
      <c r="A249" s="56"/>
      <c r="B249" s="56"/>
      <c r="K249" s="56"/>
      <c r="L249" s="56"/>
      <c r="O249" s="56"/>
    </row>
    <row r="250" spans="1:15" ht="13" x14ac:dyDescent="0.15">
      <c r="A250" s="56"/>
      <c r="B250" s="56"/>
      <c r="K250" s="56"/>
      <c r="L250" s="56"/>
      <c r="O250" s="56"/>
    </row>
    <row r="251" spans="1:15" ht="13" x14ac:dyDescent="0.15">
      <c r="A251" s="56"/>
      <c r="B251" s="56"/>
      <c r="K251" s="56"/>
      <c r="L251" s="56"/>
      <c r="O251" s="56"/>
    </row>
    <row r="252" spans="1:15" ht="13" x14ac:dyDescent="0.15">
      <c r="A252" s="56"/>
      <c r="B252" s="56"/>
      <c r="K252" s="56"/>
      <c r="L252" s="56"/>
      <c r="O252" s="56"/>
    </row>
    <row r="253" spans="1:15" ht="13" x14ac:dyDescent="0.15">
      <c r="A253" s="56"/>
      <c r="B253" s="56"/>
      <c r="K253" s="56"/>
      <c r="L253" s="56"/>
      <c r="O253" s="56"/>
    </row>
    <row r="254" spans="1:15" ht="13" x14ac:dyDescent="0.15">
      <c r="A254" s="56"/>
      <c r="B254" s="56"/>
      <c r="K254" s="56"/>
      <c r="L254" s="56"/>
      <c r="O254" s="56"/>
    </row>
    <row r="255" spans="1:15" ht="13" x14ac:dyDescent="0.15">
      <c r="A255" s="56"/>
      <c r="B255" s="56"/>
      <c r="K255" s="56"/>
      <c r="L255" s="56"/>
      <c r="O255" s="56"/>
    </row>
    <row r="256" spans="1:15" ht="13" x14ac:dyDescent="0.15">
      <c r="A256" s="56"/>
      <c r="B256" s="56"/>
      <c r="K256" s="56"/>
      <c r="L256" s="56"/>
      <c r="O256" s="56"/>
    </row>
    <row r="257" spans="1:15" ht="13" x14ac:dyDescent="0.15">
      <c r="A257" s="56"/>
      <c r="B257" s="56"/>
      <c r="K257" s="56"/>
      <c r="L257" s="56"/>
      <c r="O257" s="56"/>
    </row>
    <row r="258" spans="1:15" ht="13" x14ac:dyDescent="0.15">
      <c r="A258" s="56"/>
      <c r="B258" s="56"/>
      <c r="K258" s="56"/>
      <c r="L258" s="56"/>
      <c r="O258" s="56"/>
    </row>
    <row r="259" spans="1:15" ht="13" x14ac:dyDescent="0.15">
      <c r="A259" s="56"/>
      <c r="B259" s="56"/>
      <c r="K259" s="56"/>
      <c r="L259" s="56"/>
      <c r="O259" s="56"/>
    </row>
    <row r="260" spans="1:15" ht="13" x14ac:dyDescent="0.15">
      <c r="A260" s="56"/>
      <c r="B260" s="56"/>
      <c r="K260" s="56"/>
      <c r="L260" s="56"/>
      <c r="O260" s="56"/>
    </row>
    <row r="261" spans="1:15" ht="13" x14ac:dyDescent="0.15">
      <c r="A261" s="56"/>
      <c r="B261" s="56"/>
      <c r="K261" s="56"/>
      <c r="L261" s="56"/>
      <c r="O261" s="56"/>
    </row>
    <row r="262" spans="1:15" ht="13" x14ac:dyDescent="0.15">
      <c r="A262" s="56"/>
      <c r="B262" s="56"/>
      <c r="K262" s="56"/>
      <c r="L262" s="56"/>
      <c r="O262" s="56"/>
    </row>
    <row r="263" spans="1:15" ht="13" x14ac:dyDescent="0.15">
      <c r="A263" s="56"/>
      <c r="B263" s="56"/>
      <c r="K263" s="56"/>
      <c r="L263" s="56"/>
      <c r="O263" s="56"/>
    </row>
    <row r="264" spans="1:15" ht="13" x14ac:dyDescent="0.15">
      <c r="A264" s="56"/>
      <c r="B264" s="56"/>
      <c r="K264" s="56"/>
      <c r="L264" s="56"/>
      <c r="O264" s="56"/>
    </row>
    <row r="265" spans="1:15" ht="13" x14ac:dyDescent="0.15">
      <c r="A265" s="56"/>
      <c r="B265" s="56"/>
      <c r="K265" s="56"/>
      <c r="L265" s="56"/>
      <c r="O265" s="56"/>
    </row>
    <row r="266" spans="1:15" ht="13" x14ac:dyDescent="0.15">
      <c r="A266" s="56"/>
      <c r="B266" s="56"/>
      <c r="K266" s="56"/>
      <c r="L266" s="56"/>
      <c r="O266" s="56"/>
    </row>
    <row r="267" spans="1:15" ht="13" x14ac:dyDescent="0.15">
      <c r="A267" s="56"/>
      <c r="B267" s="56"/>
      <c r="K267" s="56"/>
      <c r="L267" s="56"/>
      <c r="O267" s="56"/>
    </row>
    <row r="268" spans="1:15" ht="13" x14ac:dyDescent="0.15">
      <c r="A268" s="56"/>
      <c r="B268" s="56"/>
      <c r="K268" s="56"/>
      <c r="L268" s="56"/>
      <c r="O268" s="56"/>
    </row>
    <row r="269" spans="1:15" ht="13" x14ac:dyDescent="0.15">
      <c r="A269" s="56"/>
      <c r="B269" s="56"/>
      <c r="K269" s="56"/>
      <c r="L269" s="56"/>
      <c r="O269" s="56"/>
    </row>
    <row r="270" spans="1:15" ht="13" x14ac:dyDescent="0.15">
      <c r="A270" s="56"/>
      <c r="B270" s="56"/>
      <c r="K270" s="56"/>
      <c r="L270" s="56"/>
      <c r="O270" s="56"/>
    </row>
    <row r="271" spans="1:15" ht="13" x14ac:dyDescent="0.15">
      <c r="A271" s="56"/>
      <c r="B271" s="56"/>
      <c r="K271" s="56"/>
      <c r="L271" s="56"/>
      <c r="O271" s="56"/>
    </row>
    <row r="272" spans="1:15" ht="13" x14ac:dyDescent="0.15">
      <c r="A272" s="56"/>
      <c r="B272" s="56"/>
      <c r="K272" s="56"/>
      <c r="L272" s="56"/>
      <c r="O272" s="56"/>
    </row>
    <row r="273" spans="1:15" ht="13" x14ac:dyDescent="0.15">
      <c r="A273" s="56"/>
      <c r="B273" s="56"/>
      <c r="K273" s="56"/>
      <c r="L273" s="56"/>
      <c r="O273" s="56"/>
    </row>
    <row r="274" spans="1:15" ht="13" x14ac:dyDescent="0.15">
      <c r="A274" s="56"/>
      <c r="B274" s="56"/>
      <c r="K274" s="56"/>
      <c r="L274" s="56"/>
      <c r="O274" s="56"/>
    </row>
    <row r="275" spans="1:15" ht="13" x14ac:dyDescent="0.15">
      <c r="A275" s="56"/>
      <c r="B275" s="56"/>
      <c r="K275" s="56"/>
      <c r="L275" s="56"/>
      <c r="O275" s="56"/>
    </row>
    <row r="276" spans="1:15" ht="13" x14ac:dyDescent="0.15">
      <c r="A276" s="56"/>
      <c r="B276" s="56"/>
      <c r="K276" s="56"/>
      <c r="L276" s="56"/>
      <c r="O276" s="56"/>
    </row>
    <row r="277" spans="1:15" ht="13" x14ac:dyDescent="0.15">
      <c r="A277" s="56"/>
      <c r="B277" s="56"/>
      <c r="K277" s="56"/>
      <c r="L277" s="56"/>
      <c r="O277" s="56"/>
    </row>
    <row r="278" spans="1:15" ht="13" x14ac:dyDescent="0.15">
      <c r="A278" s="56"/>
      <c r="B278" s="56"/>
      <c r="K278" s="56"/>
      <c r="L278" s="56"/>
      <c r="O278" s="56"/>
    </row>
    <row r="279" spans="1:15" ht="13" x14ac:dyDescent="0.15">
      <c r="A279" s="56"/>
      <c r="B279" s="56"/>
      <c r="K279" s="56"/>
      <c r="L279" s="56"/>
      <c r="O279" s="56"/>
    </row>
    <row r="280" spans="1:15" ht="13" x14ac:dyDescent="0.15">
      <c r="A280" s="56"/>
      <c r="B280" s="56"/>
      <c r="K280" s="56"/>
      <c r="L280" s="56"/>
      <c r="O280" s="56"/>
    </row>
    <row r="281" spans="1:15" ht="13" x14ac:dyDescent="0.15">
      <c r="A281" s="56"/>
      <c r="B281" s="56"/>
      <c r="K281" s="56"/>
      <c r="L281" s="56"/>
      <c r="O281" s="56"/>
    </row>
    <row r="282" spans="1:15" ht="13" x14ac:dyDescent="0.15">
      <c r="A282" s="56"/>
      <c r="B282" s="56"/>
      <c r="K282" s="56"/>
      <c r="L282" s="56"/>
      <c r="O282" s="56"/>
    </row>
    <row r="283" spans="1:15" ht="13" x14ac:dyDescent="0.15">
      <c r="A283" s="56"/>
      <c r="B283" s="56"/>
      <c r="K283" s="56"/>
      <c r="L283" s="56"/>
      <c r="O283" s="56"/>
    </row>
    <row r="284" spans="1:15" ht="13" x14ac:dyDescent="0.15">
      <c r="A284" s="56"/>
      <c r="B284" s="56"/>
      <c r="K284" s="56"/>
      <c r="L284" s="56"/>
      <c r="O284" s="56"/>
    </row>
    <row r="285" spans="1:15" ht="13" x14ac:dyDescent="0.15">
      <c r="A285" s="56"/>
      <c r="B285" s="56"/>
      <c r="K285" s="56"/>
      <c r="L285" s="56"/>
      <c r="O285" s="56"/>
    </row>
    <row r="286" spans="1:15" ht="13" x14ac:dyDescent="0.15">
      <c r="A286" s="56"/>
      <c r="B286" s="56"/>
      <c r="K286" s="56"/>
      <c r="L286" s="56"/>
      <c r="O286" s="56"/>
    </row>
    <row r="287" spans="1:15" ht="13" x14ac:dyDescent="0.15">
      <c r="A287" s="56"/>
      <c r="B287" s="56"/>
      <c r="K287" s="56"/>
      <c r="L287" s="56"/>
      <c r="O287" s="56"/>
    </row>
    <row r="288" spans="1:15" ht="13" x14ac:dyDescent="0.15">
      <c r="A288" s="56"/>
      <c r="B288" s="56"/>
      <c r="K288" s="56"/>
      <c r="L288" s="56"/>
      <c r="O288" s="56"/>
    </row>
    <row r="289" spans="1:15" ht="13" x14ac:dyDescent="0.15">
      <c r="A289" s="56"/>
      <c r="B289" s="56"/>
      <c r="K289" s="56"/>
      <c r="L289" s="56"/>
      <c r="O289" s="56"/>
    </row>
    <row r="290" spans="1:15" ht="13" x14ac:dyDescent="0.15">
      <c r="A290" s="56"/>
      <c r="B290" s="56"/>
      <c r="K290" s="56"/>
      <c r="L290" s="56"/>
      <c r="O290" s="56"/>
    </row>
    <row r="291" spans="1:15" ht="13" x14ac:dyDescent="0.15">
      <c r="A291" s="56"/>
      <c r="B291" s="56"/>
      <c r="K291" s="56"/>
      <c r="L291" s="56"/>
      <c r="O291" s="56"/>
    </row>
    <row r="292" spans="1:15" ht="13" x14ac:dyDescent="0.15">
      <c r="A292" s="56"/>
      <c r="B292" s="56"/>
      <c r="K292" s="56"/>
      <c r="L292" s="56"/>
      <c r="O292" s="56"/>
    </row>
    <row r="293" spans="1:15" ht="13" x14ac:dyDescent="0.15">
      <c r="A293" s="56"/>
      <c r="B293" s="56"/>
      <c r="K293" s="56"/>
      <c r="L293" s="56"/>
      <c r="O293" s="56"/>
    </row>
    <row r="294" spans="1:15" ht="13" x14ac:dyDescent="0.15">
      <c r="A294" s="56"/>
      <c r="B294" s="56"/>
      <c r="K294" s="56"/>
      <c r="L294" s="56"/>
      <c r="O294" s="56"/>
    </row>
    <row r="295" spans="1:15" ht="13" x14ac:dyDescent="0.15">
      <c r="A295" s="56"/>
      <c r="B295" s="56"/>
      <c r="K295" s="56"/>
      <c r="L295" s="56"/>
      <c r="O295" s="56"/>
    </row>
    <row r="296" spans="1:15" ht="13" x14ac:dyDescent="0.15">
      <c r="A296" s="56"/>
      <c r="B296" s="56"/>
      <c r="K296" s="56"/>
      <c r="L296" s="56"/>
      <c r="O296" s="56"/>
    </row>
    <row r="297" spans="1:15" ht="13" x14ac:dyDescent="0.15">
      <c r="A297" s="56"/>
      <c r="B297" s="56"/>
      <c r="K297" s="56"/>
      <c r="L297" s="56"/>
      <c r="O297" s="56"/>
    </row>
    <row r="298" spans="1:15" ht="13" x14ac:dyDescent="0.15">
      <c r="A298" s="56"/>
      <c r="B298" s="56"/>
      <c r="K298" s="56"/>
      <c r="L298" s="56"/>
      <c r="O298" s="56"/>
    </row>
    <row r="299" spans="1:15" ht="13" x14ac:dyDescent="0.15">
      <c r="A299" s="56"/>
      <c r="B299" s="56"/>
      <c r="K299" s="56"/>
      <c r="L299" s="56"/>
      <c r="O299" s="56"/>
    </row>
    <row r="300" spans="1:15" ht="13" x14ac:dyDescent="0.15">
      <c r="A300" s="56"/>
      <c r="B300" s="56"/>
      <c r="K300" s="56"/>
      <c r="L300" s="56"/>
      <c r="O300" s="56"/>
    </row>
    <row r="301" spans="1:15" ht="13" x14ac:dyDescent="0.15">
      <c r="A301" s="56"/>
      <c r="B301" s="56"/>
      <c r="K301" s="56"/>
      <c r="L301" s="56"/>
      <c r="O301" s="56"/>
    </row>
    <row r="302" spans="1:15" ht="13" x14ac:dyDescent="0.15">
      <c r="A302" s="56"/>
      <c r="B302" s="56"/>
      <c r="K302" s="56"/>
      <c r="L302" s="56"/>
      <c r="O302" s="56"/>
    </row>
    <row r="303" spans="1:15" ht="13" x14ac:dyDescent="0.15">
      <c r="A303" s="56"/>
      <c r="B303" s="56"/>
      <c r="K303" s="56"/>
      <c r="L303" s="56"/>
      <c r="O303" s="56"/>
    </row>
    <row r="304" spans="1:15" ht="13" x14ac:dyDescent="0.15">
      <c r="A304" s="56"/>
      <c r="B304" s="56"/>
      <c r="K304" s="56"/>
      <c r="L304" s="56"/>
      <c r="O304" s="56"/>
    </row>
    <row r="305" spans="1:15" ht="13" x14ac:dyDescent="0.15">
      <c r="A305" s="56"/>
      <c r="B305" s="56"/>
      <c r="K305" s="56"/>
      <c r="L305" s="56"/>
      <c r="O305" s="56"/>
    </row>
    <row r="306" spans="1:15" ht="13" x14ac:dyDescent="0.15">
      <c r="A306" s="56"/>
      <c r="B306" s="56"/>
      <c r="K306" s="56"/>
      <c r="L306" s="56"/>
      <c r="O306" s="56"/>
    </row>
    <row r="307" spans="1:15" ht="13" x14ac:dyDescent="0.15">
      <c r="A307" s="56"/>
      <c r="B307" s="56"/>
      <c r="K307" s="56"/>
      <c r="L307" s="56"/>
      <c r="O307" s="56"/>
    </row>
    <row r="308" spans="1:15" ht="13" x14ac:dyDescent="0.15">
      <c r="A308" s="56"/>
      <c r="B308" s="56"/>
      <c r="K308" s="56"/>
      <c r="L308" s="56"/>
      <c r="O308" s="56"/>
    </row>
    <row r="309" spans="1:15" ht="13" x14ac:dyDescent="0.15">
      <c r="A309" s="56"/>
      <c r="B309" s="56"/>
      <c r="K309" s="56"/>
      <c r="L309" s="56"/>
      <c r="O309" s="56"/>
    </row>
    <row r="310" spans="1:15" ht="13" x14ac:dyDescent="0.15">
      <c r="A310" s="56"/>
      <c r="B310" s="56"/>
      <c r="K310" s="56"/>
      <c r="L310" s="56"/>
      <c r="O310" s="56"/>
    </row>
    <row r="311" spans="1:15" ht="13" x14ac:dyDescent="0.15">
      <c r="A311" s="56"/>
      <c r="B311" s="56"/>
      <c r="K311" s="56"/>
      <c r="L311" s="56"/>
      <c r="O311" s="56"/>
    </row>
    <row r="312" spans="1:15" ht="13" x14ac:dyDescent="0.15">
      <c r="A312" s="56"/>
      <c r="B312" s="56"/>
      <c r="K312" s="56"/>
      <c r="L312" s="56"/>
      <c r="O312" s="56"/>
    </row>
    <row r="313" spans="1:15" ht="13" x14ac:dyDescent="0.15">
      <c r="A313" s="56"/>
      <c r="B313" s="56"/>
      <c r="K313" s="56"/>
      <c r="L313" s="56"/>
      <c r="O313" s="56"/>
    </row>
    <row r="314" spans="1:15" ht="13" x14ac:dyDescent="0.15">
      <c r="A314" s="56"/>
      <c r="B314" s="56"/>
      <c r="K314" s="56"/>
      <c r="L314" s="56"/>
      <c r="O314" s="56"/>
    </row>
    <row r="315" spans="1:15" ht="13" x14ac:dyDescent="0.15">
      <c r="A315" s="56"/>
      <c r="B315" s="56"/>
      <c r="K315" s="56"/>
      <c r="L315" s="56"/>
      <c r="O315" s="56"/>
    </row>
    <row r="316" spans="1:15" ht="13" x14ac:dyDescent="0.15">
      <c r="A316" s="56"/>
      <c r="B316" s="56"/>
      <c r="K316" s="56"/>
      <c r="L316" s="56"/>
      <c r="O316" s="56"/>
    </row>
    <row r="317" spans="1:15" ht="13" x14ac:dyDescent="0.15">
      <c r="A317" s="56"/>
      <c r="B317" s="56"/>
      <c r="K317" s="56"/>
      <c r="L317" s="56"/>
      <c r="O317" s="56"/>
    </row>
    <row r="318" spans="1:15" ht="13" x14ac:dyDescent="0.15">
      <c r="A318" s="56"/>
      <c r="B318" s="56"/>
      <c r="K318" s="56"/>
      <c r="L318" s="56"/>
      <c r="O318" s="56"/>
    </row>
    <row r="319" spans="1:15" ht="13" x14ac:dyDescent="0.15">
      <c r="A319" s="56"/>
      <c r="B319" s="56"/>
      <c r="K319" s="56"/>
      <c r="L319" s="56"/>
      <c r="O319" s="56"/>
    </row>
    <row r="320" spans="1:15" ht="13" x14ac:dyDescent="0.15">
      <c r="A320" s="56"/>
      <c r="B320" s="56"/>
      <c r="K320" s="56"/>
      <c r="L320" s="56"/>
      <c r="O320" s="56"/>
    </row>
    <row r="321" spans="1:15" ht="13" x14ac:dyDescent="0.15">
      <c r="A321" s="56"/>
      <c r="B321" s="56"/>
      <c r="K321" s="56"/>
      <c r="L321" s="56"/>
      <c r="O321" s="56"/>
    </row>
    <row r="322" spans="1:15" ht="13" x14ac:dyDescent="0.15">
      <c r="A322" s="56"/>
      <c r="B322" s="56"/>
      <c r="K322" s="56"/>
      <c r="L322" s="56"/>
      <c r="O322" s="56"/>
    </row>
    <row r="323" spans="1:15" ht="13" x14ac:dyDescent="0.15">
      <c r="A323" s="56"/>
      <c r="B323" s="56"/>
      <c r="K323" s="56"/>
      <c r="L323" s="56"/>
      <c r="O323" s="56"/>
    </row>
    <row r="324" spans="1:15" ht="13" x14ac:dyDescent="0.15">
      <c r="A324" s="56"/>
      <c r="B324" s="56"/>
      <c r="K324" s="56"/>
      <c r="L324" s="56"/>
      <c r="O324" s="56"/>
    </row>
    <row r="325" spans="1:15" ht="13" x14ac:dyDescent="0.15">
      <c r="A325" s="56"/>
      <c r="B325" s="56"/>
      <c r="K325" s="56"/>
      <c r="L325" s="56"/>
      <c r="O325" s="56"/>
    </row>
    <row r="326" spans="1:15" ht="13" x14ac:dyDescent="0.15">
      <c r="A326" s="56"/>
      <c r="B326" s="56"/>
      <c r="K326" s="56"/>
      <c r="L326" s="56"/>
      <c r="O326" s="56"/>
    </row>
    <row r="327" spans="1:15" ht="13" x14ac:dyDescent="0.15">
      <c r="A327" s="56"/>
      <c r="B327" s="56"/>
      <c r="K327" s="56"/>
      <c r="L327" s="56"/>
      <c r="O327" s="56"/>
    </row>
    <row r="328" spans="1:15" ht="13" x14ac:dyDescent="0.15">
      <c r="A328" s="56"/>
      <c r="B328" s="56"/>
      <c r="K328" s="56"/>
      <c r="L328" s="56"/>
      <c r="O328" s="56"/>
    </row>
    <row r="329" spans="1:15" ht="13" x14ac:dyDescent="0.15">
      <c r="A329" s="56"/>
      <c r="B329" s="56"/>
      <c r="K329" s="56"/>
      <c r="L329" s="56"/>
      <c r="O329" s="56"/>
    </row>
    <row r="330" spans="1:15" ht="13" x14ac:dyDescent="0.15">
      <c r="A330" s="56"/>
      <c r="B330" s="56"/>
      <c r="K330" s="56"/>
      <c r="L330" s="56"/>
      <c r="O330" s="56"/>
    </row>
    <row r="331" spans="1:15" ht="13" x14ac:dyDescent="0.15">
      <c r="A331" s="56"/>
      <c r="B331" s="56"/>
      <c r="K331" s="56"/>
      <c r="L331" s="56"/>
      <c r="O331" s="56"/>
    </row>
    <row r="332" spans="1:15" ht="13" x14ac:dyDescent="0.15">
      <c r="A332" s="56"/>
      <c r="B332" s="56"/>
      <c r="K332" s="56"/>
      <c r="L332" s="56"/>
      <c r="O332" s="56"/>
    </row>
    <row r="333" spans="1:15" ht="13" x14ac:dyDescent="0.15">
      <c r="A333" s="56"/>
      <c r="B333" s="56"/>
      <c r="K333" s="56"/>
      <c r="L333" s="56"/>
      <c r="O333" s="56"/>
    </row>
    <row r="334" spans="1:15" ht="13" x14ac:dyDescent="0.15">
      <c r="A334" s="56"/>
      <c r="B334" s="56"/>
      <c r="K334" s="56"/>
      <c r="L334" s="56"/>
      <c r="O334" s="56"/>
    </row>
    <row r="335" spans="1:15" ht="13" x14ac:dyDescent="0.15">
      <c r="A335" s="56"/>
      <c r="B335" s="56"/>
      <c r="K335" s="56"/>
      <c r="L335" s="56"/>
      <c r="O335" s="56"/>
    </row>
    <row r="336" spans="1:15" ht="13" x14ac:dyDescent="0.15">
      <c r="A336" s="56"/>
      <c r="B336" s="56"/>
      <c r="K336" s="56"/>
      <c r="L336" s="56"/>
      <c r="O336" s="56"/>
    </row>
    <row r="337" spans="1:15" ht="13" x14ac:dyDescent="0.15">
      <c r="A337" s="56"/>
      <c r="B337" s="56"/>
      <c r="K337" s="56"/>
      <c r="L337" s="56"/>
      <c r="O337" s="56"/>
    </row>
    <row r="338" spans="1:15" ht="13" x14ac:dyDescent="0.15">
      <c r="A338" s="56"/>
      <c r="B338" s="56"/>
      <c r="K338" s="56"/>
      <c r="L338" s="56"/>
      <c r="O338" s="56"/>
    </row>
    <row r="339" spans="1:15" ht="13" x14ac:dyDescent="0.15">
      <c r="A339" s="56"/>
      <c r="B339" s="56"/>
      <c r="K339" s="56"/>
      <c r="L339" s="56"/>
      <c r="O339" s="56"/>
    </row>
    <row r="340" spans="1:15" ht="13" x14ac:dyDescent="0.15">
      <c r="A340" s="56"/>
      <c r="B340" s="56"/>
      <c r="K340" s="56"/>
      <c r="L340" s="56"/>
      <c r="O340" s="56"/>
    </row>
    <row r="341" spans="1:15" ht="13" x14ac:dyDescent="0.15">
      <c r="A341" s="56"/>
      <c r="B341" s="56"/>
      <c r="K341" s="56"/>
      <c r="L341" s="56"/>
      <c r="O341" s="56"/>
    </row>
    <row r="342" spans="1:15" ht="13" x14ac:dyDescent="0.15">
      <c r="A342" s="56"/>
      <c r="B342" s="56"/>
      <c r="K342" s="56"/>
      <c r="L342" s="56"/>
      <c r="O342" s="56"/>
    </row>
    <row r="343" spans="1:15" ht="13" x14ac:dyDescent="0.15">
      <c r="A343" s="56"/>
      <c r="B343" s="56"/>
      <c r="K343" s="56"/>
      <c r="L343" s="56"/>
      <c r="O343" s="56"/>
    </row>
    <row r="344" spans="1:15" ht="13" x14ac:dyDescent="0.15">
      <c r="A344" s="56"/>
      <c r="B344" s="56"/>
      <c r="K344" s="56"/>
      <c r="L344" s="56"/>
      <c r="O344" s="56"/>
    </row>
    <row r="345" spans="1:15" ht="13" x14ac:dyDescent="0.15">
      <c r="A345" s="56"/>
      <c r="B345" s="56"/>
      <c r="K345" s="56"/>
      <c r="L345" s="56"/>
      <c r="O345" s="56"/>
    </row>
    <row r="346" spans="1:15" ht="13" x14ac:dyDescent="0.15">
      <c r="A346" s="56"/>
      <c r="B346" s="56"/>
      <c r="K346" s="56"/>
      <c r="L346" s="56"/>
      <c r="O346" s="56"/>
    </row>
    <row r="347" spans="1:15" ht="13" x14ac:dyDescent="0.15">
      <c r="A347" s="56"/>
      <c r="B347" s="56"/>
      <c r="K347" s="56"/>
      <c r="L347" s="56"/>
      <c r="O347" s="56"/>
    </row>
    <row r="348" spans="1:15" ht="13" x14ac:dyDescent="0.15">
      <c r="A348" s="56"/>
      <c r="B348" s="56"/>
      <c r="K348" s="56"/>
      <c r="L348" s="56"/>
      <c r="O348" s="56"/>
    </row>
    <row r="349" spans="1:15" ht="13" x14ac:dyDescent="0.15">
      <c r="A349" s="56"/>
      <c r="B349" s="56"/>
      <c r="K349" s="56"/>
      <c r="L349" s="56"/>
      <c r="O349" s="56"/>
    </row>
    <row r="350" spans="1:15" ht="13" x14ac:dyDescent="0.15">
      <c r="A350" s="56"/>
      <c r="B350" s="56"/>
      <c r="K350" s="56"/>
      <c r="L350" s="56"/>
      <c r="O350" s="56"/>
    </row>
    <row r="351" spans="1:15" ht="13" x14ac:dyDescent="0.15">
      <c r="A351" s="56"/>
      <c r="B351" s="56"/>
      <c r="K351" s="56"/>
      <c r="L351" s="56"/>
      <c r="O351" s="56"/>
    </row>
    <row r="352" spans="1:15" ht="13" x14ac:dyDescent="0.15">
      <c r="A352" s="56"/>
      <c r="B352" s="56"/>
      <c r="K352" s="56"/>
      <c r="L352" s="56"/>
      <c r="O352" s="56"/>
    </row>
    <row r="353" spans="1:15" ht="13" x14ac:dyDescent="0.15">
      <c r="A353" s="56"/>
      <c r="B353" s="56"/>
      <c r="K353" s="56"/>
      <c r="L353" s="56"/>
      <c r="O353" s="56"/>
    </row>
    <row r="354" spans="1:15" ht="13" x14ac:dyDescent="0.15">
      <c r="A354" s="56"/>
      <c r="B354" s="56"/>
      <c r="K354" s="56"/>
      <c r="L354" s="56"/>
      <c r="O354" s="56"/>
    </row>
    <row r="355" spans="1:15" ht="13" x14ac:dyDescent="0.15">
      <c r="A355" s="56"/>
      <c r="B355" s="56"/>
      <c r="K355" s="56"/>
      <c r="L355" s="56"/>
      <c r="O355" s="56"/>
    </row>
    <row r="356" spans="1:15" ht="13" x14ac:dyDescent="0.15">
      <c r="A356" s="56"/>
      <c r="B356" s="56"/>
      <c r="K356" s="56"/>
      <c r="L356" s="56"/>
      <c r="O356" s="56"/>
    </row>
    <row r="357" spans="1:15" ht="13" x14ac:dyDescent="0.15">
      <c r="A357" s="56"/>
      <c r="B357" s="56"/>
      <c r="K357" s="56"/>
      <c r="L357" s="56"/>
      <c r="O357" s="56"/>
    </row>
    <row r="358" spans="1:15" ht="13" x14ac:dyDescent="0.15">
      <c r="A358" s="56"/>
      <c r="B358" s="56"/>
      <c r="K358" s="56"/>
      <c r="L358" s="56"/>
      <c r="O358" s="56"/>
    </row>
    <row r="359" spans="1:15" ht="13" x14ac:dyDescent="0.15">
      <c r="A359" s="56"/>
      <c r="B359" s="56"/>
      <c r="K359" s="56"/>
      <c r="L359" s="56"/>
      <c r="O359" s="56"/>
    </row>
    <row r="360" spans="1:15" ht="13" x14ac:dyDescent="0.15">
      <c r="A360" s="56"/>
      <c r="B360" s="56"/>
      <c r="K360" s="56"/>
      <c r="L360" s="56"/>
      <c r="O360" s="56"/>
    </row>
    <row r="361" spans="1:15" ht="13" x14ac:dyDescent="0.15">
      <c r="A361" s="56"/>
      <c r="B361" s="56"/>
      <c r="K361" s="56"/>
      <c r="L361" s="56"/>
      <c r="O361" s="56"/>
    </row>
    <row r="362" spans="1:15" ht="13" x14ac:dyDescent="0.15">
      <c r="A362" s="56"/>
      <c r="B362" s="56"/>
      <c r="K362" s="56"/>
      <c r="L362" s="56"/>
      <c r="O362" s="56"/>
    </row>
    <row r="363" spans="1:15" ht="13" x14ac:dyDescent="0.15">
      <c r="A363" s="56"/>
      <c r="B363" s="56"/>
      <c r="K363" s="56"/>
      <c r="L363" s="56"/>
      <c r="O363" s="56"/>
    </row>
    <row r="364" spans="1:15" ht="13" x14ac:dyDescent="0.15">
      <c r="A364" s="56"/>
      <c r="B364" s="56"/>
      <c r="K364" s="56"/>
      <c r="L364" s="56"/>
      <c r="O364" s="56"/>
    </row>
    <row r="365" spans="1:15" ht="13" x14ac:dyDescent="0.15">
      <c r="A365" s="56"/>
      <c r="B365" s="56"/>
      <c r="K365" s="56"/>
      <c r="L365" s="56"/>
      <c r="O365" s="56"/>
    </row>
    <row r="366" spans="1:15" ht="13" x14ac:dyDescent="0.15">
      <c r="A366" s="56"/>
      <c r="B366" s="56"/>
      <c r="K366" s="56"/>
      <c r="L366" s="56"/>
      <c r="O366" s="56"/>
    </row>
    <row r="367" spans="1:15" ht="13" x14ac:dyDescent="0.15">
      <c r="A367" s="56"/>
      <c r="B367" s="56"/>
      <c r="K367" s="56"/>
      <c r="L367" s="56"/>
      <c r="O367" s="56"/>
    </row>
    <row r="368" spans="1:15" ht="13" x14ac:dyDescent="0.15">
      <c r="A368" s="56"/>
      <c r="B368" s="56"/>
      <c r="K368" s="56"/>
      <c r="L368" s="56"/>
      <c r="O368" s="56"/>
    </row>
    <row r="369" spans="1:15" ht="13" x14ac:dyDescent="0.15">
      <c r="A369" s="56"/>
      <c r="B369" s="56"/>
      <c r="K369" s="56"/>
      <c r="L369" s="56"/>
      <c r="O369" s="56"/>
    </row>
    <row r="370" spans="1:15" ht="13" x14ac:dyDescent="0.15">
      <c r="A370" s="56"/>
      <c r="B370" s="56"/>
      <c r="K370" s="56"/>
      <c r="L370" s="56"/>
      <c r="O370" s="56"/>
    </row>
    <row r="371" spans="1:15" ht="13" x14ac:dyDescent="0.15">
      <c r="A371" s="56"/>
      <c r="B371" s="56"/>
      <c r="K371" s="56"/>
      <c r="L371" s="56"/>
      <c r="O371" s="56"/>
    </row>
    <row r="372" spans="1:15" ht="13" x14ac:dyDescent="0.15">
      <c r="A372" s="56"/>
      <c r="B372" s="56"/>
      <c r="K372" s="56"/>
      <c r="L372" s="56"/>
      <c r="O372" s="56"/>
    </row>
    <row r="373" spans="1:15" ht="13" x14ac:dyDescent="0.15">
      <c r="A373" s="56"/>
      <c r="B373" s="56"/>
      <c r="K373" s="56"/>
      <c r="L373" s="56"/>
      <c r="O373" s="56"/>
    </row>
    <row r="374" spans="1:15" ht="13" x14ac:dyDescent="0.15">
      <c r="A374" s="56"/>
      <c r="B374" s="56"/>
      <c r="K374" s="56"/>
      <c r="L374" s="56"/>
      <c r="O374" s="56"/>
    </row>
    <row r="375" spans="1:15" ht="13" x14ac:dyDescent="0.15">
      <c r="A375" s="56"/>
      <c r="B375" s="56"/>
      <c r="K375" s="56"/>
      <c r="L375" s="56"/>
      <c r="O375" s="56"/>
    </row>
    <row r="376" spans="1:15" ht="13" x14ac:dyDescent="0.15">
      <c r="A376" s="56"/>
      <c r="B376" s="56"/>
      <c r="K376" s="56"/>
      <c r="L376" s="56"/>
      <c r="O376" s="56"/>
    </row>
    <row r="377" spans="1:15" ht="13" x14ac:dyDescent="0.15">
      <c r="A377" s="56"/>
      <c r="B377" s="56"/>
      <c r="K377" s="56"/>
      <c r="L377" s="56"/>
      <c r="O377" s="56"/>
    </row>
    <row r="378" spans="1:15" ht="13" x14ac:dyDescent="0.15">
      <c r="A378" s="56"/>
      <c r="B378" s="56"/>
      <c r="K378" s="56"/>
      <c r="L378" s="56"/>
      <c r="O378" s="56"/>
    </row>
    <row r="379" spans="1:15" ht="13" x14ac:dyDescent="0.15">
      <c r="A379" s="56"/>
      <c r="B379" s="56"/>
      <c r="K379" s="56"/>
      <c r="L379" s="56"/>
      <c r="O379" s="56"/>
    </row>
    <row r="380" spans="1:15" ht="13" x14ac:dyDescent="0.15">
      <c r="A380" s="56"/>
      <c r="B380" s="56"/>
      <c r="K380" s="56"/>
      <c r="L380" s="56"/>
      <c r="O380" s="56"/>
    </row>
    <row r="381" spans="1:15" ht="13" x14ac:dyDescent="0.15">
      <c r="A381" s="56"/>
      <c r="B381" s="56"/>
      <c r="K381" s="56"/>
      <c r="L381" s="56"/>
      <c r="O381" s="56"/>
    </row>
    <row r="382" spans="1:15" ht="13" x14ac:dyDescent="0.15">
      <c r="A382" s="56"/>
      <c r="B382" s="56"/>
      <c r="K382" s="56"/>
      <c r="L382" s="56"/>
      <c r="O382" s="56"/>
    </row>
    <row r="383" spans="1:15" ht="13" x14ac:dyDescent="0.15">
      <c r="A383" s="56"/>
      <c r="B383" s="56"/>
      <c r="K383" s="56"/>
      <c r="L383" s="56"/>
      <c r="O383" s="56"/>
    </row>
    <row r="384" spans="1:15" ht="13" x14ac:dyDescent="0.15">
      <c r="A384" s="56"/>
      <c r="B384" s="56"/>
      <c r="K384" s="56"/>
      <c r="L384" s="56"/>
      <c r="O384" s="56"/>
    </row>
    <row r="385" spans="1:15" ht="13" x14ac:dyDescent="0.15">
      <c r="A385" s="56"/>
      <c r="B385" s="56"/>
      <c r="K385" s="56"/>
      <c r="L385" s="56"/>
      <c r="O385" s="56"/>
    </row>
    <row r="386" spans="1:15" ht="13" x14ac:dyDescent="0.15">
      <c r="A386" s="56"/>
      <c r="B386" s="56"/>
      <c r="K386" s="56"/>
      <c r="L386" s="56"/>
      <c r="O386" s="56"/>
    </row>
    <row r="387" spans="1:15" ht="13" x14ac:dyDescent="0.15">
      <c r="A387" s="56"/>
      <c r="B387" s="56"/>
      <c r="K387" s="56"/>
      <c r="L387" s="56"/>
      <c r="O387" s="56"/>
    </row>
    <row r="388" spans="1:15" ht="13" x14ac:dyDescent="0.15">
      <c r="A388" s="56"/>
      <c r="B388" s="56"/>
      <c r="K388" s="56"/>
      <c r="L388" s="56"/>
      <c r="O388" s="56"/>
    </row>
    <row r="389" spans="1:15" ht="13" x14ac:dyDescent="0.15">
      <c r="A389" s="56"/>
      <c r="B389" s="56"/>
      <c r="K389" s="56"/>
      <c r="L389" s="56"/>
      <c r="O389" s="56"/>
    </row>
    <row r="390" spans="1:15" ht="13" x14ac:dyDescent="0.15">
      <c r="A390" s="56"/>
      <c r="B390" s="56"/>
      <c r="K390" s="56"/>
      <c r="L390" s="56"/>
      <c r="O390" s="56"/>
    </row>
    <row r="391" spans="1:15" ht="13" x14ac:dyDescent="0.15">
      <c r="A391" s="56"/>
      <c r="B391" s="56"/>
      <c r="K391" s="56"/>
      <c r="L391" s="56"/>
      <c r="O391" s="56"/>
    </row>
    <row r="392" spans="1:15" ht="13" x14ac:dyDescent="0.15">
      <c r="A392" s="56"/>
      <c r="B392" s="56"/>
      <c r="K392" s="56"/>
      <c r="L392" s="56"/>
      <c r="O392" s="56"/>
    </row>
    <row r="393" spans="1:15" ht="13" x14ac:dyDescent="0.15">
      <c r="A393" s="56"/>
      <c r="B393" s="56"/>
      <c r="K393" s="56"/>
      <c r="L393" s="56"/>
      <c r="O393" s="56"/>
    </row>
    <row r="394" spans="1:15" ht="13" x14ac:dyDescent="0.15">
      <c r="A394" s="56"/>
      <c r="B394" s="56"/>
      <c r="K394" s="56"/>
      <c r="L394" s="56"/>
      <c r="O394" s="56"/>
    </row>
    <row r="395" spans="1:15" ht="13" x14ac:dyDescent="0.15">
      <c r="A395" s="56"/>
      <c r="B395" s="56"/>
      <c r="K395" s="56"/>
      <c r="L395" s="56"/>
      <c r="O395" s="56"/>
    </row>
    <row r="396" spans="1:15" ht="13" x14ac:dyDescent="0.15">
      <c r="A396" s="56"/>
      <c r="B396" s="56"/>
      <c r="K396" s="56"/>
      <c r="L396" s="56"/>
      <c r="O396" s="56"/>
    </row>
    <row r="397" spans="1:15" ht="13" x14ac:dyDescent="0.15">
      <c r="A397" s="56"/>
      <c r="B397" s="56"/>
      <c r="K397" s="56"/>
      <c r="L397" s="56"/>
      <c r="O397" s="56"/>
    </row>
    <row r="398" spans="1:15" ht="13" x14ac:dyDescent="0.15">
      <c r="A398" s="56"/>
      <c r="B398" s="56"/>
      <c r="K398" s="56"/>
      <c r="L398" s="56"/>
      <c r="O398" s="56"/>
    </row>
    <row r="399" spans="1:15" ht="13" x14ac:dyDescent="0.15">
      <c r="A399" s="56"/>
      <c r="B399" s="56"/>
      <c r="K399" s="56"/>
      <c r="L399" s="56"/>
      <c r="O399" s="56"/>
    </row>
    <row r="400" spans="1:15" ht="13" x14ac:dyDescent="0.15">
      <c r="A400" s="56"/>
      <c r="B400" s="56"/>
      <c r="K400" s="56"/>
      <c r="L400" s="56"/>
      <c r="O400" s="56"/>
    </row>
    <row r="401" spans="1:15" ht="13" x14ac:dyDescent="0.15">
      <c r="A401" s="56"/>
      <c r="B401" s="56"/>
      <c r="K401" s="56"/>
      <c r="L401" s="56"/>
      <c r="O401" s="56"/>
    </row>
    <row r="402" spans="1:15" ht="13" x14ac:dyDescent="0.15">
      <c r="A402" s="56"/>
      <c r="B402" s="56"/>
      <c r="K402" s="56"/>
      <c r="L402" s="56"/>
      <c r="O402" s="56"/>
    </row>
    <row r="403" spans="1:15" ht="13" x14ac:dyDescent="0.15">
      <c r="A403" s="56"/>
      <c r="B403" s="56"/>
      <c r="K403" s="56"/>
      <c r="L403" s="56"/>
      <c r="O403" s="56"/>
    </row>
    <row r="404" spans="1:15" ht="13" x14ac:dyDescent="0.15">
      <c r="A404" s="56"/>
      <c r="B404" s="56"/>
      <c r="K404" s="56"/>
      <c r="L404" s="56"/>
      <c r="O404" s="56"/>
    </row>
    <row r="405" spans="1:15" ht="13" x14ac:dyDescent="0.15">
      <c r="A405" s="56"/>
      <c r="B405" s="56"/>
      <c r="K405" s="56"/>
      <c r="L405" s="56"/>
      <c r="O405" s="56"/>
    </row>
    <row r="406" spans="1:15" ht="13" x14ac:dyDescent="0.15">
      <c r="A406" s="56"/>
      <c r="B406" s="56"/>
      <c r="K406" s="56"/>
      <c r="L406" s="56"/>
      <c r="O406" s="56"/>
    </row>
    <row r="407" spans="1:15" ht="13" x14ac:dyDescent="0.15">
      <c r="A407" s="56"/>
      <c r="B407" s="56"/>
      <c r="K407" s="56"/>
      <c r="L407" s="56"/>
      <c r="O407" s="56"/>
    </row>
    <row r="408" spans="1:15" ht="13" x14ac:dyDescent="0.15">
      <c r="A408" s="56"/>
      <c r="B408" s="56"/>
      <c r="K408" s="56"/>
      <c r="L408" s="56"/>
      <c r="O408" s="56"/>
    </row>
    <row r="409" spans="1:15" ht="13" x14ac:dyDescent="0.15">
      <c r="A409" s="56"/>
      <c r="B409" s="56"/>
      <c r="K409" s="56"/>
      <c r="L409" s="56"/>
      <c r="O409" s="56"/>
    </row>
    <row r="410" spans="1:15" ht="13" x14ac:dyDescent="0.15">
      <c r="A410" s="56"/>
      <c r="B410" s="56"/>
      <c r="K410" s="56"/>
      <c r="L410" s="56"/>
      <c r="O410" s="56"/>
    </row>
    <row r="411" spans="1:15" ht="13" x14ac:dyDescent="0.15">
      <c r="A411" s="56"/>
      <c r="B411" s="56"/>
      <c r="K411" s="56"/>
      <c r="L411" s="56"/>
      <c r="O411" s="56"/>
    </row>
    <row r="412" spans="1:15" ht="13" x14ac:dyDescent="0.15">
      <c r="A412" s="56"/>
      <c r="B412" s="56"/>
      <c r="K412" s="56"/>
      <c r="L412" s="56"/>
      <c r="O412" s="56"/>
    </row>
    <row r="413" spans="1:15" ht="13" x14ac:dyDescent="0.15">
      <c r="A413" s="56"/>
      <c r="B413" s="56"/>
      <c r="K413" s="56"/>
      <c r="L413" s="56"/>
      <c r="O413" s="56"/>
    </row>
    <row r="414" spans="1:15" ht="13" x14ac:dyDescent="0.15">
      <c r="A414" s="56"/>
      <c r="B414" s="56"/>
      <c r="K414" s="56"/>
      <c r="L414" s="56"/>
      <c r="O414" s="56"/>
    </row>
    <row r="415" spans="1:15" ht="13" x14ac:dyDescent="0.15">
      <c r="A415" s="56"/>
      <c r="B415" s="56"/>
      <c r="K415" s="56"/>
      <c r="L415" s="56"/>
      <c r="O415" s="56"/>
    </row>
    <row r="416" spans="1:15" ht="13" x14ac:dyDescent="0.15">
      <c r="A416" s="56"/>
      <c r="B416" s="56"/>
      <c r="K416" s="56"/>
      <c r="L416" s="56"/>
      <c r="O416" s="56"/>
    </row>
    <row r="417" spans="1:15" ht="13" x14ac:dyDescent="0.15">
      <c r="A417" s="56"/>
      <c r="B417" s="56"/>
      <c r="K417" s="56"/>
      <c r="L417" s="56"/>
      <c r="O417" s="56"/>
    </row>
    <row r="418" spans="1:15" ht="13" x14ac:dyDescent="0.15">
      <c r="A418" s="56"/>
      <c r="B418" s="56"/>
      <c r="K418" s="56"/>
      <c r="L418" s="56"/>
      <c r="O418" s="56"/>
    </row>
    <row r="419" spans="1:15" ht="13" x14ac:dyDescent="0.15">
      <c r="A419" s="56"/>
      <c r="B419" s="56"/>
      <c r="K419" s="56"/>
      <c r="L419" s="56"/>
      <c r="O419" s="56"/>
    </row>
    <row r="420" spans="1:15" ht="13" x14ac:dyDescent="0.15">
      <c r="A420" s="56"/>
      <c r="B420" s="56"/>
      <c r="K420" s="56"/>
      <c r="L420" s="56"/>
      <c r="O420" s="56"/>
    </row>
    <row r="421" spans="1:15" ht="13" x14ac:dyDescent="0.15">
      <c r="A421" s="56"/>
      <c r="B421" s="56"/>
      <c r="K421" s="56"/>
      <c r="L421" s="56"/>
      <c r="O421" s="56"/>
    </row>
    <row r="422" spans="1:15" ht="13" x14ac:dyDescent="0.15">
      <c r="A422" s="56"/>
      <c r="B422" s="56"/>
      <c r="K422" s="56"/>
      <c r="L422" s="56"/>
      <c r="O422" s="56"/>
    </row>
    <row r="423" spans="1:15" ht="13" x14ac:dyDescent="0.15">
      <c r="A423" s="56"/>
      <c r="B423" s="56"/>
      <c r="K423" s="56"/>
      <c r="L423" s="56"/>
      <c r="O423" s="56"/>
    </row>
    <row r="424" spans="1:15" ht="13" x14ac:dyDescent="0.15">
      <c r="A424" s="56"/>
      <c r="B424" s="56"/>
      <c r="K424" s="56"/>
      <c r="L424" s="56"/>
      <c r="O424" s="56"/>
    </row>
    <row r="425" spans="1:15" ht="13" x14ac:dyDescent="0.15">
      <c r="A425" s="56"/>
      <c r="B425" s="56"/>
      <c r="K425" s="56"/>
      <c r="L425" s="56"/>
      <c r="O425" s="56"/>
    </row>
    <row r="426" spans="1:15" ht="13" x14ac:dyDescent="0.15">
      <c r="A426" s="56"/>
      <c r="B426" s="56"/>
      <c r="K426" s="56"/>
      <c r="L426" s="56"/>
      <c r="O426" s="56"/>
    </row>
    <row r="427" spans="1:15" ht="13" x14ac:dyDescent="0.15">
      <c r="A427" s="56"/>
      <c r="B427" s="56"/>
      <c r="K427" s="56"/>
      <c r="L427" s="56"/>
      <c r="O427" s="56"/>
    </row>
    <row r="428" spans="1:15" ht="13" x14ac:dyDescent="0.15">
      <c r="A428" s="56"/>
      <c r="B428" s="56"/>
      <c r="K428" s="56"/>
      <c r="L428" s="56"/>
      <c r="O428" s="56"/>
    </row>
    <row r="429" spans="1:15" ht="13" x14ac:dyDescent="0.15">
      <c r="A429" s="56"/>
      <c r="B429" s="56"/>
      <c r="K429" s="56"/>
      <c r="L429" s="56"/>
      <c r="O429" s="56"/>
    </row>
    <row r="430" spans="1:15" ht="13" x14ac:dyDescent="0.15">
      <c r="A430" s="56"/>
      <c r="B430" s="56"/>
      <c r="K430" s="56"/>
      <c r="L430" s="56"/>
      <c r="O430" s="56"/>
    </row>
    <row r="431" spans="1:15" ht="13" x14ac:dyDescent="0.15">
      <c r="A431" s="56"/>
      <c r="B431" s="56"/>
      <c r="K431" s="56"/>
      <c r="L431" s="56"/>
      <c r="O431" s="56"/>
    </row>
    <row r="432" spans="1:15" ht="13" x14ac:dyDescent="0.15">
      <c r="A432" s="56"/>
      <c r="B432" s="56"/>
      <c r="K432" s="56"/>
      <c r="L432" s="56"/>
      <c r="O432" s="56"/>
    </row>
    <row r="433" spans="1:15" ht="13" x14ac:dyDescent="0.15">
      <c r="A433" s="56"/>
      <c r="B433" s="56"/>
      <c r="K433" s="56"/>
      <c r="L433" s="56"/>
      <c r="O433" s="56"/>
    </row>
    <row r="434" spans="1:15" ht="13" x14ac:dyDescent="0.15">
      <c r="A434" s="56"/>
      <c r="B434" s="56"/>
      <c r="K434" s="56"/>
      <c r="L434" s="56"/>
      <c r="O434" s="56"/>
    </row>
    <row r="435" spans="1:15" ht="13" x14ac:dyDescent="0.15">
      <c r="A435" s="56"/>
      <c r="B435" s="56"/>
      <c r="K435" s="56"/>
      <c r="L435" s="56"/>
      <c r="O435" s="56"/>
    </row>
    <row r="436" spans="1:15" ht="13" x14ac:dyDescent="0.15">
      <c r="A436" s="56"/>
      <c r="B436" s="56"/>
      <c r="K436" s="56"/>
      <c r="L436" s="56"/>
      <c r="O436" s="56"/>
    </row>
    <row r="437" spans="1:15" ht="13" x14ac:dyDescent="0.15">
      <c r="A437" s="56"/>
      <c r="B437" s="56"/>
      <c r="K437" s="56"/>
      <c r="L437" s="56"/>
      <c r="O437" s="56"/>
    </row>
    <row r="438" spans="1:15" ht="13" x14ac:dyDescent="0.15">
      <c r="A438" s="56"/>
      <c r="B438" s="56"/>
      <c r="K438" s="56"/>
      <c r="L438" s="56"/>
      <c r="O438" s="56"/>
    </row>
    <row r="439" spans="1:15" ht="13" x14ac:dyDescent="0.15">
      <c r="A439" s="56"/>
      <c r="B439" s="56"/>
      <c r="K439" s="56"/>
      <c r="L439" s="56"/>
      <c r="O439" s="56"/>
    </row>
    <row r="440" spans="1:15" ht="13" x14ac:dyDescent="0.15">
      <c r="A440" s="56"/>
      <c r="B440" s="56"/>
      <c r="K440" s="56"/>
      <c r="L440" s="56"/>
      <c r="O440" s="56"/>
    </row>
    <row r="441" spans="1:15" ht="13" x14ac:dyDescent="0.15">
      <c r="A441" s="56"/>
      <c r="B441" s="56"/>
      <c r="K441" s="56"/>
      <c r="L441" s="56"/>
      <c r="O441" s="56"/>
    </row>
    <row r="442" spans="1:15" ht="13" x14ac:dyDescent="0.15">
      <c r="A442" s="56"/>
      <c r="B442" s="56"/>
      <c r="K442" s="56"/>
      <c r="L442" s="56"/>
      <c r="O442" s="56"/>
    </row>
    <row r="443" spans="1:15" ht="13" x14ac:dyDescent="0.15">
      <c r="A443" s="56"/>
      <c r="B443" s="56"/>
      <c r="K443" s="56"/>
      <c r="L443" s="56"/>
      <c r="O443" s="56"/>
    </row>
    <row r="444" spans="1:15" ht="13" x14ac:dyDescent="0.15">
      <c r="A444" s="56"/>
      <c r="B444" s="56"/>
      <c r="K444" s="56"/>
      <c r="L444" s="56"/>
      <c r="O444" s="56"/>
    </row>
    <row r="445" spans="1:15" ht="13" x14ac:dyDescent="0.15">
      <c r="A445" s="56"/>
      <c r="B445" s="56"/>
      <c r="K445" s="56"/>
      <c r="L445" s="56"/>
      <c r="O445" s="56"/>
    </row>
    <row r="446" spans="1:15" ht="13" x14ac:dyDescent="0.15">
      <c r="A446" s="56"/>
      <c r="B446" s="56"/>
      <c r="K446" s="56"/>
      <c r="L446" s="56"/>
      <c r="O446" s="56"/>
    </row>
    <row r="447" spans="1:15" ht="13" x14ac:dyDescent="0.15">
      <c r="A447" s="56"/>
      <c r="B447" s="56"/>
      <c r="K447" s="56"/>
      <c r="L447" s="56"/>
      <c r="O447" s="56"/>
    </row>
    <row r="448" spans="1:15" ht="13" x14ac:dyDescent="0.15">
      <c r="A448" s="56"/>
      <c r="B448" s="56"/>
      <c r="K448" s="56"/>
      <c r="L448" s="56"/>
      <c r="O448" s="56"/>
    </row>
    <row r="449" spans="1:15" ht="13" x14ac:dyDescent="0.15">
      <c r="A449" s="56"/>
      <c r="B449" s="56"/>
      <c r="K449" s="56"/>
      <c r="L449" s="56"/>
      <c r="O449" s="56"/>
    </row>
    <row r="450" spans="1:15" ht="13" x14ac:dyDescent="0.15">
      <c r="A450" s="56"/>
      <c r="B450" s="56"/>
      <c r="K450" s="56"/>
      <c r="L450" s="56"/>
      <c r="O450" s="56"/>
    </row>
    <row r="451" spans="1:15" ht="13" x14ac:dyDescent="0.15">
      <c r="A451" s="56"/>
      <c r="B451" s="56"/>
      <c r="K451" s="56"/>
      <c r="L451" s="56"/>
      <c r="O451" s="56"/>
    </row>
    <row r="452" spans="1:15" ht="13" x14ac:dyDescent="0.15">
      <c r="A452" s="56"/>
      <c r="B452" s="56"/>
      <c r="K452" s="56"/>
      <c r="L452" s="56"/>
      <c r="O452" s="56"/>
    </row>
    <row r="453" spans="1:15" ht="13" x14ac:dyDescent="0.15">
      <c r="A453" s="56"/>
      <c r="B453" s="56"/>
      <c r="K453" s="56"/>
      <c r="L453" s="56"/>
      <c r="O453" s="56"/>
    </row>
    <row r="454" spans="1:15" ht="13" x14ac:dyDescent="0.15">
      <c r="A454" s="56"/>
      <c r="B454" s="56"/>
      <c r="K454" s="56"/>
      <c r="L454" s="56"/>
      <c r="O454" s="56"/>
    </row>
    <row r="455" spans="1:15" ht="13" x14ac:dyDescent="0.15">
      <c r="A455" s="56"/>
      <c r="B455" s="56"/>
      <c r="K455" s="56"/>
      <c r="L455" s="56"/>
      <c r="O455" s="56"/>
    </row>
    <row r="456" spans="1:15" ht="13" x14ac:dyDescent="0.15">
      <c r="A456" s="56"/>
      <c r="B456" s="56"/>
      <c r="K456" s="56"/>
      <c r="L456" s="56"/>
      <c r="O456" s="56"/>
    </row>
    <row r="457" spans="1:15" ht="13" x14ac:dyDescent="0.15">
      <c r="A457" s="56"/>
      <c r="B457" s="56"/>
      <c r="K457" s="56"/>
      <c r="L457" s="56"/>
      <c r="O457" s="56"/>
    </row>
    <row r="458" spans="1:15" ht="13" x14ac:dyDescent="0.15">
      <c r="A458" s="56"/>
      <c r="B458" s="56"/>
      <c r="K458" s="56"/>
      <c r="L458" s="56"/>
      <c r="O458" s="56"/>
    </row>
    <row r="459" spans="1:15" ht="13" x14ac:dyDescent="0.15">
      <c r="A459" s="56"/>
      <c r="B459" s="56"/>
      <c r="K459" s="56"/>
      <c r="L459" s="56"/>
      <c r="O459" s="56"/>
    </row>
    <row r="460" spans="1:15" ht="13" x14ac:dyDescent="0.15">
      <c r="A460" s="56"/>
      <c r="B460" s="56"/>
      <c r="K460" s="56"/>
      <c r="L460" s="56"/>
      <c r="O460" s="56"/>
    </row>
    <row r="461" spans="1:15" ht="13" x14ac:dyDescent="0.15">
      <c r="A461" s="56"/>
      <c r="B461" s="56"/>
      <c r="K461" s="56"/>
      <c r="L461" s="56"/>
      <c r="O461" s="56"/>
    </row>
    <row r="462" spans="1:15" ht="13" x14ac:dyDescent="0.15">
      <c r="A462" s="56"/>
      <c r="B462" s="56"/>
      <c r="K462" s="56"/>
      <c r="L462" s="56"/>
      <c r="O462" s="56"/>
    </row>
    <row r="463" spans="1:15" ht="13" x14ac:dyDescent="0.15">
      <c r="A463" s="56"/>
      <c r="B463" s="56"/>
      <c r="K463" s="56"/>
      <c r="L463" s="56"/>
      <c r="O463" s="56"/>
    </row>
    <row r="464" spans="1:15" ht="13" x14ac:dyDescent="0.15">
      <c r="A464" s="56"/>
      <c r="B464" s="56"/>
      <c r="K464" s="56"/>
      <c r="L464" s="56"/>
      <c r="O464" s="56"/>
    </row>
    <row r="465" spans="1:15" ht="13" x14ac:dyDescent="0.15">
      <c r="A465" s="56"/>
      <c r="B465" s="56"/>
      <c r="K465" s="56"/>
      <c r="L465" s="56"/>
      <c r="O465" s="56"/>
    </row>
    <row r="466" spans="1:15" ht="13" x14ac:dyDescent="0.15">
      <c r="A466" s="56"/>
      <c r="B466" s="56"/>
      <c r="K466" s="56"/>
      <c r="L466" s="56"/>
      <c r="O466" s="56"/>
    </row>
    <row r="467" spans="1:15" ht="13" x14ac:dyDescent="0.15">
      <c r="A467" s="56"/>
      <c r="B467" s="56"/>
      <c r="K467" s="56"/>
      <c r="L467" s="56"/>
      <c r="O467" s="56"/>
    </row>
    <row r="468" spans="1:15" ht="13" x14ac:dyDescent="0.15">
      <c r="A468" s="56"/>
      <c r="B468" s="56"/>
      <c r="K468" s="56"/>
      <c r="L468" s="56"/>
      <c r="O468" s="56"/>
    </row>
    <row r="469" spans="1:15" ht="13" x14ac:dyDescent="0.15">
      <c r="A469" s="56"/>
      <c r="B469" s="56"/>
      <c r="K469" s="56"/>
      <c r="L469" s="56"/>
      <c r="O469" s="56"/>
    </row>
    <row r="470" spans="1:15" ht="13" x14ac:dyDescent="0.15">
      <c r="A470" s="56"/>
      <c r="B470" s="56"/>
      <c r="K470" s="56"/>
      <c r="L470" s="56"/>
      <c r="O470" s="56"/>
    </row>
    <row r="471" spans="1:15" ht="13" x14ac:dyDescent="0.15">
      <c r="A471" s="56"/>
      <c r="B471" s="56"/>
      <c r="K471" s="56"/>
      <c r="L471" s="56"/>
      <c r="O471" s="56"/>
    </row>
    <row r="472" spans="1:15" ht="13" x14ac:dyDescent="0.15">
      <c r="A472" s="56"/>
      <c r="B472" s="56"/>
      <c r="K472" s="56"/>
      <c r="L472" s="56"/>
      <c r="O472" s="56"/>
    </row>
    <row r="473" spans="1:15" ht="13" x14ac:dyDescent="0.15">
      <c r="A473" s="56"/>
      <c r="B473" s="56"/>
      <c r="K473" s="56"/>
      <c r="L473" s="56"/>
      <c r="O473" s="56"/>
    </row>
    <row r="474" spans="1:15" ht="13" x14ac:dyDescent="0.15">
      <c r="A474" s="56"/>
      <c r="B474" s="56"/>
      <c r="K474" s="56"/>
      <c r="L474" s="56"/>
      <c r="O474" s="56"/>
    </row>
    <row r="475" spans="1:15" ht="13" x14ac:dyDescent="0.15">
      <c r="A475" s="56"/>
      <c r="B475" s="56"/>
      <c r="K475" s="56"/>
      <c r="L475" s="56"/>
      <c r="O475" s="56"/>
    </row>
    <row r="476" spans="1:15" ht="13" x14ac:dyDescent="0.15">
      <c r="A476" s="56"/>
      <c r="B476" s="56"/>
      <c r="K476" s="56"/>
      <c r="L476" s="56"/>
      <c r="O476" s="56"/>
    </row>
    <row r="477" spans="1:15" ht="13" x14ac:dyDescent="0.15">
      <c r="A477" s="56"/>
      <c r="B477" s="56"/>
      <c r="K477" s="56"/>
      <c r="L477" s="56"/>
      <c r="O477" s="56"/>
    </row>
    <row r="478" spans="1:15" ht="13" x14ac:dyDescent="0.15">
      <c r="A478" s="56"/>
      <c r="B478" s="56"/>
      <c r="K478" s="56"/>
      <c r="L478" s="56"/>
      <c r="O478" s="56"/>
    </row>
    <row r="479" spans="1:15" ht="13" x14ac:dyDescent="0.15">
      <c r="A479" s="56"/>
      <c r="B479" s="56"/>
      <c r="K479" s="56"/>
      <c r="L479" s="56"/>
      <c r="O479" s="56"/>
    </row>
    <row r="480" spans="1:15" ht="13" x14ac:dyDescent="0.15">
      <c r="A480" s="56"/>
      <c r="B480" s="56"/>
      <c r="K480" s="56"/>
      <c r="L480" s="56"/>
      <c r="O480" s="56"/>
    </row>
    <row r="481" spans="1:15" ht="13" x14ac:dyDescent="0.15">
      <c r="A481" s="56"/>
      <c r="B481" s="56"/>
      <c r="K481" s="56"/>
      <c r="L481" s="56"/>
      <c r="O481" s="56"/>
    </row>
    <row r="482" spans="1:15" ht="13" x14ac:dyDescent="0.15">
      <c r="A482" s="56"/>
      <c r="B482" s="56"/>
      <c r="K482" s="56"/>
      <c r="L482" s="56"/>
      <c r="O482" s="56"/>
    </row>
    <row r="483" spans="1:15" ht="13" x14ac:dyDescent="0.15">
      <c r="A483" s="56"/>
      <c r="B483" s="56"/>
      <c r="K483" s="56"/>
      <c r="L483" s="56"/>
      <c r="O483" s="56"/>
    </row>
    <row r="484" spans="1:15" ht="13" x14ac:dyDescent="0.15">
      <c r="A484" s="56"/>
      <c r="B484" s="56"/>
      <c r="K484" s="56"/>
      <c r="L484" s="56"/>
      <c r="O484" s="56"/>
    </row>
    <row r="485" spans="1:15" ht="13" x14ac:dyDescent="0.15">
      <c r="A485" s="56"/>
      <c r="B485" s="56"/>
      <c r="K485" s="56"/>
      <c r="L485" s="56"/>
      <c r="O485" s="56"/>
    </row>
    <row r="486" spans="1:15" ht="13" x14ac:dyDescent="0.15">
      <c r="A486" s="56"/>
      <c r="B486" s="56"/>
      <c r="K486" s="56"/>
      <c r="L486" s="56"/>
      <c r="O486" s="56"/>
    </row>
    <row r="487" spans="1:15" ht="13" x14ac:dyDescent="0.15">
      <c r="A487" s="56"/>
      <c r="B487" s="56"/>
      <c r="K487" s="56"/>
      <c r="L487" s="56"/>
      <c r="O487" s="56"/>
    </row>
    <row r="488" spans="1:15" ht="13" x14ac:dyDescent="0.15">
      <c r="A488" s="56"/>
      <c r="B488" s="56"/>
      <c r="K488" s="56"/>
      <c r="L488" s="56"/>
      <c r="O488" s="56"/>
    </row>
    <row r="489" spans="1:15" ht="13" x14ac:dyDescent="0.15">
      <c r="A489" s="56"/>
      <c r="B489" s="56"/>
      <c r="K489" s="56"/>
      <c r="L489" s="56"/>
      <c r="O489" s="56"/>
    </row>
    <row r="490" spans="1:15" ht="13" x14ac:dyDescent="0.15">
      <c r="A490" s="56"/>
      <c r="B490" s="56"/>
      <c r="K490" s="56"/>
      <c r="L490" s="56"/>
      <c r="O490" s="56"/>
    </row>
    <row r="491" spans="1:15" ht="13" x14ac:dyDescent="0.15">
      <c r="A491" s="56"/>
      <c r="B491" s="56"/>
      <c r="K491" s="56"/>
      <c r="L491" s="56"/>
      <c r="O491" s="56"/>
    </row>
    <row r="492" spans="1:15" ht="13" x14ac:dyDescent="0.15">
      <c r="A492" s="56"/>
      <c r="B492" s="56"/>
      <c r="K492" s="56"/>
      <c r="L492" s="56"/>
      <c r="O492" s="56"/>
    </row>
    <row r="493" spans="1:15" ht="13" x14ac:dyDescent="0.15">
      <c r="A493" s="56"/>
      <c r="B493" s="56"/>
      <c r="K493" s="56"/>
      <c r="L493" s="56"/>
      <c r="O493" s="56"/>
    </row>
    <row r="494" spans="1:15" ht="13" x14ac:dyDescent="0.15">
      <c r="A494" s="56"/>
      <c r="B494" s="56"/>
      <c r="K494" s="56"/>
      <c r="L494" s="56"/>
      <c r="O494" s="56"/>
    </row>
    <row r="495" spans="1:15" ht="13" x14ac:dyDescent="0.15">
      <c r="A495" s="56"/>
      <c r="B495" s="56"/>
      <c r="K495" s="56"/>
      <c r="L495" s="56"/>
      <c r="O495" s="56"/>
    </row>
    <row r="496" spans="1:15" ht="13" x14ac:dyDescent="0.15">
      <c r="A496" s="56"/>
      <c r="B496" s="56"/>
      <c r="K496" s="56"/>
      <c r="L496" s="56"/>
      <c r="O496" s="56"/>
    </row>
    <row r="497" spans="1:15" ht="13" x14ac:dyDescent="0.15">
      <c r="A497" s="56"/>
      <c r="B497" s="56"/>
      <c r="K497" s="56"/>
      <c r="L497" s="56"/>
      <c r="O497" s="56"/>
    </row>
    <row r="498" spans="1:15" ht="13" x14ac:dyDescent="0.15">
      <c r="A498" s="56"/>
      <c r="B498" s="56"/>
      <c r="K498" s="56"/>
      <c r="L498" s="56"/>
      <c r="O498" s="56"/>
    </row>
    <row r="499" spans="1:15" ht="13" x14ac:dyDescent="0.15">
      <c r="A499" s="56"/>
      <c r="B499" s="56"/>
      <c r="K499" s="56"/>
      <c r="L499" s="56"/>
      <c r="O499" s="56"/>
    </row>
    <row r="500" spans="1:15" ht="13" x14ac:dyDescent="0.15">
      <c r="A500" s="56"/>
      <c r="B500" s="56"/>
      <c r="K500" s="56"/>
      <c r="L500" s="56"/>
      <c r="O500" s="56"/>
    </row>
    <row r="501" spans="1:15" ht="13" x14ac:dyDescent="0.15">
      <c r="A501" s="56"/>
      <c r="B501" s="56"/>
      <c r="K501" s="56"/>
      <c r="L501" s="56"/>
      <c r="O501" s="56"/>
    </row>
    <row r="502" spans="1:15" ht="13" x14ac:dyDescent="0.15">
      <c r="A502" s="56"/>
      <c r="B502" s="56"/>
      <c r="K502" s="56"/>
      <c r="L502" s="56"/>
      <c r="O502" s="56"/>
    </row>
    <row r="503" spans="1:15" ht="13" x14ac:dyDescent="0.15">
      <c r="A503" s="56"/>
      <c r="B503" s="56"/>
      <c r="K503" s="56"/>
      <c r="L503" s="56"/>
      <c r="O503" s="56"/>
    </row>
    <row r="504" spans="1:15" ht="13" x14ac:dyDescent="0.15">
      <c r="A504" s="56"/>
      <c r="B504" s="56"/>
      <c r="K504" s="56"/>
      <c r="L504" s="56"/>
      <c r="O504" s="56"/>
    </row>
    <row r="505" spans="1:15" ht="13" x14ac:dyDescent="0.15">
      <c r="A505" s="56"/>
      <c r="B505" s="56"/>
      <c r="K505" s="56"/>
      <c r="L505" s="56"/>
      <c r="O505" s="56"/>
    </row>
    <row r="506" spans="1:15" ht="13" x14ac:dyDescent="0.15">
      <c r="A506" s="56"/>
      <c r="B506" s="56"/>
      <c r="K506" s="56"/>
      <c r="L506" s="56"/>
      <c r="O506" s="56"/>
    </row>
    <row r="507" spans="1:15" ht="13" x14ac:dyDescent="0.15">
      <c r="A507" s="56"/>
      <c r="B507" s="56"/>
      <c r="K507" s="56"/>
      <c r="L507" s="56"/>
      <c r="O507" s="56"/>
    </row>
    <row r="508" spans="1:15" ht="13" x14ac:dyDescent="0.15">
      <c r="A508" s="56"/>
      <c r="B508" s="56"/>
      <c r="K508" s="56"/>
      <c r="L508" s="56"/>
      <c r="O508" s="56"/>
    </row>
    <row r="509" spans="1:15" ht="13" x14ac:dyDescent="0.15">
      <c r="A509" s="56"/>
      <c r="B509" s="56"/>
      <c r="K509" s="56"/>
      <c r="L509" s="56"/>
      <c r="O509" s="56"/>
    </row>
    <row r="510" spans="1:15" ht="13" x14ac:dyDescent="0.15">
      <c r="A510" s="56"/>
      <c r="B510" s="56"/>
      <c r="K510" s="56"/>
      <c r="L510" s="56"/>
      <c r="O510" s="56"/>
    </row>
    <row r="511" spans="1:15" ht="13" x14ac:dyDescent="0.15">
      <c r="A511" s="56"/>
      <c r="B511" s="56"/>
      <c r="K511" s="56"/>
      <c r="L511" s="56"/>
      <c r="O511" s="56"/>
    </row>
    <row r="512" spans="1:15" ht="13" x14ac:dyDescent="0.15">
      <c r="A512" s="56"/>
      <c r="B512" s="56"/>
      <c r="K512" s="56"/>
      <c r="L512" s="56"/>
      <c r="O512" s="56"/>
    </row>
    <row r="513" spans="1:15" ht="13" x14ac:dyDescent="0.15">
      <c r="A513" s="56"/>
      <c r="B513" s="56"/>
      <c r="K513" s="56"/>
      <c r="L513" s="56"/>
      <c r="O513" s="56"/>
    </row>
    <row r="514" spans="1:15" ht="13" x14ac:dyDescent="0.15">
      <c r="A514" s="56"/>
      <c r="B514" s="56"/>
      <c r="K514" s="56"/>
      <c r="L514" s="56"/>
      <c r="O514" s="56"/>
    </row>
    <row r="515" spans="1:15" ht="13" x14ac:dyDescent="0.15">
      <c r="A515" s="56"/>
      <c r="B515" s="56"/>
      <c r="K515" s="56"/>
      <c r="L515" s="56"/>
      <c r="O515" s="56"/>
    </row>
    <row r="516" spans="1:15" ht="13" x14ac:dyDescent="0.15">
      <c r="A516" s="56"/>
      <c r="B516" s="56"/>
      <c r="K516" s="56"/>
      <c r="L516" s="56"/>
      <c r="O516" s="56"/>
    </row>
    <row r="517" spans="1:15" ht="13" x14ac:dyDescent="0.15">
      <c r="A517" s="56"/>
      <c r="B517" s="56"/>
      <c r="K517" s="56"/>
      <c r="L517" s="56"/>
      <c r="O517" s="56"/>
    </row>
    <row r="518" spans="1:15" ht="13" x14ac:dyDescent="0.15">
      <c r="A518" s="56"/>
      <c r="B518" s="56"/>
      <c r="K518" s="56"/>
      <c r="L518" s="56"/>
      <c r="O518" s="56"/>
    </row>
    <row r="519" spans="1:15" ht="13" x14ac:dyDescent="0.15">
      <c r="A519" s="56"/>
      <c r="B519" s="56"/>
      <c r="K519" s="56"/>
      <c r="L519" s="56"/>
      <c r="O519" s="56"/>
    </row>
    <row r="520" spans="1:15" ht="13" x14ac:dyDescent="0.15">
      <c r="A520" s="56"/>
      <c r="B520" s="56"/>
      <c r="K520" s="56"/>
      <c r="L520" s="56"/>
      <c r="O520" s="56"/>
    </row>
    <row r="521" spans="1:15" ht="13" x14ac:dyDescent="0.15">
      <c r="A521" s="56"/>
      <c r="B521" s="56"/>
      <c r="K521" s="56"/>
      <c r="L521" s="56"/>
      <c r="O521" s="56"/>
    </row>
    <row r="522" spans="1:15" ht="13" x14ac:dyDescent="0.15">
      <c r="A522" s="56"/>
      <c r="B522" s="56"/>
      <c r="K522" s="56"/>
      <c r="L522" s="56"/>
      <c r="O522" s="56"/>
    </row>
    <row r="523" spans="1:15" ht="13" x14ac:dyDescent="0.15">
      <c r="A523" s="56"/>
      <c r="B523" s="56"/>
      <c r="K523" s="56"/>
      <c r="L523" s="56"/>
      <c r="O523" s="56"/>
    </row>
    <row r="524" spans="1:15" ht="13" x14ac:dyDescent="0.15">
      <c r="A524" s="56"/>
      <c r="B524" s="56"/>
      <c r="K524" s="56"/>
      <c r="L524" s="56"/>
      <c r="O524" s="56"/>
    </row>
    <row r="525" spans="1:15" ht="13" x14ac:dyDescent="0.15">
      <c r="A525" s="56"/>
      <c r="B525" s="56"/>
      <c r="K525" s="56"/>
      <c r="L525" s="56"/>
      <c r="O525" s="56"/>
    </row>
    <row r="526" spans="1:15" ht="13" x14ac:dyDescent="0.15">
      <c r="A526" s="56"/>
      <c r="B526" s="56"/>
      <c r="K526" s="56"/>
      <c r="L526" s="56"/>
      <c r="O526" s="56"/>
    </row>
    <row r="527" spans="1:15" ht="13" x14ac:dyDescent="0.15">
      <c r="A527" s="56"/>
      <c r="B527" s="56"/>
      <c r="K527" s="56"/>
      <c r="L527" s="56"/>
      <c r="O527" s="56"/>
    </row>
    <row r="528" spans="1:15" ht="13" x14ac:dyDescent="0.15">
      <c r="A528" s="56"/>
      <c r="B528" s="56"/>
      <c r="K528" s="56"/>
      <c r="L528" s="56"/>
      <c r="O528" s="56"/>
    </row>
    <row r="529" spans="1:15" ht="13" x14ac:dyDescent="0.15">
      <c r="A529" s="56"/>
      <c r="B529" s="56"/>
      <c r="K529" s="56"/>
      <c r="L529" s="56"/>
      <c r="O529" s="56"/>
    </row>
    <row r="530" spans="1:15" ht="13" x14ac:dyDescent="0.15">
      <c r="A530" s="56"/>
      <c r="B530" s="56"/>
      <c r="K530" s="56"/>
      <c r="L530" s="56"/>
      <c r="O530" s="56"/>
    </row>
    <row r="531" spans="1:15" ht="13" x14ac:dyDescent="0.15">
      <c r="A531" s="56"/>
      <c r="B531" s="56"/>
      <c r="K531" s="56"/>
      <c r="L531" s="56"/>
      <c r="O531" s="56"/>
    </row>
    <row r="532" spans="1:15" ht="13" x14ac:dyDescent="0.15">
      <c r="A532" s="56"/>
      <c r="B532" s="56"/>
      <c r="K532" s="56"/>
      <c r="L532" s="56"/>
      <c r="O532" s="56"/>
    </row>
    <row r="533" spans="1:15" ht="13" x14ac:dyDescent="0.15">
      <c r="A533" s="56"/>
      <c r="B533" s="56"/>
      <c r="K533" s="56"/>
      <c r="L533" s="56"/>
      <c r="O533" s="56"/>
    </row>
    <row r="534" spans="1:15" ht="13" x14ac:dyDescent="0.15">
      <c r="A534" s="56"/>
      <c r="B534" s="56"/>
      <c r="K534" s="56"/>
      <c r="L534" s="56"/>
      <c r="O534" s="56"/>
    </row>
    <row r="535" spans="1:15" ht="13" x14ac:dyDescent="0.15">
      <c r="A535" s="56"/>
      <c r="B535" s="56"/>
      <c r="K535" s="56"/>
      <c r="L535" s="56"/>
      <c r="O535" s="56"/>
    </row>
    <row r="536" spans="1:15" ht="13" x14ac:dyDescent="0.15">
      <c r="A536" s="56"/>
      <c r="B536" s="56"/>
      <c r="K536" s="56"/>
      <c r="L536" s="56"/>
      <c r="O536" s="56"/>
    </row>
    <row r="537" spans="1:15" ht="13" x14ac:dyDescent="0.15">
      <c r="A537" s="56"/>
      <c r="B537" s="56"/>
      <c r="K537" s="56"/>
      <c r="L537" s="56"/>
      <c r="O537" s="56"/>
    </row>
    <row r="538" spans="1:15" ht="13" x14ac:dyDescent="0.15">
      <c r="A538" s="56"/>
      <c r="B538" s="56"/>
      <c r="K538" s="56"/>
      <c r="L538" s="56"/>
      <c r="O538" s="56"/>
    </row>
    <row r="539" spans="1:15" ht="13" x14ac:dyDescent="0.15">
      <c r="A539" s="56"/>
      <c r="B539" s="56"/>
      <c r="K539" s="56"/>
      <c r="L539" s="56"/>
      <c r="O539" s="56"/>
    </row>
    <row r="540" spans="1:15" ht="13" x14ac:dyDescent="0.15">
      <c r="A540" s="56"/>
      <c r="B540" s="56"/>
      <c r="K540" s="56"/>
      <c r="L540" s="56"/>
      <c r="O540" s="56"/>
    </row>
    <row r="541" spans="1:15" ht="13" x14ac:dyDescent="0.15">
      <c r="A541" s="56"/>
      <c r="B541" s="56"/>
      <c r="K541" s="56"/>
      <c r="L541" s="56"/>
      <c r="O541" s="56"/>
    </row>
    <row r="542" spans="1:15" ht="13" x14ac:dyDescent="0.15">
      <c r="A542" s="56"/>
      <c r="B542" s="56"/>
      <c r="K542" s="56"/>
      <c r="L542" s="56"/>
      <c r="O542" s="56"/>
    </row>
    <row r="543" spans="1:15" ht="13" x14ac:dyDescent="0.15">
      <c r="A543" s="56"/>
      <c r="B543" s="56"/>
      <c r="K543" s="56"/>
      <c r="L543" s="56"/>
      <c r="O543" s="56"/>
    </row>
    <row r="544" spans="1:15" ht="13" x14ac:dyDescent="0.15">
      <c r="A544" s="56"/>
      <c r="B544" s="56"/>
      <c r="K544" s="56"/>
      <c r="L544" s="56"/>
      <c r="O544" s="56"/>
    </row>
    <row r="545" spans="1:15" ht="13" x14ac:dyDescent="0.15">
      <c r="A545" s="56"/>
      <c r="B545" s="56"/>
      <c r="K545" s="56"/>
      <c r="L545" s="56"/>
      <c r="O545" s="56"/>
    </row>
    <row r="546" spans="1:15" ht="13" x14ac:dyDescent="0.15">
      <c r="A546" s="56"/>
      <c r="B546" s="56"/>
      <c r="K546" s="56"/>
      <c r="L546" s="56"/>
      <c r="O546" s="56"/>
    </row>
    <row r="547" spans="1:15" ht="13" x14ac:dyDescent="0.15">
      <c r="A547" s="56"/>
      <c r="B547" s="56"/>
      <c r="K547" s="56"/>
      <c r="L547" s="56"/>
      <c r="O547" s="56"/>
    </row>
    <row r="548" spans="1:15" ht="13" x14ac:dyDescent="0.15">
      <c r="A548" s="56"/>
      <c r="B548" s="56"/>
      <c r="K548" s="56"/>
      <c r="L548" s="56"/>
      <c r="O548" s="56"/>
    </row>
    <row r="549" spans="1:15" ht="13" x14ac:dyDescent="0.15">
      <c r="A549" s="56"/>
      <c r="B549" s="56"/>
      <c r="K549" s="56"/>
      <c r="L549" s="56"/>
      <c r="O549" s="56"/>
    </row>
    <row r="550" spans="1:15" ht="13" x14ac:dyDescent="0.15">
      <c r="A550" s="56"/>
      <c r="B550" s="56"/>
      <c r="K550" s="56"/>
      <c r="L550" s="56"/>
      <c r="O550" s="56"/>
    </row>
    <row r="551" spans="1:15" ht="13" x14ac:dyDescent="0.15">
      <c r="A551" s="56"/>
      <c r="B551" s="56"/>
      <c r="K551" s="56"/>
      <c r="L551" s="56"/>
      <c r="O551" s="56"/>
    </row>
    <row r="552" spans="1:15" ht="13" x14ac:dyDescent="0.15">
      <c r="A552" s="56"/>
      <c r="B552" s="56"/>
      <c r="K552" s="56"/>
      <c r="L552" s="56"/>
      <c r="O552" s="56"/>
    </row>
    <row r="553" spans="1:15" ht="13" x14ac:dyDescent="0.15">
      <c r="A553" s="56"/>
      <c r="B553" s="56"/>
      <c r="K553" s="56"/>
      <c r="L553" s="56"/>
      <c r="O553" s="56"/>
    </row>
    <row r="554" spans="1:15" ht="13" x14ac:dyDescent="0.15">
      <c r="A554" s="56"/>
      <c r="B554" s="56"/>
      <c r="K554" s="56"/>
      <c r="L554" s="56"/>
      <c r="O554" s="56"/>
    </row>
    <row r="555" spans="1:15" ht="13" x14ac:dyDescent="0.15">
      <c r="A555" s="56"/>
      <c r="B555" s="56"/>
      <c r="K555" s="56"/>
      <c r="L555" s="56"/>
      <c r="O555" s="56"/>
    </row>
    <row r="556" spans="1:15" ht="13" x14ac:dyDescent="0.15">
      <c r="A556" s="56"/>
      <c r="B556" s="56"/>
      <c r="K556" s="56"/>
      <c r="L556" s="56"/>
      <c r="O556" s="56"/>
    </row>
    <row r="557" spans="1:15" ht="13" x14ac:dyDescent="0.15">
      <c r="A557" s="56"/>
      <c r="B557" s="56"/>
      <c r="K557" s="56"/>
      <c r="L557" s="56"/>
      <c r="O557" s="56"/>
    </row>
    <row r="558" spans="1:15" ht="13" x14ac:dyDescent="0.15">
      <c r="A558" s="56"/>
      <c r="B558" s="56"/>
      <c r="K558" s="56"/>
      <c r="L558" s="56"/>
      <c r="O558" s="56"/>
    </row>
    <row r="559" spans="1:15" ht="13" x14ac:dyDescent="0.15">
      <c r="A559" s="56"/>
      <c r="B559" s="56"/>
      <c r="K559" s="56"/>
      <c r="L559" s="56"/>
      <c r="O559" s="56"/>
    </row>
    <row r="560" spans="1:15" ht="13" x14ac:dyDescent="0.15">
      <c r="A560" s="56"/>
      <c r="B560" s="56"/>
      <c r="K560" s="56"/>
      <c r="L560" s="56"/>
      <c r="O560" s="56"/>
    </row>
    <row r="561" spans="1:15" ht="13" x14ac:dyDescent="0.15">
      <c r="A561" s="56"/>
      <c r="B561" s="56"/>
      <c r="K561" s="56"/>
      <c r="L561" s="56"/>
      <c r="O561" s="56"/>
    </row>
    <row r="562" spans="1:15" ht="13" x14ac:dyDescent="0.15">
      <c r="A562" s="56"/>
      <c r="B562" s="56"/>
      <c r="K562" s="56"/>
      <c r="L562" s="56"/>
      <c r="O562" s="56"/>
    </row>
    <row r="563" spans="1:15" ht="13" x14ac:dyDescent="0.15">
      <c r="A563" s="56"/>
      <c r="B563" s="56"/>
      <c r="K563" s="56"/>
      <c r="L563" s="56"/>
      <c r="O563" s="56"/>
    </row>
    <row r="564" spans="1:15" ht="13" x14ac:dyDescent="0.15">
      <c r="A564" s="56"/>
      <c r="B564" s="56"/>
      <c r="K564" s="56"/>
      <c r="L564" s="56"/>
      <c r="O564" s="56"/>
    </row>
    <row r="565" spans="1:15" ht="13" x14ac:dyDescent="0.15">
      <c r="A565" s="56"/>
      <c r="B565" s="56"/>
      <c r="K565" s="56"/>
      <c r="L565" s="56"/>
      <c r="O565" s="56"/>
    </row>
    <row r="566" spans="1:15" ht="13" x14ac:dyDescent="0.15">
      <c r="A566" s="56"/>
      <c r="B566" s="56"/>
      <c r="K566" s="56"/>
      <c r="L566" s="56"/>
      <c r="O566" s="56"/>
    </row>
    <row r="567" spans="1:15" ht="13" x14ac:dyDescent="0.15">
      <c r="A567" s="56"/>
      <c r="B567" s="56"/>
      <c r="K567" s="56"/>
      <c r="L567" s="56"/>
      <c r="O567" s="56"/>
    </row>
    <row r="568" spans="1:15" ht="13" x14ac:dyDescent="0.15">
      <c r="A568" s="56"/>
      <c r="B568" s="56"/>
      <c r="K568" s="56"/>
      <c r="L568" s="56"/>
      <c r="O568" s="56"/>
    </row>
    <row r="569" spans="1:15" ht="13" x14ac:dyDescent="0.15">
      <c r="A569" s="56"/>
      <c r="B569" s="56"/>
      <c r="K569" s="56"/>
      <c r="L569" s="56"/>
      <c r="O569" s="56"/>
    </row>
    <row r="570" spans="1:15" ht="13" x14ac:dyDescent="0.15">
      <c r="A570" s="56"/>
      <c r="B570" s="56"/>
      <c r="K570" s="56"/>
      <c r="L570" s="56"/>
      <c r="O570" s="56"/>
    </row>
    <row r="571" spans="1:15" ht="13" x14ac:dyDescent="0.15">
      <c r="A571" s="56"/>
      <c r="B571" s="56"/>
      <c r="K571" s="56"/>
      <c r="L571" s="56"/>
      <c r="O571" s="56"/>
    </row>
    <row r="572" spans="1:15" ht="13" x14ac:dyDescent="0.15">
      <c r="A572" s="56"/>
      <c r="B572" s="56"/>
      <c r="K572" s="56"/>
      <c r="L572" s="56"/>
      <c r="O572" s="56"/>
    </row>
    <row r="573" spans="1:15" ht="13" x14ac:dyDescent="0.15">
      <c r="A573" s="56"/>
      <c r="B573" s="56"/>
      <c r="K573" s="56"/>
      <c r="L573" s="56"/>
      <c r="O573" s="56"/>
    </row>
    <row r="574" spans="1:15" ht="13" x14ac:dyDescent="0.15">
      <c r="A574" s="56"/>
      <c r="B574" s="56"/>
      <c r="K574" s="56"/>
      <c r="L574" s="56"/>
      <c r="O574" s="56"/>
    </row>
    <row r="575" spans="1:15" ht="13" x14ac:dyDescent="0.15">
      <c r="A575" s="56"/>
      <c r="B575" s="56"/>
      <c r="K575" s="56"/>
      <c r="L575" s="56"/>
      <c r="O575" s="56"/>
    </row>
    <row r="576" spans="1:15" ht="13" x14ac:dyDescent="0.15">
      <c r="A576" s="56"/>
      <c r="B576" s="56"/>
      <c r="K576" s="56"/>
      <c r="L576" s="56"/>
      <c r="O576" s="56"/>
    </row>
    <row r="577" spans="1:15" ht="13" x14ac:dyDescent="0.15">
      <c r="A577" s="56"/>
      <c r="B577" s="56"/>
      <c r="K577" s="56"/>
      <c r="L577" s="56"/>
      <c r="O577" s="56"/>
    </row>
    <row r="578" spans="1:15" ht="13" x14ac:dyDescent="0.15">
      <c r="A578" s="56"/>
      <c r="B578" s="56"/>
      <c r="K578" s="56"/>
      <c r="L578" s="56"/>
      <c r="O578" s="56"/>
    </row>
    <row r="579" spans="1:15" ht="13" x14ac:dyDescent="0.15">
      <c r="A579" s="56"/>
      <c r="B579" s="56"/>
      <c r="K579" s="56"/>
      <c r="L579" s="56"/>
      <c r="O579" s="56"/>
    </row>
    <row r="580" spans="1:15" ht="13" x14ac:dyDescent="0.15">
      <c r="A580" s="56"/>
      <c r="B580" s="56"/>
      <c r="K580" s="56"/>
      <c r="L580" s="56"/>
      <c r="O580" s="56"/>
    </row>
    <row r="581" spans="1:15" ht="13" x14ac:dyDescent="0.15">
      <c r="A581" s="56"/>
      <c r="B581" s="56"/>
      <c r="K581" s="56"/>
      <c r="L581" s="56"/>
      <c r="O581" s="56"/>
    </row>
    <row r="582" spans="1:15" ht="13" x14ac:dyDescent="0.15">
      <c r="A582" s="56"/>
      <c r="B582" s="56"/>
      <c r="K582" s="56"/>
      <c r="L582" s="56"/>
      <c r="O582" s="56"/>
    </row>
    <row r="583" spans="1:15" ht="13" x14ac:dyDescent="0.15">
      <c r="A583" s="56"/>
      <c r="B583" s="56"/>
      <c r="K583" s="56"/>
      <c r="L583" s="56"/>
      <c r="O583" s="56"/>
    </row>
    <row r="584" spans="1:15" ht="13" x14ac:dyDescent="0.15">
      <c r="A584" s="56"/>
      <c r="B584" s="56"/>
      <c r="K584" s="56"/>
      <c r="L584" s="56"/>
      <c r="O584" s="56"/>
    </row>
    <row r="585" spans="1:15" ht="13" x14ac:dyDescent="0.15">
      <c r="A585" s="56"/>
      <c r="B585" s="56"/>
      <c r="K585" s="56"/>
      <c r="L585" s="56"/>
      <c r="O585" s="56"/>
    </row>
    <row r="586" spans="1:15" ht="13" x14ac:dyDescent="0.15">
      <c r="A586" s="56"/>
      <c r="B586" s="56"/>
      <c r="K586" s="56"/>
      <c r="L586" s="56"/>
      <c r="O586" s="56"/>
    </row>
    <row r="587" spans="1:15" ht="13" x14ac:dyDescent="0.15">
      <c r="A587" s="56"/>
      <c r="B587" s="56"/>
      <c r="K587" s="56"/>
      <c r="L587" s="56"/>
      <c r="O587" s="56"/>
    </row>
    <row r="588" spans="1:15" ht="13" x14ac:dyDescent="0.15">
      <c r="A588" s="56"/>
      <c r="B588" s="56"/>
      <c r="K588" s="56"/>
      <c r="L588" s="56"/>
      <c r="O588" s="56"/>
    </row>
    <row r="589" spans="1:15" ht="13" x14ac:dyDescent="0.15">
      <c r="A589" s="56"/>
      <c r="B589" s="56"/>
      <c r="K589" s="56"/>
      <c r="L589" s="56"/>
      <c r="O589" s="56"/>
    </row>
    <row r="590" spans="1:15" ht="13" x14ac:dyDescent="0.15">
      <c r="A590" s="56"/>
      <c r="B590" s="56"/>
      <c r="K590" s="56"/>
      <c r="L590" s="56"/>
      <c r="O590" s="56"/>
    </row>
    <row r="591" spans="1:15" ht="13" x14ac:dyDescent="0.15">
      <c r="A591" s="56"/>
      <c r="B591" s="56"/>
      <c r="K591" s="56"/>
      <c r="L591" s="56"/>
      <c r="O591" s="56"/>
    </row>
    <row r="592" spans="1:15" ht="13" x14ac:dyDescent="0.15">
      <c r="A592" s="56"/>
      <c r="B592" s="56"/>
      <c r="K592" s="56"/>
      <c r="L592" s="56"/>
      <c r="O592" s="56"/>
    </row>
    <row r="593" spans="1:15" ht="13" x14ac:dyDescent="0.15">
      <c r="A593" s="56"/>
      <c r="B593" s="56"/>
      <c r="K593" s="56"/>
      <c r="L593" s="56"/>
      <c r="O593" s="56"/>
    </row>
    <row r="594" spans="1:15" ht="13" x14ac:dyDescent="0.15">
      <c r="A594" s="56"/>
      <c r="B594" s="56"/>
      <c r="K594" s="56"/>
      <c r="L594" s="56"/>
      <c r="O594" s="56"/>
    </row>
    <row r="595" spans="1:15" ht="13" x14ac:dyDescent="0.15">
      <c r="A595" s="56"/>
      <c r="B595" s="56"/>
      <c r="K595" s="56"/>
      <c r="L595" s="56"/>
      <c r="O595" s="56"/>
    </row>
    <row r="596" spans="1:15" ht="13" x14ac:dyDescent="0.15">
      <c r="A596" s="56"/>
      <c r="B596" s="56"/>
      <c r="K596" s="56"/>
      <c r="L596" s="56"/>
      <c r="O596" s="56"/>
    </row>
    <row r="597" spans="1:15" ht="13" x14ac:dyDescent="0.15">
      <c r="A597" s="56"/>
      <c r="B597" s="56"/>
      <c r="K597" s="56"/>
      <c r="L597" s="56"/>
      <c r="O597" s="56"/>
    </row>
    <row r="598" spans="1:15" ht="13" x14ac:dyDescent="0.15">
      <c r="A598" s="56"/>
      <c r="B598" s="56"/>
      <c r="K598" s="56"/>
      <c r="L598" s="56"/>
      <c r="O598" s="56"/>
    </row>
    <row r="599" spans="1:15" ht="13" x14ac:dyDescent="0.15">
      <c r="A599" s="56"/>
      <c r="B599" s="56"/>
      <c r="K599" s="56"/>
      <c r="L599" s="56"/>
      <c r="O599" s="56"/>
    </row>
    <row r="600" spans="1:15" ht="13" x14ac:dyDescent="0.15">
      <c r="A600" s="56"/>
      <c r="B600" s="56"/>
      <c r="K600" s="56"/>
      <c r="L600" s="56"/>
      <c r="O600" s="56"/>
    </row>
    <row r="601" spans="1:15" ht="13" x14ac:dyDescent="0.15">
      <c r="A601" s="56"/>
      <c r="B601" s="56"/>
      <c r="K601" s="56"/>
      <c r="L601" s="56"/>
      <c r="O601" s="56"/>
    </row>
    <row r="602" spans="1:15" ht="13" x14ac:dyDescent="0.15">
      <c r="A602" s="56"/>
      <c r="B602" s="56"/>
      <c r="K602" s="56"/>
      <c r="L602" s="56"/>
      <c r="O602" s="56"/>
    </row>
    <row r="603" spans="1:15" ht="13" x14ac:dyDescent="0.15">
      <c r="A603" s="56"/>
      <c r="B603" s="56"/>
      <c r="K603" s="56"/>
      <c r="L603" s="56"/>
      <c r="O603" s="56"/>
    </row>
    <row r="604" spans="1:15" ht="13" x14ac:dyDescent="0.15">
      <c r="A604" s="56"/>
      <c r="B604" s="56"/>
      <c r="K604" s="56"/>
      <c r="L604" s="56"/>
      <c r="O604" s="56"/>
    </row>
    <row r="605" spans="1:15" ht="13" x14ac:dyDescent="0.15">
      <c r="A605" s="56"/>
      <c r="B605" s="56"/>
      <c r="K605" s="56"/>
      <c r="L605" s="56"/>
      <c r="O605" s="56"/>
    </row>
    <row r="606" spans="1:15" ht="13" x14ac:dyDescent="0.15">
      <c r="A606" s="56"/>
      <c r="B606" s="56"/>
      <c r="K606" s="56"/>
      <c r="L606" s="56"/>
      <c r="O606" s="56"/>
    </row>
    <row r="607" spans="1:15" ht="13" x14ac:dyDescent="0.15">
      <c r="A607" s="56"/>
      <c r="B607" s="56"/>
      <c r="K607" s="56"/>
      <c r="L607" s="56"/>
      <c r="O607" s="56"/>
    </row>
    <row r="608" spans="1:15" ht="13" x14ac:dyDescent="0.15">
      <c r="A608" s="56"/>
      <c r="B608" s="56"/>
      <c r="K608" s="56"/>
      <c r="L608" s="56"/>
      <c r="O608" s="56"/>
    </row>
    <row r="609" spans="1:15" ht="13" x14ac:dyDescent="0.15">
      <c r="A609" s="56"/>
      <c r="B609" s="56"/>
      <c r="K609" s="56"/>
      <c r="L609" s="56"/>
      <c r="O609" s="56"/>
    </row>
    <row r="610" spans="1:15" ht="13" x14ac:dyDescent="0.15">
      <c r="A610" s="56"/>
      <c r="B610" s="56"/>
      <c r="K610" s="56"/>
      <c r="L610" s="56"/>
      <c r="O610" s="56"/>
    </row>
    <row r="611" spans="1:15" ht="13" x14ac:dyDescent="0.15">
      <c r="A611" s="56"/>
      <c r="B611" s="56"/>
      <c r="K611" s="56"/>
      <c r="L611" s="56"/>
      <c r="O611" s="56"/>
    </row>
    <row r="612" spans="1:15" ht="13" x14ac:dyDescent="0.15">
      <c r="A612" s="56"/>
      <c r="B612" s="56"/>
      <c r="K612" s="56"/>
      <c r="L612" s="56"/>
      <c r="O612" s="56"/>
    </row>
    <row r="613" spans="1:15" ht="13" x14ac:dyDescent="0.15">
      <c r="A613" s="56"/>
      <c r="B613" s="56"/>
      <c r="K613" s="56"/>
      <c r="L613" s="56"/>
      <c r="O613" s="56"/>
    </row>
    <row r="614" spans="1:15" ht="13" x14ac:dyDescent="0.15">
      <c r="A614" s="56"/>
      <c r="B614" s="56"/>
      <c r="K614" s="56"/>
      <c r="L614" s="56"/>
      <c r="O614" s="56"/>
    </row>
    <row r="615" spans="1:15" ht="13" x14ac:dyDescent="0.15">
      <c r="A615" s="56"/>
      <c r="B615" s="56"/>
      <c r="K615" s="56"/>
      <c r="L615" s="56"/>
      <c r="O615" s="56"/>
    </row>
    <row r="616" spans="1:15" ht="13" x14ac:dyDescent="0.15">
      <c r="A616" s="56"/>
      <c r="B616" s="56"/>
      <c r="K616" s="56"/>
      <c r="L616" s="56"/>
      <c r="O616" s="56"/>
    </row>
    <row r="617" spans="1:15" ht="13" x14ac:dyDescent="0.15">
      <c r="A617" s="56"/>
      <c r="B617" s="56"/>
      <c r="K617" s="56"/>
      <c r="L617" s="56"/>
      <c r="O617" s="56"/>
    </row>
    <row r="618" spans="1:15" ht="13" x14ac:dyDescent="0.15">
      <c r="A618" s="56"/>
      <c r="B618" s="56"/>
      <c r="K618" s="56"/>
      <c r="L618" s="56"/>
      <c r="O618" s="56"/>
    </row>
    <row r="619" spans="1:15" ht="13" x14ac:dyDescent="0.15">
      <c r="A619" s="56"/>
      <c r="B619" s="56"/>
      <c r="K619" s="56"/>
      <c r="L619" s="56"/>
      <c r="O619" s="56"/>
    </row>
    <row r="620" spans="1:15" ht="13" x14ac:dyDescent="0.15">
      <c r="A620" s="56"/>
      <c r="B620" s="56"/>
      <c r="K620" s="56"/>
      <c r="L620" s="56"/>
      <c r="O620" s="56"/>
    </row>
    <row r="621" spans="1:15" ht="13" x14ac:dyDescent="0.15">
      <c r="A621" s="56"/>
      <c r="B621" s="56"/>
      <c r="K621" s="56"/>
      <c r="L621" s="56"/>
      <c r="O621" s="56"/>
    </row>
    <row r="622" spans="1:15" ht="13" x14ac:dyDescent="0.15">
      <c r="A622" s="56"/>
      <c r="B622" s="56"/>
      <c r="K622" s="56"/>
      <c r="L622" s="56"/>
      <c r="O622" s="56"/>
    </row>
    <row r="623" spans="1:15" ht="13" x14ac:dyDescent="0.15">
      <c r="A623" s="56"/>
      <c r="B623" s="56"/>
      <c r="K623" s="56"/>
      <c r="L623" s="56"/>
      <c r="O623" s="56"/>
    </row>
    <row r="624" spans="1:15" ht="13" x14ac:dyDescent="0.15">
      <c r="A624" s="56"/>
      <c r="B624" s="56"/>
      <c r="K624" s="56"/>
      <c r="L624" s="56"/>
      <c r="O624" s="56"/>
    </row>
    <row r="625" spans="1:15" ht="13" x14ac:dyDescent="0.15">
      <c r="A625" s="56"/>
      <c r="B625" s="56"/>
      <c r="K625" s="56"/>
      <c r="L625" s="56"/>
      <c r="O625" s="56"/>
    </row>
    <row r="626" spans="1:15" ht="13" x14ac:dyDescent="0.15">
      <c r="A626" s="56"/>
      <c r="B626" s="56"/>
      <c r="K626" s="56"/>
      <c r="L626" s="56"/>
      <c r="O626" s="56"/>
    </row>
    <row r="627" spans="1:15" ht="13" x14ac:dyDescent="0.15">
      <c r="A627" s="56"/>
      <c r="B627" s="56"/>
      <c r="K627" s="56"/>
      <c r="L627" s="56"/>
      <c r="O627" s="56"/>
    </row>
    <row r="628" spans="1:15" ht="13" x14ac:dyDescent="0.15">
      <c r="A628" s="56"/>
      <c r="B628" s="56"/>
      <c r="K628" s="56"/>
      <c r="L628" s="56"/>
      <c r="O628" s="56"/>
    </row>
    <row r="629" spans="1:15" ht="13" x14ac:dyDescent="0.15">
      <c r="A629" s="56"/>
      <c r="B629" s="56"/>
      <c r="K629" s="56"/>
      <c r="L629" s="56"/>
      <c r="O629" s="56"/>
    </row>
    <row r="630" spans="1:15" ht="13" x14ac:dyDescent="0.15">
      <c r="A630" s="56"/>
      <c r="B630" s="56"/>
      <c r="K630" s="56"/>
      <c r="L630" s="56"/>
      <c r="O630" s="56"/>
    </row>
    <row r="631" spans="1:15" ht="13" x14ac:dyDescent="0.15">
      <c r="A631" s="56"/>
      <c r="B631" s="56"/>
      <c r="K631" s="56"/>
      <c r="L631" s="56"/>
      <c r="O631" s="56"/>
    </row>
    <row r="632" spans="1:15" ht="13" x14ac:dyDescent="0.15">
      <c r="A632" s="56"/>
      <c r="B632" s="56"/>
      <c r="K632" s="56"/>
      <c r="L632" s="56"/>
      <c r="O632" s="56"/>
    </row>
    <row r="633" spans="1:15" ht="13" x14ac:dyDescent="0.15">
      <c r="A633" s="56"/>
      <c r="B633" s="56"/>
      <c r="K633" s="56"/>
      <c r="L633" s="56"/>
      <c r="O633" s="56"/>
    </row>
    <row r="634" spans="1:15" ht="13" x14ac:dyDescent="0.15">
      <c r="A634" s="56"/>
      <c r="B634" s="56"/>
      <c r="K634" s="56"/>
      <c r="L634" s="56"/>
      <c r="O634" s="56"/>
    </row>
    <row r="635" spans="1:15" ht="13" x14ac:dyDescent="0.15">
      <c r="A635" s="56"/>
      <c r="B635" s="56"/>
      <c r="K635" s="56"/>
      <c r="L635" s="56"/>
      <c r="O635" s="56"/>
    </row>
    <row r="636" spans="1:15" ht="13" x14ac:dyDescent="0.15">
      <c r="A636" s="56"/>
      <c r="B636" s="56"/>
      <c r="K636" s="56"/>
      <c r="L636" s="56"/>
      <c r="O636" s="56"/>
    </row>
    <row r="637" spans="1:15" ht="13" x14ac:dyDescent="0.15">
      <c r="A637" s="56"/>
      <c r="B637" s="56"/>
      <c r="K637" s="56"/>
      <c r="L637" s="56"/>
      <c r="O637" s="56"/>
    </row>
    <row r="638" spans="1:15" ht="13" x14ac:dyDescent="0.15">
      <c r="A638" s="56"/>
      <c r="B638" s="56"/>
      <c r="K638" s="56"/>
      <c r="L638" s="56"/>
      <c r="O638" s="56"/>
    </row>
    <row r="639" spans="1:15" ht="13" x14ac:dyDescent="0.15">
      <c r="A639" s="56"/>
      <c r="B639" s="56"/>
      <c r="K639" s="56"/>
      <c r="L639" s="56"/>
      <c r="O639" s="56"/>
    </row>
    <row r="640" spans="1:15" ht="13" x14ac:dyDescent="0.15">
      <c r="A640" s="56"/>
      <c r="B640" s="56"/>
      <c r="K640" s="56"/>
      <c r="L640" s="56"/>
      <c r="O640" s="56"/>
    </row>
    <row r="641" spans="1:15" ht="13" x14ac:dyDescent="0.15">
      <c r="A641" s="56"/>
      <c r="B641" s="56"/>
      <c r="K641" s="56"/>
      <c r="L641" s="56"/>
      <c r="O641" s="56"/>
    </row>
    <row r="642" spans="1:15" ht="13" x14ac:dyDescent="0.15">
      <c r="A642" s="56"/>
      <c r="B642" s="56"/>
      <c r="K642" s="56"/>
      <c r="L642" s="56"/>
      <c r="O642" s="56"/>
    </row>
    <row r="643" spans="1:15" ht="13" x14ac:dyDescent="0.15">
      <c r="A643" s="56"/>
      <c r="B643" s="56"/>
      <c r="K643" s="56"/>
      <c r="L643" s="56"/>
      <c r="O643" s="56"/>
    </row>
    <row r="644" spans="1:15" ht="13" x14ac:dyDescent="0.15">
      <c r="A644" s="56"/>
      <c r="B644" s="56"/>
      <c r="K644" s="56"/>
      <c r="L644" s="56"/>
      <c r="O644" s="56"/>
    </row>
    <row r="645" spans="1:15" ht="13" x14ac:dyDescent="0.15">
      <c r="A645" s="56"/>
      <c r="B645" s="56"/>
      <c r="K645" s="56"/>
      <c r="L645" s="56"/>
      <c r="O645" s="56"/>
    </row>
    <row r="646" spans="1:15" ht="13" x14ac:dyDescent="0.15">
      <c r="A646" s="56"/>
      <c r="B646" s="56"/>
      <c r="K646" s="56"/>
      <c r="L646" s="56"/>
      <c r="O646" s="56"/>
    </row>
    <row r="647" spans="1:15" ht="13" x14ac:dyDescent="0.15">
      <c r="A647" s="56"/>
      <c r="B647" s="56"/>
      <c r="K647" s="56"/>
      <c r="L647" s="56"/>
      <c r="O647" s="56"/>
    </row>
    <row r="648" spans="1:15" ht="13" x14ac:dyDescent="0.15">
      <c r="A648" s="56"/>
      <c r="B648" s="56"/>
      <c r="K648" s="56"/>
      <c r="L648" s="56"/>
      <c r="O648" s="56"/>
    </row>
    <row r="649" spans="1:15" ht="13" x14ac:dyDescent="0.15">
      <c r="A649" s="56"/>
      <c r="B649" s="56"/>
      <c r="K649" s="56"/>
      <c r="L649" s="56"/>
      <c r="O649" s="56"/>
    </row>
    <row r="650" spans="1:15" ht="13" x14ac:dyDescent="0.15">
      <c r="A650" s="56"/>
      <c r="B650" s="56"/>
      <c r="K650" s="56"/>
      <c r="L650" s="56"/>
      <c r="O650" s="56"/>
    </row>
    <row r="651" spans="1:15" ht="13" x14ac:dyDescent="0.15">
      <c r="A651" s="56"/>
      <c r="B651" s="56"/>
      <c r="K651" s="56"/>
      <c r="L651" s="56"/>
      <c r="O651" s="56"/>
    </row>
    <row r="652" spans="1:15" ht="13" x14ac:dyDescent="0.15">
      <c r="A652" s="56"/>
      <c r="B652" s="56"/>
      <c r="K652" s="56"/>
      <c r="L652" s="56"/>
      <c r="O652" s="56"/>
    </row>
    <row r="653" spans="1:15" ht="13" x14ac:dyDescent="0.15">
      <c r="A653" s="56"/>
      <c r="B653" s="56"/>
      <c r="K653" s="56"/>
      <c r="L653" s="56"/>
      <c r="O653" s="56"/>
    </row>
    <row r="654" spans="1:15" ht="13" x14ac:dyDescent="0.15">
      <c r="A654" s="56"/>
      <c r="B654" s="56"/>
      <c r="K654" s="56"/>
      <c r="L654" s="56"/>
      <c r="O654" s="56"/>
    </row>
    <row r="655" spans="1:15" ht="13" x14ac:dyDescent="0.15">
      <c r="A655" s="56"/>
      <c r="B655" s="56"/>
      <c r="K655" s="56"/>
      <c r="L655" s="56"/>
      <c r="O655" s="56"/>
    </row>
    <row r="656" spans="1:15" ht="13" x14ac:dyDescent="0.15">
      <c r="A656" s="56"/>
      <c r="B656" s="56"/>
      <c r="K656" s="56"/>
      <c r="L656" s="56"/>
      <c r="O656" s="56"/>
    </row>
    <row r="657" spans="1:15" ht="13" x14ac:dyDescent="0.15">
      <c r="A657" s="56"/>
      <c r="B657" s="56"/>
      <c r="K657" s="56"/>
      <c r="L657" s="56"/>
      <c r="O657" s="56"/>
    </row>
    <row r="658" spans="1:15" ht="13" x14ac:dyDescent="0.15">
      <c r="A658" s="56"/>
      <c r="B658" s="56"/>
      <c r="K658" s="56"/>
      <c r="L658" s="56"/>
      <c r="O658" s="56"/>
    </row>
    <row r="659" spans="1:15" ht="13" x14ac:dyDescent="0.15">
      <c r="A659" s="56"/>
      <c r="B659" s="56"/>
      <c r="K659" s="56"/>
      <c r="L659" s="56"/>
      <c r="O659" s="56"/>
    </row>
    <row r="660" spans="1:15" ht="13" x14ac:dyDescent="0.15">
      <c r="A660" s="56"/>
      <c r="B660" s="56"/>
      <c r="K660" s="56"/>
      <c r="L660" s="56"/>
      <c r="O660" s="56"/>
    </row>
    <row r="661" spans="1:15" ht="13" x14ac:dyDescent="0.15">
      <c r="A661" s="56"/>
      <c r="B661" s="56"/>
      <c r="K661" s="56"/>
      <c r="L661" s="56"/>
      <c r="O661" s="56"/>
    </row>
    <row r="662" spans="1:15" ht="13" x14ac:dyDescent="0.15">
      <c r="A662" s="56"/>
      <c r="B662" s="56"/>
      <c r="K662" s="56"/>
      <c r="L662" s="56"/>
      <c r="O662" s="56"/>
    </row>
    <row r="663" spans="1:15" ht="13" x14ac:dyDescent="0.15">
      <c r="A663" s="56"/>
      <c r="B663" s="56"/>
      <c r="K663" s="56"/>
      <c r="L663" s="56"/>
      <c r="O663" s="56"/>
    </row>
    <row r="664" spans="1:15" ht="13" x14ac:dyDescent="0.15">
      <c r="A664" s="56"/>
      <c r="B664" s="56"/>
      <c r="K664" s="56"/>
      <c r="L664" s="56"/>
      <c r="O664" s="56"/>
    </row>
    <row r="665" spans="1:15" ht="13" x14ac:dyDescent="0.15">
      <c r="A665" s="56"/>
      <c r="B665" s="56"/>
      <c r="K665" s="56"/>
      <c r="L665" s="56"/>
      <c r="O665" s="56"/>
    </row>
    <row r="666" spans="1:15" ht="13" x14ac:dyDescent="0.15">
      <c r="A666" s="56"/>
      <c r="B666" s="56"/>
      <c r="K666" s="56"/>
      <c r="L666" s="56"/>
      <c r="O666" s="56"/>
    </row>
    <row r="667" spans="1:15" ht="13" x14ac:dyDescent="0.15">
      <c r="A667" s="56"/>
      <c r="B667" s="56"/>
      <c r="K667" s="56"/>
      <c r="L667" s="56"/>
      <c r="O667" s="56"/>
    </row>
    <row r="668" spans="1:15" ht="13" x14ac:dyDescent="0.15">
      <c r="A668" s="56"/>
      <c r="B668" s="56"/>
      <c r="K668" s="56"/>
      <c r="L668" s="56"/>
      <c r="O668" s="56"/>
    </row>
    <row r="669" spans="1:15" ht="13" x14ac:dyDescent="0.15">
      <c r="A669" s="56"/>
      <c r="B669" s="56"/>
      <c r="K669" s="56"/>
      <c r="L669" s="56"/>
      <c r="O669" s="56"/>
    </row>
    <row r="670" spans="1:15" ht="13" x14ac:dyDescent="0.15">
      <c r="A670" s="56"/>
      <c r="B670" s="56"/>
      <c r="K670" s="56"/>
      <c r="L670" s="56"/>
      <c r="O670" s="56"/>
    </row>
    <row r="671" spans="1:15" ht="13" x14ac:dyDescent="0.15">
      <c r="A671" s="56"/>
      <c r="B671" s="56"/>
      <c r="K671" s="56"/>
      <c r="L671" s="56"/>
      <c r="O671" s="56"/>
    </row>
    <row r="672" spans="1:15" ht="13" x14ac:dyDescent="0.15">
      <c r="A672" s="56"/>
      <c r="B672" s="56"/>
      <c r="K672" s="56"/>
      <c r="L672" s="56"/>
      <c r="O672" s="56"/>
    </row>
    <row r="673" spans="1:15" ht="13" x14ac:dyDescent="0.15">
      <c r="A673" s="56"/>
      <c r="B673" s="56"/>
      <c r="K673" s="56"/>
      <c r="L673" s="56"/>
      <c r="O673" s="56"/>
    </row>
    <row r="674" spans="1:15" ht="13" x14ac:dyDescent="0.15">
      <c r="A674" s="56"/>
      <c r="B674" s="56"/>
      <c r="K674" s="56"/>
      <c r="L674" s="56"/>
      <c r="O674" s="56"/>
    </row>
    <row r="675" spans="1:15" ht="13" x14ac:dyDescent="0.15">
      <c r="A675" s="56"/>
      <c r="B675" s="56"/>
      <c r="K675" s="56"/>
      <c r="L675" s="56"/>
      <c r="O675" s="56"/>
    </row>
    <row r="676" spans="1:15" ht="13" x14ac:dyDescent="0.15">
      <c r="A676" s="56"/>
      <c r="B676" s="56"/>
      <c r="K676" s="56"/>
      <c r="L676" s="56"/>
      <c r="O676" s="56"/>
    </row>
    <row r="677" spans="1:15" ht="13" x14ac:dyDescent="0.15">
      <c r="A677" s="56"/>
      <c r="B677" s="56"/>
      <c r="K677" s="56"/>
      <c r="L677" s="56"/>
      <c r="O677" s="56"/>
    </row>
    <row r="678" spans="1:15" ht="13" x14ac:dyDescent="0.15">
      <c r="A678" s="56"/>
      <c r="B678" s="56"/>
      <c r="K678" s="56"/>
      <c r="L678" s="56"/>
      <c r="O678" s="56"/>
    </row>
    <row r="679" spans="1:15" ht="13" x14ac:dyDescent="0.15">
      <c r="A679" s="56"/>
      <c r="B679" s="56"/>
      <c r="K679" s="56"/>
      <c r="L679" s="56"/>
      <c r="O679" s="56"/>
    </row>
    <row r="680" spans="1:15" ht="13" x14ac:dyDescent="0.15">
      <c r="A680" s="56"/>
      <c r="B680" s="56"/>
      <c r="K680" s="56"/>
      <c r="L680" s="56"/>
      <c r="O680" s="56"/>
    </row>
    <row r="681" spans="1:15" ht="13" x14ac:dyDescent="0.15">
      <c r="A681" s="56"/>
      <c r="B681" s="56"/>
      <c r="K681" s="56"/>
      <c r="L681" s="56"/>
      <c r="O681" s="56"/>
    </row>
    <row r="682" spans="1:15" ht="13" x14ac:dyDescent="0.15">
      <c r="A682" s="56"/>
      <c r="B682" s="56"/>
      <c r="K682" s="56"/>
      <c r="L682" s="56"/>
      <c r="O682" s="56"/>
    </row>
    <row r="683" spans="1:15" ht="13" x14ac:dyDescent="0.15">
      <c r="A683" s="56"/>
      <c r="B683" s="56"/>
      <c r="K683" s="56"/>
      <c r="L683" s="56"/>
      <c r="O683" s="56"/>
    </row>
    <row r="684" spans="1:15" ht="13" x14ac:dyDescent="0.15">
      <c r="A684" s="56"/>
      <c r="B684" s="56"/>
      <c r="K684" s="56"/>
      <c r="L684" s="56"/>
      <c r="O684" s="56"/>
    </row>
    <row r="685" spans="1:15" ht="13" x14ac:dyDescent="0.15">
      <c r="A685" s="56"/>
      <c r="B685" s="56"/>
      <c r="K685" s="56"/>
      <c r="L685" s="56"/>
      <c r="O685" s="56"/>
    </row>
    <row r="686" spans="1:15" ht="13" x14ac:dyDescent="0.15">
      <c r="A686" s="56"/>
      <c r="B686" s="56"/>
      <c r="K686" s="56"/>
      <c r="L686" s="56"/>
      <c r="O686" s="56"/>
    </row>
    <row r="687" spans="1:15" ht="13" x14ac:dyDescent="0.15">
      <c r="A687" s="56"/>
      <c r="B687" s="56"/>
      <c r="K687" s="56"/>
      <c r="L687" s="56"/>
      <c r="O687" s="56"/>
    </row>
    <row r="688" spans="1:15" ht="13" x14ac:dyDescent="0.15">
      <c r="A688" s="56"/>
      <c r="B688" s="56"/>
      <c r="K688" s="56"/>
      <c r="L688" s="56"/>
      <c r="O688" s="56"/>
    </row>
    <row r="689" spans="1:15" ht="13" x14ac:dyDescent="0.15">
      <c r="A689" s="56"/>
      <c r="B689" s="56"/>
      <c r="K689" s="56"/>
      <c r="L689" s="56"/>
      <c r="O689" s="56"/>
    </row>
    <row r="690" spans="1:15" ht="13" x14ac:dyDescent="0.15">
      <c r="A690" s="56"/>
      <c r="B690" s="56"/>
      <c r="K690" s="56"/>
      <c r="L690" s="56"/>
      <c r="O690" s="56"/>
    </row>
    <row r="691" spans="1:15" ht="13" x14ac:dyDescent="0.15">
      <c r="A691" s="56"/>
      <c r="B691" s="56"/>
      <c r="K691" s="56"/>
      <c r="L691" s="56"/>
      <c r="O691" s="56"/>
    </row>
    <row r="692" spans="1:15" ht="13" x14ac:dyDescent="0.15">
      <c r="A692" s="56"/>
      <c r="B692" s="56"/>
      <c r="K692" s="56"/>
      <c r="L692" s="56"/>
      <c r="O692" s="56"/>
    </row>
    <row r="693" spans="1:15" ht="13" x14ac:dyDescent="0.15">
      <c r="A693" s="56"/>
      <c r="B693" s="56"/>
      <c r="K693" s="56"/>
      <c r="L693" s="56"/>
      <c r="O693" s="56"/>
    </row>
    <row r="694" spans="1:15" ht="13" x14ac:dyDescent="0.15">
      <c r="A694" s="56"/>
      <c r="B694" s="56"/>
      <c r="K694" s="56"/>
      <c r="L694" s="56"/>
      <c r="O694" s="56"/>
    </row>
    <row r="695" spans="1:15" ht="13" x14ac:dyDescent="0.15">
      <c r="A695" s="56"/>
      <c r="B695" s="56"/>
      <c r="K695" s="56"/>
      <c r="L695" s="56"/>
      <c r="O695" s="56"/>
    </row>
    <row r="696" spans="1:15" ht="13" x14ac:dyDescent="0.15">
      <c r="A696" s="56"/>
      <c r="B696" s="56"/>
      <c r="K696" s="56"/>
      <c r="L696" s="56"/>
      <c r="O696" s="56"/>
    </row>
    <row r="697" spans="1:15" ht="13" x14ac:dyDescent="0.15">
      <c r="A697" s="56"/>
      <c r="B697" s="56"/>
      <c r="K697" s="56"/>
      <c r="L697" s="56"/>
      <c r="O697" s="56"/>
    </row>
    <row r="698" spans="1:15" ht="13" x14ac:dyDescent="0.15">
      <c r="A698" s="56"/>
      <c r="B698" s="56"/>
      <c r="K698" s="56"/>
      <c r="L698" s="56"/>
      <c r="O698" s="56"/>
    </row>
    <row r="699" spans="1:15" ht="13" x14ac:dyDescent="0.15">
      <c r="A699" s="56"/>
      <c r="B699" s="56"/>
      <c r="K699" s="56"/>
      <c r="L699" s="56"/>
      <c r="O699" s="56"/>
    </row>
    <row r="700" spans="1:15" ht="13" x14ac:dyDescent="0.15">
      <c r="A700" s="56"/>
      <c r="B700" s="56"/>
      <c r="K700" s="56"/>
      <c r="L700" s="56"/>
      <c r="O700" s="56"/>
    </row>
    <row r="701" spans="1:15" ht="13" x14ac:dyDescent="0.15">
      <c r="A701" s="56"/>
      <c r="B701" s="56"/>
      <c r="K701" s="56"/>
      <c r="L701" s="56"/>
      <c r="O701" s="56"/>
    </row>
    <row r="702" spans="1:15" ht="13" x14ac:dyDescent="0.15">
      <c r="A702" s="56"/>
      <c r="B702" s="56"/>
      <c r="K702" s="56"/>
      <c r="L702" s="56"/>
      <c r="O702" s="56"/>
    </row>
    <row r="703" spans="1:15" ht="13" x14ac:dyDescent="0.15">
      <c r="A703" s="56"/>
      <c r="B703" s="56"/>
      <c r="K703" s="56"/>
      <c r="L703" s="56"/>
      <c r="O703" s="56"/>
    </row>
    <row r="704" spans="1:15" ht="13" x14ac:dyDescent="0.15">
      <c r="A704" s="56"/>
      <c r="B704" s="56"/>
      <c r="K704" s="56"/>
      <c r="L704" s="56"/>
      <c r="O704" s="56"/>
    </row>
    <row r="705" spans="1:15" ht="13" x14ac:dyDescent="0.15">
      <c r="A705" s="56"/>
      <c r="B705" s="56"/>
      <c r="K705" s="56"/>
      <c r="L705" s="56"/>
      <c r="O705" s="56"/>
    </row>
    <row r="706" spans="1:15" ht="13" x14ac:dyDescent="0.15">
      <c r="A706" s="56"/>
      <c r="B706" s="56"/>
      <c r="K706" s="56"/>
      <c r="L706" s="56"/>
      <c r="O706" s="56"/>
    </row>
    <row r="707" spans="1:15" ht="13" x14ac:dyDescent="0.15">
      <c r="A707" s="56"/>
      <c r="B707" s="56"/>
      <c r="K707" s="56"/>
      <c r="L707" s="56"/>
      <c r="O707" s="56"/>
    </row>
    <row r="708" spans="1:15" ht="13" x14ac:dyDescent="0.15">
      <c r="A708" s="56"/>
      <c r="B708" s="56"/>
      <c r="K708" s="56"/>
      <c r="L708" s="56"/>
      <c r="O708" s="56"/>
    </row>
    <row r="709" spans="1:15" ht="13" x14ac:dyDescent="0.15">
      <c r="A709" s="56"/>
      <c r="B709" s="56"/>
      <c r="K709" s="56"/>
      <c r="L709" s="56"/>
      <c r="O709" s="56"/>
    </row>
    <row r="710" spans="1:15" ht="13" x14ac:dyDescent="0.15">
      <c r="A710" s="56"/>
      <c r="B710" s="56"/>
      <c r="K710" s="56"/>
      <c r="L710" s="56"/>
      <c r="O710" s="56"/>
    </row>
    <row r="711" spans="1:15" ht="13" x14ac:dyDescent="0.15">
      <c r="A711" s="56"/>
      <c r="B711" s="56"/>
      <c r="K711" s="56"/>
      <c r="L711" s="56"/>
      <c r="O711" s="56"/>
    </row>
    <row r="712" spans="1:15" ht="13" x14ac:dyDescent="0.15">
      <c r="A712" s="56"/>
      <c r="B712" s="56"/>
      <c r="K712" s="56"/>
      <c r="L712" s="56"/>
      <c r="O712" s="56"/>
    </row>
    <row r="713" spans="1:15" ht="13" x14ac:dyDescent="0.15">
      <c r="A713" s="56"/>
      <c r="B713" s="56"/>
      <c r="K713" s="56"/>
      <c r="L713" s="56"/>
      <c r="O713" s="56"/>
    </row>
    <row r="714" spans="1:15" ht="13" x14ac:dyDescent="0.15">
      <c r="A714" s="56"/>
      <c r="B714" s="56"/>
      <c r="K714" s="56"/>
      <c r="L714" s="56"/>
      <c r="O714" s="56"/>
    </row>
    <row r="715" spans="1:15" ht="13" x14ac:dyDescent="0.15">
      <c r="A715" s="56"/>
      <c r="B715" s="56"/>
      <c r="K715" s="56"/>
      <c r="L715" s="56"/>
      <c r="O715" s="56"/>
    </row>
    <row r="716" spans="1:15" ht="13" x14ac:dyDescent="0.15">
      <c r="A716" s="56"/>
      <c r="B716" s="56"/>
      <c r="K716" s="56"/>
      <c r="L716" s="56"/>
      <c r="O716" s="56"/>
    </row>
    <row r="717" spans="1:15" ht="13" x14ac:dyDescent="0.15">
      <c r="A717" s="56"/>
      <c r="B717" s="56"/>
      <c r="K717" s="56"/>
      <c r="L717" s="56"/>
      <c r="O717" s="56"/>
    </row>
    <row r="718" spans="1:15" ht="13" x14ac:dyDescent="0.15">
      <c r="A718" s="56"/>
      <c r="B718" s="56"/>
      <c r="K718" s="56"/>
      <c r="L718" s="56"/>
      <c r="O718" s="56"/>
    </row>
    <row r="719" spans="1:15" ht="13" x14ac:dyDescent="0.15">
      <c r="A719" s="56"/>
      <c r="B719" s="56"/>
      <c r="K719" s="56"/>
      <c r="L719" s="56"/>
      <c r="O719" s="56"/>
    </row>
    <row r="720" spans="1:15" ht="13" x14ac:dyDescent="0.15">
      <c r="A720" s="56"/>
      <c r="B720" s="56"/>
      <c r="K720" s="56"/>
      <c r="L720" s="56"/>
      <c r="O720" s="56"/>
    </row>
    <row r="721" spans="1:15" ht="13" x14ac:dyDescent="0.15">
      <c r="A721" s="56"/>
      <c r="B721" s="56"/>
      <c r="K721" s="56"/>
      <c r="L721" s="56"/>
      <c r="O721" s="56"/>
    </row>
    <row r="722" spans="1:15" ht="13" x14ac:dyDescent="0.15">
      <c r="A722" s="56"/>
      <c r="B722" s="56"/>
      <c r="K722" s="56"/>
      <c r="L722" s="56"/>
      <c r="O722" s="56"/>
    </row>
    <row r="723" spans="1:15" ht="13" x14ac:dyDescent="0.15">
      <c r="A723" s="56"/>
      <c r="B723" s="56"/>
      <c r="K723" s="56"/>
      <c r="L723" s="56"/>
      <c r="O723" s="56"/>
    </row>
    <row r="724" spans="1:15" ht="13" x14ac:dyDescent="0.15">
      <c r="A724" s="56"/>
      <c r="B724" s="56"/>
      <c r="K724" s="56"/>
      <c r="L724" s="56"/>
      <c r="O724" s="56"/>
    </row>
    <row r="725" spans="1:15" ht="13" x14ac:dyDescent="0.15">
      <c r="A725" s="56"/>
      <c r="B725" s="56"/>
      <c r="K725" s="56"/>
      <c r="L725" s="56"/>
      <c r="O725" s="56"/>
    </row>
    <row r="726" spans="1:15" ht="13" x14ac:dyDescent="0.15">
      <c r="A726" s="56"/>
      <c r="B726" s="56"/>
      <c r="K726" s="56"/>
      <c r="L726" s="56"/>
      <c r="O726" s="56"/>
    </row>
    <row r="727" spans="1:15" ht="13" x14ac:dyDescent="0.15">
      <c r="A727" s="56"/>
      <c r="B727" s="56"/>
      <c r="K727" s="56"/>
      <c r="L727" s="56"/>
      <c r="O727" s="56"/>
    </row>
    <row r="728" spans="1:15" ht="13" x14ac:dyDescent="0.15">
      <c r="A728" s="56"/>
      <c r="B728" s="56"/>
      <c r="K728" s="56"/>
      <c r="L728" s="56"/>
      <c r="O728" s="56"/>
    </row>
    <row r="729" spans="1:15" ht="13" x14ac:dyDescent="0.15">
      <c r="A729" s="56"/>
      <c r="B729" s="56"/>
      <c r="K729" s="56"/>
      <c r="L729" s="56"/>
      <c r="O729" s="56"/>
    </row>
    <row r="730" spans="1:15" ht="13" x14ac:dyDescent="0.15">
      <c r="A730" s="56"/>
      <c r="B730" s="56"/>
      <c r="K730" s="56"/>
      <c r="L730" s="56"/>
      <c r="O730" s="56"/>
    </row>
    <row r="731" spans="1:15" ht="13" x14ac:dyDescent="0.15">
      <c r="A731" s="56"/>
      <c r="B731" s="56"/>
      <c r="K731" s="56"/>
      <c r="L731" s="56"/>
      <c r="O731" s="56"/>
    </row>
    <row r="732" spans="1:15" ht="13" x14ac:dyDescent="0.15">
      <c r="A732" s="56"/>
      <c r="B732" s="56"/>
      <c r="K732" s="56"/>
      <c r="L732" s="56"/>
      <c r="O732" s="56"/>
    </row>
    <row r="733" spans="1:15" ht="13" x14ac:dyDescent="0.15">
      <c r="A733" s="56"/>
      <c r="B733" s="56"/>
      <c r="K733" s="56"/>
      <c r="L733" s="56"/>
      <c r="O733" s="56"/>
    </row>
    <row r="734" spans="1:15" ht="13" x14ac:dyDescent="0.15">
      <c r="A734" s="56"/>
      <c r="B734" s="56"/>
      <c r="K734" s="56"/>
      <c r="L734" s="56"/>
      <c r="O734" s="56"/>
    </row>
    <row r="735" spans="1:15" ht="13" x14ac:dyDescent="0.15">
      <c r="A735" s="56"/>
      <c r="B735" s="56"/>
      <c r="K735" s="56"/>
      <c r="L735" s="56"/>
      <c r="O735" s="56"/>
    </row>
    <row r="736" spans="1:15" ht="13" x14ac:dyDescent="0.15">
      <c r="A736" s="56"/>
      <c r="B736" s="56"/>
      <c r="K736" s="56"/>
      <c r="L736" s="56"/>
      <c r="O736" s="56"/>
    </row>
    <row r="737" spans="1:15" ht="13" x14ac:dyDescent="0.15">
      <c r="A737" s="56"/>
      <c r="B737" s="56"/>
      <c r="K737" s="56"/>
      <c r="L737" s="56"/>
      <c r="O737" s="56"/>
    </row>
    <row r="738" spans="1:15" ht="13" x14ac:dyDescent="0.15">
      <c r="A738" s="56"/>
      <c r="B738" s="56"/>
      <c r="K738" s="56"/>
      <c r="L738" s="56"/>
      <c r="O738" s="56"/>
    </row>
    <row r="739" spans="1:15" ht="13" x14ac:dyDescent="0.15">
      <c r="A739" s="56"/>
      <c r="B739" s="56"/>
      <c r="K739" s="56"/>
      <c r="L739" s="56"/>
      <c r="O739" s="56"/>
    </row>
    <row r="740" spans="1:15" ht="13" x14ac:dyDescent="0.15">
      <c r="A740" s="56"/>
      <c r="B740" s="56"/>
      <c r="K740" s="56"/>
      <c r="L740" s="56"/>
      <c r="O740" s="56"/>
    </row>
    <row r="741" spans="1:15" ht="13" x14ac:dyDescent="0.15">
      <c r="A741" s="56"/>
      <c r="B741" s="56"/>
      <c r="K741" s="56"/>
      <c r="L741" s="56"/>
      <c r="O741" s="56"/>
    </row>
    <row r="742" spans="1:15" ht="13" x14ac:dyDescent="0.15">
      <c r="A742" s="56"/>
      <c r="B742" s="56"/>
      <c r="K742" s="56"/>
      <c r="L742" s="56"/>
      <c r="O742" s="56"/>
    </row>
    <row r="743" spans="1:15" ht="13" x14ac:dyDescent="0.15">
      <c r="A743" s="56"/>
      <c r="B743" s="56"/>
      <c r="K743" s="56"/>
      <c r="L743" s="56"/>
      <c r="O743" s="56"/>
    </row>
    <row r="744" spans="1:15" ht="13" x14ac:dyDescent="0.15">
      <c r="A744" s="56"/>
      <c r="B744" s="56"/>
      <c r="K744" s="56"/>
      <c r="L744" s="56"/>
      <c r="O744" s="56"/>
    </row>
    <row r="745" spans="1:15" ht="13" x14ac:dyDescent="0.15">
      <c r="A745" s="56"/>
      <c r="B745" s="56"/>
      <c r="K745" s="56"/>
      <c r="L745" s="56"/>
      <c r="O745" s="56"/>
    </row>
    <row r="746" spans="1:15" ht="13" x14ac:dyDescent="0.15">
      <c r="A746" s="56"/>
      <c r="B746" s="56"/>
      <c r="K746" s="56"/>
      <c r="L746" s="56"/>
      <c r="O746" s="56"/>
    </row>
    <row r="747" spans="1:15" ht="13" x14ac:dyDescent="0.15">
      <c r="A747" s="56"/>
      <c r="B747" s="56"/>
      <c r="K747" s="56"/>
      <c r="L747" s="56"/>
      <c r="O747" s="56"/>
    </row>
    <row r="748" spans="1:15" ht="13" x14ac:dyDescent="0.15">
      <c r="A748" s="56"/>
      <c r="B748" s="56"/>
      <c r="K748" s="56"/>
      <c r="L748" s="56"/>
      <c r="O748" s="56"/>
    </row>
    <row r="749" spans="1:15" ht="13" x14ac:dyDescent="0.15">
      <c r="A749" s="56"/>
      <c r="B749" s="56"/>
      <c r="K749" s="56"/>
      <c r="L749" s="56"/>
      <c r="O749" s="56"/>
    </row>
    <row r="750" spans="1:15" ht="13" x14ac:dyDescent="0.15">
      <c r="A750" s="56"/>
      <c r="B750" s="56"/>
      <c r="K750" s="56"/>
      <c r="L750" s="56"/>
      <c r="O750" s="56"/>
    </row>
    <row r="751" spans="1:15" ht="13" x14ac:dyDescent="0.15">
      <c r="A751" s="56"/>
      <c r="B751" s="56"/>
      <c r="K751" s="56"/>
      <c r="L751" s="56"/>
      <c r="O751" s="56"/>
    </row>
    <row r="752" spans="1:15" ht="13" x14ac:dyDescent="0.15">
      <c r="A752" s="56"/>
      <c r="B752" s="56"/>
      <c r="K752" s="56"/>
      <c r="L752" s="56"/>
      <c r="O752" s="56"/>
    </row>
    <row r="753" spans="1:15" ht="13" x14ac:dyDescent="0.15">
      <c r="A753" s="56"/>
      <c r="B753" s="56"/>
      <c r="K753" s="56"/>
      <c r="L753" s="56"/>
      <c r="O753" s="56"/>
    </row>
    <row r="754" spans="1:15" ht="13" x14ac:dyDescent="0.15">
      <c r="A754" s="56"/>
      <c r="B754" s="56"/>
      <c r="K754" s="56"/>
      <c r="L754" s="56"/>
      <c r="O754" s="56"/>
    </row>
    <row r="755" spans="1:15" ht="13" x14ac:dyDescent="0.15">
      <c r="A755" s="56"/>
      <c r="B755" s="56"/>
      <c r="K755" s="56"/>
      <c r="L755" s="56"/>
      <c r="O755" s="56"/>
    </row>
    <row r="756" spans="1:15" ht="13" x14ac:dyDescent="0.15">
      <c r="A756" s="56"/>
      <c r="B756" s="56"/>
      <c r="K756" s="56"/>
      <c r="L756" s="56"/>
      <c r="O756" s="56"/>
    </row>
    <row r="757" spans="1:15" ht="13" x14ac:dyDescent="0.15">
      <c r="A757" s="56"/>
      <c r="B757" s="56"/>
      <c r="K757" s="56"/>
      <c r="L757" s="56"/>
      <c r="O757" s="56"/>
    </row>
    <row r="758" spans="1:15" ht="13" x14ac:dyDescent="0.15">
      <c r="A758" s="56"/>
      <c r="B758" s="56"/>
      <c r="K758" s="56"/>
      <c r="L758" s="56"/>
      <c r="O758" s="56"/>
    </row>
    <row r="759" spans="1:15" ht="13" x14ac:dyDescent="0.15">
      <c r="A759" s="56"/>
      <c r="B759" s="56"/>
      <c r="K759" s="56"/>
      <c r="L759" s="56"/>
      <c r="O759" s="56"/>
    </row>
    <row r="760" spans="1:15" ht="13" x14ac:dyDescent="0.15">
      <c r="A760" s="56"/>
      <c r="B760" s="56"/>
      <c r="K760" s="56"/>
      <c r="L760" s="56"/>
      <c r="O760" s="56"/>
    </row>
    <row r="761" spans="1:15" ht="13" x14ac:dyDescent="0.15">
      <c r="A761" s="56"/>
      <c r="B761" s="56"/>
      <c r="K761" s="56"/>
      <c r="L761" s="56"/>
      <c r="O761" s="56"/>
    </row>
    <row r="762" spans="1:15" ht="13" x14ac:dyDescent="0.15">
      <c r="A762" s="56"/>
      <c r="B762" s="56"/>
      <c r="K762" s="56"/>
      <c r="L762" s="56"/>
      <c r="O762" s="56"/>
    </row>
    <row r="763" spans="1:15" ht="13" x14ac:dyDescent="0.15">
      <c r="A763" s="56"/>
      <c r="B763" s="56"/>
      <c r="K763" s="56"/>
      <c r="L763" s="56"/>
      <c r="O763" s="56"/>
    </row>
    <row r="764" spans="1:15" ht="13" x14ac:dyDescent="0.15">
      <c r="A764" s="56"/>
      <c r="B764" s="56"/>
      <c r="K764" s="56"/>
      <c r="L764" s="56"/>
      <c r="O764" s="56"/>
    </row>
    <row r="765" spans="1:15" ht="13" x14ac:dyDescent="0.15">
      <c r="A765" s="56"/>
      <c r="B765" s="56"/>
      <c r="K765" s="56"/>
      <c r="L765" s="56"/>
      <c r="O765" s="56"/>
    </row>
    <row r="766" spans="1:15" ht="13" x14ac:dyDescent="0.15">
      <c r="A766" s="56"/>
      <c r="B766" s="56"/>
      <c r="K766" s="56"/>
      <c r="L766" s="56"/>
      <c r="O766" s="56"/>
    </row>
    <row r="767" spans="1:15" ht="13" x14ac:dyDescent="0.15">
      <c r="A767" s="56"/>
      <c r="B767" s="56"/>
      <c r="K767" s="56"/>
      <c r="L767" s="56"/>
      <c r="O767" s="56"/>
    </row>
    <row r="768" spans="1:15" ht="13" x14ac:dyDescent="0.15">
      <c r="A768" s="56"/>
      <c r="B768" s="56"/>
      <c r="K768" s="56"/>
      <c r="L768" s="56"/>
      <c r="O768" s="56"/>
    </row>
    <row r="769" spans="1:15" ht="13" x14ac:dyDescent="0.15">
      <c r="A769" s="56"/>
      <c r="B769" s="56"/>
      <c r="K769" s="56"/>
      <c r="L769" s="56"/>
      <c r="O769" s="56"/>
    </row>
    <row r="770" spans="1:15" ht="13" x14ac:dyDescent="0.15">
      <c r="A770" s="56"/>
      <c r="B770" s="56"/>
      <c r="K770" s="56"/>
      <c r="L770" s="56"/>
      <c r="O770" s="56"/>
    </row>
    <row r="771" spans="1:15" ht="13" x14ac:dyDescent="0.15">
      <c r="A771" s="56"/>
      <c r="B771" s="56"/>
      <c r="K771" s="56"/>
      <c r="L771" s="56"/>
      <c r="O771" s="56"/>
    </row>
    <row r="772" spans="1:15" ht="13" x14ac:dyDescent="0.15">
      <c r="A772" s="56"/>
      <c r="B772" s="56"/>
      <c r="K772" s="56"/>
      <c r="L772" s="56"/>
      <c r="O772" s="56"/>
    </row>
    <row r="773" spans="1:15" ht="13" x14ac:dyDescent="0.15">
      <c r="A773" s="56"/>
      <c r="B773" s="56"/>
      <c r="K773" s="56"/>
      <c r="L773" s="56"/>
      <c r="O773" s="56"/>
    </row>
    <row r="774" spans="1:15" ht="13" x14ac:dyDescent="0.15">
      <c r="A774" s="56"/>
      <c r="B774" s="56"/>
      <c r="K774" s="56"/>
      <c r="L774" s="56"/>
      <c r="O774" s="56"/>
    </row>
    <row r="775" spans="1:15" ht="13" x14ac:dyDescent="0.15">
      <c r="A775" s="56"/>
      <c r="B775" s="56"/>
      <c r="K775" s="56"/>
      <c r="L775" s="56"/>
      <c r="O775" s="56"/>
    </row>
    <row r="776" spans="1:15" ht="13" x14ac:dyDescent="0.15">
      <c r="A776" s="56"/>
      <c r="B776" s="56"/>
      <c r="K776" s="56"/>
      <c r="L776" s="56"/>
      <c r="O776" s="56"/>
    </row>
    <row r="777" spans="1:15" ht="13" x14ac:dyDescent="0.15">
      <c r="A777" s="56"/>
      <c r="B777" s="56"/>
      <c r="K777" s="56"/>
      <c r="L777" s="56"/>
      <c r="O777" s="56"/>
    </row>
    <row r="778" spans="1:15" ht="13" x14ac:dyDescent="0.15">
      <c r="A778" s="56"/>
      <c r="B778" s="56"/>
      <c r="K778" s="56"/>
      <c r="L778" s="56"/>
      <c r="O778" s="56"/>
    </row>
    <row r="779" spans="1:15" ht="13" x14ac:dyDescent="0.15">
      <c r="A779" s="56"/>
      <c r="B779" s="56"/>
      <c r="K779" s="56"/>
      <c r="L779" s="56"/>
      <c r="O779" s="56"/>
    </row>
    <row r="780" spans="1:15" ht="13" x14ac:dyDescent="0.15">
      <c r="A780" s="56"/>
      <c r="B780" s="56"/>
      <c r="K780" s="56"/>
      <c r="L780" s="56"/>
      <c r="O780" s="56"/>
    </row>
    <row r="781" spans="1:15" ht="13" x14ac:dyDescent="0.15">
      <c r="A781" s="56"/>
      <c r="B781" s="56"/>
      <c r="K781" s="56"/>
      <c r="L781" s="56"/>
      <c r="O781" s="56"/>
    </row>
    <row r="782" spans="1:15" ht="13" x14ac:dyDescent="0.15">
      <c r="A782" s="56"/>
      <c r="B782" s="56"/>
      <c r="K782" s="56"/>
      <c r="L782" s="56"/>
      <c r="O782" s="56"/>
    </row>
    <row r="783" spans="1:15" ht="13" x14ac:dyDescent="0.15">
      <c r="A783" s="56"/>
      <c r="B783" s="56"/>
      <c r="K783" s="56"/>
      <c r="L783" s="56"/>
      <c r="O783" s="56"/>
    </row>
    <row r="784" spans="1:15" ht="13" x14ac:dyDescent="0.15">
      <c r="A784" s="56"/>
      <c r="B784" s="56"/>
      <c r="K784" s="56"/>
      <c r="L784" s="56"/>
      <c r="O784" s="56"/>
    </row>
    <row r="785" spans="1:15" ht="13" x14ac:dyDescent="0.15">
      <c r="A785" s="56"/>
      <c r="B785" s="56"/>
      <c r="K785" s="56"/>
      <c r="L785" s="56"/>
      <c r="O785" s="56"/>
    </row>
    <row r="786" spans="1:15" ht="13" x14ac:dyDescent="0.15">
      <c r="A786" s="56"/>
      <c r="B786" s="56"/>
      <c r="K786" s="56"/>
      <c r="L786" s="56"/>
      <c r="O786" s="56"/>
    </row>
    <row r="787" spans="1:15" ht="13" x14ac:dyDescent="0.15">
      <c r="A787" s="56"/>
      <c r="B787" s="56"/>
      <c r="K787" s="56"/>
      <c r="L787" s="56"/>
      <c r="O787" s="56"/>
    </row>
    <row r="788" spans="1:15" ht="13" x14ac:dyDescent="0.15">
      <c r="A788" s="56"/>
      <c r="B788" s="56"/>
      <c r="K788" s="56"/>
      <c r="L788" s="56"/>
      <c r="O788" s="56"/>
    </row>
    <row r="789" spans="1:15" ht="13" x14ac:dyDescent="0.15">
      <c r="A789" s="56"/>
      <c r="B789" s="56"/>
      <c r="K789" s="56"/>
      <c r="L789" s="56"/>
      <c r="O789" s="56"/>
    </row>
    <row r="790" spans="1:15" ht="13" x14ac:dyDescent="0.15">
      <c r="A790" s="56"/>
      <c r="B790" s="56"/>
      <c r="K790" s="56"/>
      <c r="L790" s="56"/>
      <c r="O790" s="56"/>
    </row>
    <row r="791" spans="1:15" ht="13" x14ac:dyDescent="0.15">
      <c r="A791" s="56"/>
      <c r="B791" s="56"/>
      <c r="K791" s="56"/>
      <c r="L791" s="56"/>
      <c r="O791" s="56"/>
    </row>
    <row r="792" spans="1:15" ht="13" x14ac:dyDescent="0.15">
      <c r="A792" s="56"/>
      <c r="B792" s="56"/>
      <c r="K792" s="56"/>
      <c r="L792" s="56"/>
      <c r="O792" s="56"/>
    </row>
    <row r="793" spans="1:15" ht="13" x14ac:dyDescent="0.15">
      <c r="A793" s="56"/>
      <c r="B793" s="56"/>
      <c r="K793" s="56"/>
      <c r="L793" s="56"/>
      <c r="O793" s="56"/>
    </row>
    <row r="794" spans="1:15" ht="13" x14ac:dyDescent="0.15">
      <c r="A794" s="56"/>
      <c r="B794" s="56"/>
      <c r="K794" s="56"/>
      <c r="L794" s="56"/>
      <c r="O794" s="56"/>
    </row>
    <row r="795" spans="1:15" ht="13" x14ac:dyDescent="0.15">
      <c r="A795" s="56"/>
      <c r="B795" s="56"/>
      <c r="K795" s="56"/>
      <c r="L795" s="56"/>
      <c r="O795" s="56"/>
    </row>
    <row r="796" spans="1:15" ht="13" x14ac:dyDescent="0.15">
      <c r="A796" s="56"/>
      <c r="B796" s="56"/>
      <c r="K796" s="56"/>
      <c r="L796" s="56"/>
      <c r="O796" s="56"/>
    </row>
    <row r="797" spans="1:15" ht="13" x14ac:dyDescent="0.15">
      <c r="A797" s="56"/>
      <c r="B797" s="56"/>
      <c r="K797" s="56"/>
      <c r="L797" s="56"/>
      <c r="O797" s="56"/>
    </row>
    <row r="798" spans="1:15" ht="13" x14ac:dyDescent="0.15">
      <c r="A798" s="56"/>
      <c r="B798" s="56"/>
      <c r="K798" s="56"/>
      <c r="L798" s="56"/>
      <c r="O798" s="56"/>
    </row>
    <row r="799" spans="1:15" ht="13" x14ac:dyDescent="0.15">
      <c r="A799" s="56"/>
      <c r="B799" s="56"/>
      <c r="K799" s="56"/>
      <c r="L799" s="56"/>
      <c r="O799" s="56"/>
    </row>
    <row r="800" spans="1:15" ht="13" x14ac:dyDescent="0.15">
      <c r="A800" s="56"/>
      <c r="B800" s="56"/>
      <c r="K800" s="56"/>
      <c r="L800" s="56"/>
      <c r="O800" s="56"/>
    </row>
    <row r="801" spans="1:15" ht="13" x14ac:dyDescent="0.15">
      <c r="A801" s="56"/>
      <c r="B801" s="56"/>
      <c r="K801" s="56"/>
      <c r="L801" s="56"/>
      <c r="O801" s="56"/>
    </row>
    <row r="802" spans="1:15" ht="13" x14ac:dyDescent="0.15">
      <c r="A802" s="56"/>
      <c r="B802" s="56"/>
      <c r="K802" s="56"/>
      <c r="L802" s="56"/>
      <c r="O802" s="56"/>
    </row>
    <row r="803" spans="1:15" ht="13" x14ac:dyDescent="0.15">
      <c r="A803" s="56"/>
      <c r="B803" s="56"/>
      <c r="K803" s="56"/>
      <c r="L803" s="56"/>
      <c r="O803" s="56"/>
    </row>
    <row r="804" spans="1:15" ht="13" x14ac:dyDescent="0.15">
      <c r="A804" s="56"/>
      <c r="B804" s="56"/>
      <c r="K804" s="56"/>
      <c r="L804" s="56"/>
      <c r="O804" s="56"/>
    </row>
    <row r="805" spans="1:15" ht="13" x14ac:dyDescent="0.15">
      <c r="A805" s="56"/>
      <c r="B805" s="56"/>
      <c r="K805" s="56"/>
      <c r="L805" s="56"/>
      <c r="O805" s="56"/>
    </row>
    <row r="806" spans="1:15" ht="13" x14ac:dyDescent="0.15">
      <c r="A806" s="56"/>
      <c r="B806" s="56"/>
      <c r="K806" s="56"/>
      <c r="L806" s="56"/>
      <c r="O806" s="56"/>
    </row>
    <row r="807" spans="1:15" ht="13" x14ac:dyDescent="0.15">
      <c r="A807" s="56"/>
      <c r="B807" s="56"/>
      <c r="K807" s="56"/>
      <c r="L807" s="56"/>
      <c r="O807" s="56"/>
    </row>
    <row r="808" spans="1:15" ht="13" x14ac:dyDescent="0.15">
      <c r="A808" s="56"/>
      <c r="B808" s="56"/>
      <c r="K808" s="56"/>
      <c r="L808" s="56"/>
      <c r="O808" s="56"/>
    </row>
    <row r="809" spans="1:15" ht="13" x14ac:dyDescent="0.15">
      <c r="A809" s="56"/>
      <c r="B809" s="56"/>
      <c r="K809" s="56"/>
      <c r="L809" s="56"/>
      <c r="O809" s="56"/>
    </row>
    <row r="810" spans="1:15" ht="13" x14ac:dyDescent="0.15">
      <c r="A810" s="56"/>
      <c r="B810" s="56"/>
      <c r="K810" s="56"/>
      <c r="L810" s="56"/>
      <c r="O810" s="56"/>
    </row>
    <row r="811" spans="1:15" ht="13" x14ac:dyDescent="0.15">
      <c r="A811" s="56"/>
      <c r="B811" s="56"/>
      <c r="K811" s="56"/>
      <c r="L811" s="56"/>
      <c r="O811" s="56"/>
    </row>
    <row r="812" spans="1:15" ht="13" x14ac:dyDescent="0.15">
      <c r="A812" s="56"/>
      <c r="B812" s="56"/>
      <c r="K812" s="56"/>
      <c r="L812" s="56"/>
      <c r="O812" s="56"/>
    </row>
    <row r="813" spans="1:15" ht="13" x14ac:dyDescent="0.15">
      <c r="A813" s="56"/>
      <c r="B813" s="56"/>
      <c r="K813" s="56"/>
      <c r="L813" s="56"/>
      <c r="O813" s="56"/>
    </row>
    <row r="814" spans="1:15" ht="13" x14ac:dyDescent="0.15">
      <c r="A814" s="56"/>
      <c r="B814" s="56"/>
      <c r="K814" s="56"/>
      <c r="L814" s="56"/>
      <c r="O814" s="56"/>
    </row>
    <row r="815" spans="1:15" ht="13" x14ac:dyDescent="0.15">
      <c r="A815" s="56"/>
      <c r="B815" s="56"/>
      <c r="K815" s="56"/>
      <c r="L815" s="56"/>
      <c r="O815" s="56"/>
    </row>
    <row r="816" spans="1:15" ht="13" x14ac:dyDescent="0.15">
      <c r="A816" s="56"/>
      <c r="B816" s="56"/>
      <c r="K816" s="56"/>
      <c r="L816" s="56"/>
      <c r="O816" s="56"/>
    </row>
    <row r="817" spans="1:15" ht="13" x14ac:dyDescent="0.15">
      <c r="A817" s="56"/>
      <c r="B817" s="56"/>
      <c r="K817" s="56"/>
      <c r="L817" s="56"/>
      <c r="O817" s="56"/>
    </row>
    <row r="818" spans="1:15" ht="13" x14ac:dyDescent="0.15">
      <c r="A818" s="56"/>
      <c r="B818" s="56"/>
      <c r="K818" s="56"/>
      <c r="L818" s="56"/>
      <c r="O818" s="56"/>
    </row>
    <row r="819" spans="1:15" ht="13" x14ac:dyDescent="0.15">
      <c r="A819" s="56"/>
      <c r="B819" s="56"/>
      <c r="K819" s="56"/>
      <c r="L819" s="56"/>
      <c r="O819" s="56"/>
    </row>
    <row r="820" spans="1:15" ht="13" x14ac:dyDescent="0.15">
      <c r="A820" s="56"/>
      <c r="B820" s="56"/>
      <c r="K820" s="56"/>
      <c r="L820" s="56"/>
      <c r="O820" s="56"/>
    </row>
    <row r="821" spans="1:15" ht="13" x14ac:dyDescent="0.15">
      <c r="A821" s="56"/>
      <c r="B821" s="56"/>
      <c r="K821" s="56"/>
      <c r="L821" s="56"/>
      <c r="O821" s="56"/>
    </row>
    <row r="822" spans="1:15" ht="13" x14ac:dyDescent="0.15">
      <c r="A822" s="56"/>
      <c r="B822" s="56"/>
      <c r="K822" s="56"/>
      <c r="L822" s="56"/>
      <c r="O822" s="56"/>
    </row>
    <row r="823" spans="1:15" ht="13" x14ac:dyDescent="0.15">
      <c r="A823" s="56"/>
      <c r="B823" s="56"/>
      <c r="K823" s="56"/>
      <c r="L823" s="56"/>
      <c r="O823" s="56"/>
    </row>
    <row r="824" spans="1:15" ht="13" x14ac:dyDescent="0.15">
      <c r="A824" s="56"/>
      <c r="B824" s="56"/>
      <c r="K824" s="56"/>
      <c r="L824" s="56"/>
      <c r="O824" s="56"/>
    </row>
    <row r="825" spans="1:15" ht="13" x14ac:dyDescent="0.15">
      <c r="A825" s="56"/>
      <c r="B825" s="56"/>
      <c r="K825" s="56"/>
      <c r="L825" s="56"/>
      <c r="O825" s="56"/>
    </row>
    <row r="826" spans="1:15" ht="13" x14ac:dyDescent="0.15">
      <c r="A826" s="56"/>
      <c r="B826" s="56"/>
      <c r="K826" s="56"/>
      <c r="L826" s="56"/>
      <c r="O826" s="56"/>
    </row>
    <row r="827" spans="1:15" ht="13" x14ac:dyDescent="0.15">
      <c r="A827" s="56"/>
      <c r="B827" s="56"/>
      <c r="K827" s="56"/>
      <c r="L827" s="56"/>
      <c r="O827" s="56"/>
    </row>
    <row r="828" spans="1:15" ht="13" x14ac:dyDescent="0.15">
      <c r="A828" s="56"/>
      <c r="B828" s="56"/>
      <c r="K828" s="56"/>
      <c r="L828" s="56"/>
      <c r="O828" s="56"/>
    </row>
    <row r="829" spans="1:15" ht="13" x14ac:dyDescent="0.15">
      <c r="A829" s="56"/>
      <c r="B829" s="56"/>
      <c r="K829" s="56"/>
      <c r="L829" s="56"/>
      <c r="O829" s="56"/>
    </row>
    <row r="830" spans="1:15" ht="13" x14ac:dyDescent="0.15">
      <c r="A830" s="56"/>
      <c r="B830" s="56"/>
      <c r="K830" s="56"/>
      <c r="L830" s="56"/>
      <c r="O830" s="56"/>
    </row>
    <row r="831" spans="1:15" ht="13" x14ac:dyDescent="0.15">
      <c r="A831" s="56"/>
      <c r="B831" s="56"/>
      <c r="K831" s="56"/>
      <c r="L831" s="56"/>
      <c r="O831" s="56"/>
    </row>
    <row r="832" spans="1:15" ht="13" x14ac:dyDescent="0.15">
      <c r="A832" s="56"/>
      <c r="B832" s="56"/>
      <c r="K832" s="56"/>
      <c r="L832" s="56"/>
      <c r="O832" s="56"/>
    </row>
    <row r="833" spans="1:15" ht="13" x14ac:dyDescent="0.15">
      <c r="A833" s="56"/>
      <c r="B833" s="56"/>
      <c r="K833" s="56"/>
      <c r="L833" s="56"/>
      <c r="O833" s="56"/>
    </row>
    <row r="834" spans="1:15" ht="13" x14ac:dyDescent="0.15">
      <c r="A834" s="56"/>
      <c r="B834" s="56"/>
      <c r="K834" s="56"/>
      <c r="L834" s="56"/>
      <c r="O834" s="56"/>
    </row>
    <row r="835" spans="1:15" ht="13" x14ac:dyDescent="0.15">
      <c r="A835" s="56"/>
      <c r="B835" s="56"/>
      <c r="K835" s="56"/>
      <c r="L835" s="56"/>
      <c r="O835" s="56"/>
    </row>
    <row r="836" spans="1:15" ht="13" x14ac:dyDescent="0.15">
      <c r="A836" s="56"/>
      <c r="B836" s="56"/>
      <c r="K836" s="56"/>
      <c r="L836" s="56"/>
      <c r="O836" s="56"/>
    </row>
    <row r="837" spans="1:15" ht="13" x14ac:dyDescent="0.15">
      <c r="A837" s="56"/>
      <c r="B837" s="56"/>
      <c r="K837" s="56"/>
      <c r="L837" s="56"/>
      <c r="O837" s="56"/>
    </row>
    <row r="838" spans="1:15" ht="13" x14ac:dyDescent="0.15">
      <c r="A838" s="56"/>
      <c r="B838" s="56"/>
      <c r="K838" s="56"/>
      <c r="L838" s="56"/>
      <c r="O838" s="56"/>
    </row>
    <row r="839" spans="1:15" ht="13" x14ac:dyDescent="0.15">
      <c r="A839" s="56"/>
      <c r="B839" s="56"/>
      <c r="K839" s="56"/>
      <c r="L839" s="56"/>
      <c r="O839" s="56"/>
    </row>
    <row r="840" spans="1:15" ht="13" x14ac:dyDescent="0.15">
      <c r="A840" s="56"/>
      <c r="B840" s="56"/>
      <c r="K840" s="56"/>
      <c r="L840" s="56"/>
      <c r="O840" s="56"/>
    </row>
    <row r="841" spans="1:15" ht="13" x14ac:dyDescent="0.15">
      <c r="A841" s="56"/>
      <c r="B841" s="56"/>
      <c r="K841" s="56"/>
      <c r="L841" s="56"/>
      <c r="O841" s="56"/>
    </row>
    <row r="842" spans="1:15" ht="13" x14ac:dyDescent="0.15">
      <c r="A842" s="56"/>
      <c r="B842" s="56"/>
      <c r="K842" s="56"/>
      <c r="L842" s="56"/>
      <c r="O842" s="56"/>
    </row>
    <row r="843" spans="1:15" ht="13" x14ac:dyDescent="0.15">
      <c r="A843" s="56"/>
      <c r="B843" s="56"/>
      <c r="K843" s="56"/>
      <c r="L843" s="56"/>
      <c r="O843" s="56"/>
    </row>
    <row r="844" spans="1:15" ht="13" x14ac:dyDescent="0.15">
      <c r="A844" s="56"/>
      <c r="B844" s="56"/>
      <c r="K844" s="56"/>
      <c r="L844" s="56"/>
      <c r="O844" s="56"/>
    </row>
    <row r="845" spans="1:15" ht="13" x14ac:dyDescent="0.15">
      <c r="A845" s="56"/>
      <c r="B845" s="56"/>
      <c r="K845" s="56"/>
      <c r="L845" s="56"/>
      <c r="O845" s="56"/>
    </row>
    <row r="846" spans="1:15" ht="13" x14ac:dyDescent="0.15">
      <c r="A846" s="56"/>
      <c r="B846" s="56"/>
      <c r="K846" s="56"/>
      <c r="L846" s="56"/>
      <c r="O846" s="56"/>
    </row>
    <row r="847" spans="1:15" ht="13" x14ac:dyDescent="0.15">
      <c r="A847" s="56"/>
      <c r="B847" s="56"/>
      <c r="K847" s="56"/>
      <c r="L847" s="56"/>
      <c r="O847" s="56"/>
    </row>
    <row r="848" spans="1:15" ht="13" x14ac:dyDescent="0.15">
      <c r="A848" s="56"/>
      <c r="B848" s="56"/>
      <c r="K848" s="56"/>
      <c r="L848" s="56"/>
      <c r="O848" s="56"/>
    </row>
    <row r="849" spans="1:15" ht="13" x14ac:dyDescent="0.15">
      <c r="A849" s="56"/>
      <c r="B849" s="56"/>
      <c r="K849" s="56"/>
      <c r="L849" s="56"/>
      <c r="O849" s="56"/>
    </row>
    <row r="850" spans="1:15" ht="13" x14ac:dyDescent="0.15">
      <c r="A850" s="56"/>
      <c r="B850" s="56"/>
      <c r="K850" s="56"/>
      <c r="L850" s="56"/>
      <c r="O850" s="56"/>
    </row>
    <row r="851" spans="1:15" ht="13" x14ac:dyDescent="0.15">
      <c r="A851" s="56"/>
      <c r="B851" s="56"/>
      <c r="K851" s="56"/>
      <c r="L851" s="56"/>
      <c r="O851" s="56"/>
    </row>
    <row r="852" spans="1:15" ht="13" x14ac:dyDescent="0.15">
      <c r="A852" s="56"/>
      <c r="B852" s="56"/>
      <c r="K852" s="56"/>
      <c r="L852" s="56"/>
      <c r="O852" s="56"/>
    </row>
    <row r="853" spans="1:15" ht="13" x14ac:dyDescent="0.15">
      <c r="A853" s="56"/>
      <c r="B853" s="56"/>
      <c r="K853" s="56"/>
      <c r="L853" s="56"/>
      <c r="O853" s="56"/>
    </row>
    <row r="854" spans="1:15" ht="13" x14ac:dyDescent="0.15">
      <c r="A854" s="56"/>
      <c r="B854" s="56"/>
      <c r="K854" s="56"/>
      <c r="L854" s="56"/>
      <c r="O854" s="56"/>
    </row>
    <row r="855" spans="1:15" ht="13" x14ac:dyDescent="0.15">
      <c r="A855" s="56"/>
      <c r="B855" s="56"/>
      <c r="K855" s="56"/>
      <c r="L855" s="56"/>
      <c r="O855" s="56"/>
    </row>
    <row r="856" spans="1:15" ht="13" x14ac:dyDescent="0.15">
      <c r="A856" s="56"/>
      <c r="B856" s="56"/>
      <c r="K856" s="56"/>
      <c r="L856" s="56"/>
      <c r="O856" s="56"/>
    </row>
    <row r="857" spans="1:15" ht="13" x14ac:dyDescent="0.15">
      <c r="A857" s="56"/>
      <c r="B857" s="56"/>
      <c r="K857" s="56"/>
      <c r="L857" s="56"/>
      <c r="O857" s="56"/>
    </row>
    <row r="858" spans="1:15" ht="13" x14ac:dyDescent="0.15">
      <c r="A858" s="56"/>
      <c r="B858" s="56"/>
      <c r="K858" s="56"/>
      <c r="L858" s="56"/>
      <c r="O858" s="56"/>
    </row>
    <row r="859" spans="1:15" ht="13" x14ac:dyDescent="0.15">
      <c r="A859" s="56"/>
      <c r="B859" s="56"/>
      <c r="K859" s="56"/>
      <c r="L859" s="56"/>
      <c r="O859" s="56"/>
    </row>
    <row r="860" spans="1:15" ht="13" x14ac:dyDescent="0.15">
      <c r="A860" s="56"/>
      <c r="B860" s="56"/>
      <c r="K860" s="56"/>
      <c r="L860" s="56"/>
      <c r="O860" s="56"/>
    </row>
    <row r="861" spans="1:15" ht="13" x14ac:dyDescent="0.15">
      <c r="A861" s="56"/>
      <c r="B861" s="56"/>
      <c r="K861" s="56"/>
      <c r="L861" s="56"/>
      <c r="O861" s="56"/>
    </row>
    <row r="862" spans="1:15" ht="13" x14ac:dyDescent="0.15">
      <c r="A862" s="56"/>
      <c r="B862" s="56"/>
      <c r="K862" s="56"/>
      <c r="L862" s="56"/>
      <c r="O862" s="56"/>
    </row>
    <row r="863" spans="1:15" ht="13" x14ac:dyDescent="0.15">
      <c r="A863" s="56"/>
      <c r="B863" s="56"/>
      <c r="K863" s="56"/>
      <c r="L863" s="56"/>
      <c r="O863" s="56"/>
    </row>
    <row r="864" spans="1:15" ht="13" x14ac:dyDescent="0.15">
      <c r="A864" s="56"/>
      <c r="B864" s="56"/>
      <c r="K864" s="56"/>
      <c r="L864" s="56"/>
      <c r="O864" s="56"/>
    </row>
    <row r="865" spans="1:15" ht="13" x14ac:dyDescent="0.15">
      <c r="A865" s="56"/>
      <c r="B865" s="56"/>
      <c r="K865" s="56"/>
      <c r="L865" s="56"/>
      <c r="O865" s="56"/>
    </row>
    <row r="866" spans="1:15" ht="13" x14ac:dyDescent="0.15">
      <c r="A866" s="56"/>
      <c r="B866" s="56"/>
      <c r="K866" s="56"/>
      <c r="L866" s="56"/>
      <c r="O866" s="56"/>
    </row>
    <row r="867" spans="1:15" ht="13" x14ac:dyDescent="0.15">
      <c r="A867" s="56"/>
      <c r="B867" s="56"/>
      <c r="K867" s="56"/>
      <c r="L867" s="56"/>
      <c r="O867" s="56"/>
    </row>
    <row r="868" spans="1:15" ht="13" x14ac:dyDescent="0.15">
      <c r="A868" s="56"/>
      <c r="B868" s="56"/>
      <c r="K868" s="56"/>
      <c r="L868" s="56"/>
      <c r="O868" s="56"/>
    </row>
    <row r="869" spans="1:15" ht="13" x14ac:dyDescent="0.15">
      <c r="A869" s="56"/>
      <c r="B869" s="56"/>
      <c r="K869" s="56"/>
      <c r="L869" s="56"/>
      <c r="O869" s="56"/>
    </row>
    <row r="870" spans="1:15" ht="13" x14ac:dyDescent="0.15">
      <c r="A870" s="56"/>
      <c r="B870" s="56"/>
      <c r="K870" s="56"/>
      <c r="L870" s="56"/>
      <c r="O870" s="56"/>
    </row>
    <row r="871" spans="1:15" ht="13" x14ac:dyDescent="0.15">
      <c r="A871" s="56"/>
      <c r="B871" s="56"/>
      <c r="K871" s="56"/>
      <c r="L871" s="56"/>
      <c r="O871" s="56"/>
    </row>
    <row r="872" spans="1:15" ht="13" x14ac:dyDescent="0.15">
      <c r="A872" s="56"/>
      <c r="B872" s="56"/>
      <c r="K872" s="56"/>
      <c r="L872" s="56"/>
      <c r="O872" s="56"/>
    </row>
    <row r="873" spans="1:15" ht="13" x14ac:dyDescent="0.15">
      <c r="A873" s="56"/>
      <c r="B873" s="56"/>
      <c r="K873" s="56"/>
      <c r="L873" s="56"/>
      <c r="O873" s="56"/>
    </row>
    <row r="874" spans="1:15" ht="13" x14ac:dyDescent="0.15">
      <c r="A874" s="56"/>
      <c r="B874" s="56"/>
      <c r="K874" s="56"/>
      <c r="L874" s="56"/>
      <c r="O874" s="56"/>
    </row>
    <row r="875" spans="1:15" ht="13" x14ac:dyDescent="0.15">
      <c r="A875" s="56"/>
      <c r="B875" s="56"/>
      <c r="K875" s="56"/>
      <c r="L875" s="56"/>
      <c r="O875" s="56"/>
    </row>
    <row r="876" spans="1:15" ht="13" x14ac:dyDescent="0.15">
      <c r="A876" s="56"/>
      <c r="B876" s="56"/>
      <c r="K876" s="56"/>
      <c r="L876" s="56"/>
      <c r="O876" s="56"/>
    </row>
    <row r="877" spans="1:15" ht="13" x14ac:dyDescent="0.15">
      <c r="A877" s="56"/>
      <c r="B877" s="56"/>
      <c r="K877" s="56"/>
      <c r="L877" s="56"/>
      <c r="O877" s="56"/>
    </row>
    <row r="878" spans="1:15" ht="13" x14ac:dyDescent="0.15">
      <c r="A878" s="56"/>
      <c r="B878" s="56"/>
      <c r="K878" s="56"/>
      <c r="L878" s="56"/>
      <c r="O878" s="56"/>
    </row>
    <row r="879" spans="1:15" ht="13" x14ac:dyDescent="0.15">
      <c r="A879" s="56"/>
      <c r="B879" s="56"/>
      <c r="K879" s="56"/>
      <c r="L879" s="56"/>
      <c r="O879" s="56"/>
    </row>
    <row r="880" spans="1:15" ht="13" x14ac:dyDescent="0.15">
      <c r="A880" s="56"/>
      <c r="B880" s="56"/>
      <c r="K880" s="56"/>
      <c r="L880" s="56"/>
      <c r="O880" s="56"/>
    </row>
    <row r="881" spans="1:15" ht="13" x14ac:dyDescent="0.15">
      <c r="A881" s="56"/>
      <c r="B881" s="56"/>
      <c r="K881" s="56"/>
      <c r="L881" s="56"/>
      <c r="O881" s="56"/>
    </row>
    <row r="882" spans="1:15" ht="13" x14ac:dyDescent="0.15">
      <c r="A882" s="56"/>
      <c r="B882" s="56"/>
      <c r="K882" s="56"/>
      <c r="L882" s="56"/>
      <c r="O882" s="56"/>
    </row>
    <row r="883" spans="1:15" ht="13" x14ac:dyDescent="0.15">
      <c r="A883" s="56"/>
      <c r="B883" s="56"/>
      <c r="K883" s="56"/>
      <c r="L883" s="56"/>
      <c r="O883" s="56"/>
    </row>
    <row r="884" spans="1:15" ht="13" x14ac:dyDescent="0.15">
      <c r="A884" s="56"/>
      <c r="B884" s="56"/>
      <c r="K884" s="56"/>
      <c r="L884" s="56"/>
      <c r="O884" s="56"/>
    </row>
    <row r="885" spans="1:15" ht="13" x14ac:dyDescent="0.15">
      <c r="A885" s="56"/>
      <c r="B885" s="56"/>
      <c r="K885" s="56"/>
      <c r="L885" s="56"/>
      <c r="O885" s="56"/>
    </row>
    <row r="886" spans="1:15" ht="13" x14ac:dyDescent="0.15">
      <c r="A886" s="56"/>
      <c r="B886" s="56"/>
      <c r="K886" s="56"/>
      <c r="L886" s="56"/>
      <c r="O886" s="56"/>
    </row>
    <row r="887" spans="1:15" ht="13" x14ac:dyDescent="0.15">
      <c r="A887" s="56"/>
      <c r="B887" s="56"/>
      <c r="K887" s="56"/>
      <c r="L887" s="56"/>
      <c r="O887" s="56"/>
    </row>
    <row r="888" spans="1:15" ht="13" x14ac:dyDescent="0.15">
      <c r="A888" s="56"/>
      <c r="B888" s="56"/>
      <c r="K888" s="56"/>
      <c r="L888" s="56"/>
      <c r="O888" s="56"/>
    </row>
    <row r="889" spans="1:15" ht="13" x14ac:dyDescent="0.15">
      <c r="A889" s="56"/>
      <c r="B889" s="56"/>
      <c r="K889" s="56"/>
      <c r="L889" s="56"/>
      <c r="O889" s="56"/>
    </row>
    <row r="890" spans="1:15" ht="13" x14ac:dyDescent="0.15">
      <c r="A890" s="56"/>
      <c r="B890" s="56"/>
      <c r="K890" s="56"/>
      <c r="L890" s="56"/>
      <c r="O890" s="56"/>
    </row>
    <row r="891" spans="1:15" ht="13" x14ac:dyDescent="0.15">
      <c r="A891" s="56"/>
      <c r="B891" s="56"/>
      <c r="K891" s="56"/>
      <c r="L891" s="56"/>
      <c r="O891" s="56"/>
    </row>
    <row r="892" spans="1:15" ht="13" x14ac:dyDescent="0.15">
      <c r="A892" s="56"/>
      <c r="B892" s="56"/>
      <c r="K892" s="56"/>
      <c r="L892" s="56"/>
      <c r="O892" s="56"/>
    </row>
    <row r="893" spans="1:15" ht="13" x14ac:dyDescent="0.15">
      <c r="A893" s="56"/>
      <c r="B893" s="56"/>
      <c r="K893" s="56"/>
      <c r="L893" s="56"/>
      <c r="O893" s="56"/>
    </row>
    <row r="894" spans="1:15" ht="13" x14ac:dyDescent="0.15">
      <c r="A894" s="56"/>
      <c r="B894" s="56"/>
      <c r="K894" s="56"/>
      <c r="L894" s="56"/>
      <c r="O894" s="56"/>
    </row>
    <row r="895" spans="1:15" ht="13" x14ac:dyDescent="0.15">
      <c r="A895" s="56"/>
      <c r="B895" s="56"/>
      <c r="K895" s="56"/>
      <c r="L895" s="56"/>
      <c r="O895" s="56"/>
    </row>
    <row r="896" spans="1:15" ht="13" x14ac:dyDescent="0.15">
      <c r="A896" s="56"/>
      <c r="B896" s="56"/>
      <c r="K896" s="56"/>
      <c r="L896" s="56"/>
      <c r="O896" s="56"/>
    </row>
    <row r="897" spans="1:15" ht="13" x14ac:dyDescent="0.15">
      <c r="A897" s="56"/>
      <c r="B897" s="56"/>
      <c r="K897" s="56"/>
      <c r="L897" s="56"/>
      <c r="O897" s="56"/>
    </row>
    <row r="898" spans="1:15" ht="13" x14ac:dyDescent="0.15">
      <c r="A898" s="56"/>
      <c r="B898" s="56"/>
      <c r="K898" s="56"/>
      <c r="L898" s="56"/>
      <c r="O898" s="56"/>
    </row>
    <row r="899" spans="1:15" ht="13" x14ac:dyDescent="0.15">
      <c r="A899" s="56"/>
      <c r="B899" s="56"/>
      <c r="K899" s="56"/>
      <c r="L899" s="56"/>
      <c r="O899" s="56"/>
    </row>
    <row r="900" spans="1:15" ht="13" x14ac:dyDescent="0.15">
      <c r="A900" s="56"/>
      <c r="B900" s="56"/>
      <c r="K900" s="56"/>
      <c r="L900" s="56"/>
      <c r="O900" s="56"/>
    </row>
    <row r="901" spans="1:15" ht="13" x14ac:dyDescent="0.15">
      <c r="A901" s="56"/>
      <c r="B901" s="56"/>
      <c r="K901" s="56"/>
      <c r="L901" s="56"/>
      <c r="O901" s="56"/>
    </row>
    <row r="902" spans="1:15" ht="13" x14ac:dyDescent="0.15">
      <c r="A902" s="56"/>
      <c r="B902" s="56"/>
      <c r="K902" s="56"/>
      <c r="L902" s="56"/>
      <c r="O902" s="56"/>
    </row>
    <row r="903" spans="1:15" ht="13" x14ac:dyDescent="0.15">
      <c r="A903" s="56"/>
      <c r="B903" s="56"/>
      <c r="K903" s="56"/>
      <c r="L903" s="56"/>
      <c r="O903" s="56"/>
    </row>
    <row r="904" spans="1:15" ht="13" x14ac:dyDescent="0.15">
      <c r="A904" s="56"/>
      <c r="B904" s="56"/>
      <c r="K904" s="56"/>
      <c r="L904" s="56"/>
      <c r="O904" s="56"/>
    </row>
    <row r="905" spans="1:15" ht="13" x14ac:dyDescent="0.15">
      <c r="A905" s="56"/>
      <c r="B905" s="56"/>
      <c r="K905" s="56"/>
      <c r="L905" s="56"/>
      <c r="O905" s="56"/>
    </row>
    <row r="906" spans="1:15" ht="13" x14ac:dyDescent="0.15">
      <c r="A906" s="56"/>
      <c r="B906" s="56"/>
      <c r="K906" s="56"/>
      <c r="L906" s="56"/>
      <c r="O906" s="56"/>
    </row>
    <row r="907" spans="1:15" ht="13" x14ac:dyDescent="0.15">
      <c r="A907" s="56"/>
      <c r="B907" s="56"/>
      <c r="K907" s="56"/>
      <c r="L907" s="56"/>
      <c r="O907" s="56"/>
    </row>
    <row r="908" spans="1:15" ht="13" x14ac:dyDescent="0.15">
      <c r="A908" s="56"/>
      <c r="B908" s="56"/>
      <c r="K908" s="56"/>
      <c r="L908" s="56"/>
      <c r="O908" s="56"/>
    </row>
    <row r="909" spans="1:15" ht="13" x14ac:dyDescent="0.15">
      <c r="A909" s="56"/>
      <c r="B909" s="56"/>
      <c r="K909" s="56"/>
      <c r="L909" s="56"/>
      <c r="O909" s="56"/>
    </row>
    <row r="910" spans="1:15" ht="13" x14ac:dyDescent="0.15">
      <c r="A910" s="56"/>
      <c r="B910" s="56"/>
      <c r="K910" s="56"/>
      <c r="L910" s="56"/>
      <c r="O910" s="56"/>
    </row>
    <row r="911" spans="1:15" ht="13" x14ac:dyDescent="0.15">
      <c r="A911" s="56"/>
      <c r="B911" s="56"/>
      <c r="K911" s="56"/>
      <c r="L911" s="56"/>
      <c r="O911" s="56"/>
    </row>
    <row r="912" spans="1:15" ht="13" x14ac:dyDescent="0.15">
      <c r="A912" s="56"/>
      <c r="B912" s="56"/>
      <c r="K912" s="56"/>
      <c r="L912" s="56"/>
      <c r="O912" s="56"/>
    </row>
    <row r="913" spans="1:15" ht="13" x14ac:dyDescent="0.15">
      <c r="A913" s="56"/>
      <c r="B913" s="56"/>
      <c r="K913" s="56"/>
      <c r="L913" s="56"/>
      <c r="O913" s="56"/>
    </row>
    <row r="914" spans="1:15" ht="13" x14ac:dyDescent="0.15">
      <c r="A914" s="56"/>
      <c r="B914" s="56"/>
      <c r="K914" s="56"/>
      <c r="L914" s="56"/>
      <c r="O914" s="56"/>
    </row>
    <row r="915" spans="1:15" ht="13" x14ac:dyDescent="0.15">
      <c r="A915" s="56"/>
      <c r="B915" s="56"/>
      <c r="K915" s="56"/>
      <c r="L915" s="56"/>
      <c r="O915" s="56"/>
    </row>
    <row r="916" spans="1:15" ht="13" x14ac:dyDescent="0.15">
      <c r="A916" s="56"/>
      <c r="B916" s="56"/>
      <c r="K916" s="56"/>
      <c r="L916" s="56"/>
      <c r="O916" s="56"/>
    </row>
    <row r="917" spans="1:15" ht="13" x14ac:dyDescent="0.15">
      <c r="A917" s="56"/>
      <c r="B917" s="56"/>
      <c r="K917" s="56"/>
      <c r="L917" s="56"/>
      <c r="O917" s="56"/>
    </row>
    <row r="918" spans="1:15" ht="13" x14ac:dyDescent="0.15">
      <c r="A918" s="56"/>
      <c r="B918" s="56"/>
      <c r="K918" s="56"/>
      <c r="L918" s="56"/>
      <c r="O918" s="56"/>
    </row>
    <row r="919" spans="1:15" ht="13" x14ac:dyDescent="0.15">
      <c r="A919" s="56"/>
      <c r="B919" s="56"/>
      <c r="K919" s="56"/>
      <c r="L919" s="56"/>
      <c r="O919" s="56"/>
    </row>
    <row r="920" spans="1:15" ht="13" x14ac:dyDescent="0.15">
      <c r="A920" s="56"/>
      <c r="B920" s="56"/>
      <c r="K920" s="56"/>
      <c r="L920" s="56"/>
      <c r="O920" s="56"/>
    </row>
    <row r="921" spans="1:15" ht="13" x14ac:dyDescent="0.15">
      <c r="A921" s="56"/>
      <c r="B921" s="56"/>
      <c r="K921" s="56"/>
      <c r="L921" s="56"/>
      <c r="O921" s="56"/>
    </row>
    <row r="922" spans="1:15" ht="13" x14ac:dyDescent="0.15">
      <c r="A922" s="56"/>
      <c r="B922" s="56"/>
      <c r="K922" s="56"/>
      <c r="L922" s="56"/>
      <c r="O922" s="56"/>
    </row>
    <row r="923" spans="1:15" ht="13" x14ac:dyDescent="0.15">
      <c r="A923" s="56"/>
      <c r="B923" s="56"/>
      <c r="K923" s="56"/>
      <c r="L923" s="56"/>
      <c r="O923" s="56"/>
    </row>
    <row r="924" spans="1:15" ht="13" x14ac:dyDescent="0.15">
      <c r="A924" s="56"/>
      <c r="B924" s="56"/>
      <c r="K924" s="56"/>
      <c r="L924" s="56"/>
      <c r="O924" s="56"/>
    </row>
    <row r="925" spans="1:15" ht="13" x14ac:dyDescent="0.15">
      <c r="A925" s="56"/>
      <c r="B925" s="56"/>
      <c r="K925" s="56"/>
      <c r="L925" s="56"/>
      <c r="O925" s="56"/>
    </row>
    <row r="926" spans="1:15" ht="13" x14ac:dyDescent="0.15">
      <c r="A926" s="56"/>
      <c r="B926" s="56"/>
      <c r="K926" s="56"/>
      <c r="L926" s="56"/>
      <c r="O926" s="56"/>
    </row>
    <row r="927" spans="1:15" ht="13" x14ac:dyDescent="0.15">
      <c r="A927" s="56"/>
      <c r="B927" s="56"/>
      <c r="K927" s="56"/>
      <c r="L927" s="56"/>
      <c r="O927" s="56"/>
    </row>
    <row r="928" spans="1:15" ht="13" x14ac:dyDescent="0.15">
      <c r="A928" s="56"/>
      <c r="B928" s="56"/>
      <c r="K928" s="56"/>
      <c r="L928" s="56"/>
      <c r="O928" s="56"/>
    </row>
    <row r="929" spans="1:15" ht="13" x14ac:dyDescent="0.15">
      <c r="A929" s="56"/>
      <c r="B929" s="56"/>
      <c r="K929" s="56"/>
      <c r="L929" s="56"/>
      <c r="O929" s="56"/>
    </row>
    <row r="930" spans="1:15" ht="13" x14ac:dyDescent="0.15">
      <c r="A930" s="56"/>
      <c r="B930" s="56"/>
      <c r="K930" s="56"/>
      <c r="L930" s="56"/>
      <c r="O930" s="56"/>
    </row>
    <row r="931" spans="1:15" ht="13" x14ac:dyDescent="0.15">
      <c r="A931" s="56"/>
      <c r="B931" s="56"/>
      <c r="K931" s="56"/>
      <c r="L931" s="56"/>
      <c r="O931" s="56"/>
    </row>
    <row r="932" spans="1:15" ht="13" x14ac:dyDescent="0.15">
      <c r="A932" s="56"/>
      <c r="B932" s="56"/>
      <c r="K932" s="56"/>
      <c r="L932" s="56"/>
      <c r="O932" s="56"/>
    </row>
    <row r="933" spans="1:15" ht="13" x14ac:dyDescent="0.15">
      <c r="A933" s="56"/>
      <c r="B933" s="56"/>
      <c r="K933" s="56"/>
      <c r="L933" s="56"/>
      <c r="O933" s="56"/>
    </row>
    <row r="934" spans="1:15" ht="13" x14ac:dyDescent="0.15">
      <c r="A934" s="56"/>
      <c r="B934" s="56"/>
      <c r="K934" s="56"/>
      <c r="L934" s="56"/>
      <c r="O934" s="56"/>
    </row>
    <row r="935" spans="1:15" ht="13" x14ac:dyDescent="0.15">
      <c r="A935" s="56"/>
      <c r="B935" s="56"/>
      <c r="K935" s="56"/>
      <c r="L935" s="56"/>
      <c r="O935" s="56"/>
    </row>
    <row r="936" spans="1:15" ht="13" x14ac:dyDescent="0.15">
      <c r="A936" s="56"/>
      <c r="B936" s="56"/>
      <c r="K936" s="56"/>
      <c r="L936" s="56"/>
      <c r="O936" s="56"/>
    </row>
    <row r="937" spans="1:15" ht="13" x14ac:dyDescent="0.15">
      <c r="A937" s="56"/>
      <c r="B937" s="56"/>
      <c r="K937" s="56"/>
      <c r="L937" s="56"/>
      <c r="O937" s="56"/>
    </row>
    <row r="938" spans="1:15" ht="13" x14ac:dyDescent="0.15">
      <c r="A938" s="56"/>
      <c r="B938" s="56"/>
      <c r="K938" s="56"/>
      <c r="L938" s="56"/>
      <c r="O938" s="56"/>
    </row>
    <row r="939" spans="1:15" ht="13" x14ac:dyDescent="0.15">
      <c r="A939" s="56"/>
      <c r="B939" s="56"/>
      <c r="K939" s="56"/>
      <c r="L939" s="56"/>
      <c r="O939" s="56"/>
    </row>
    <row r="940" spans="1:15" ht="13" x14ac:dyDescent="0.15">
      <c r="A940" s="56"/>
      <c r="B940" s="56"/>
      <c r="K940" s="56"/>
      <c r="L940" s="56"/>
      <c r="O940" s="56"/>
    </row>
    <row r="941" spans="1:15" ht="13" x14ac:dyDescent="0.15">
      <c r="A941" s="56"/>
      <c r="B941" s="56"/>
      <c r="K941" s="56"/>
      <c r="L941" s="56"/>
      <c r="O941" s="56"/>
    </row>
    <row r="942" spans="1:15" ht="13" x14ac:dyDescent="0.15">
      <c r="A942" s="56"/>
      <c r="B942" s="56"/>
      <c r="K942" s="56"/>
      <c r="L942" s="56"/>
      <c r="O942" s="56"/>
    </row>
    <row r="943" spans="1:15" ht="13" x14ac:dyDescent="0.15">
      <c r="A943" s="56"/>
      <c r="B943" s="56"/>
      <c r="K943" s="56"/>
      <c r="L943" s="56"/>
      <c r="O943" s="56"/>
    </row>
    <row r="944" spans="1:15" ht="13" x14ac:dyDescent="0.15">
      <c r="A944" s="56"/>
      <c r="B944" s="56"/>
      <c r="K944" s="56"/>
      <c r="L944" s="56"/>
      <c r="O944" s="56"/>
    </row>
    <row r="945" spans="1:15" ht="13" x14ac:dyDescent="0.15">
      <c r="A945" s="56"/>
      <c r="B945" s="56"/>
      <c r="K945" s="56"/>
      <c r="L945" s="56"/>
      <c r="O945" s="56"/>
    </row>
    <row r="946" spans="1:15" ht="13" x14ac:dyDescent="0.15">
      <c r="A946" s="56"/>
      <c r="B946" s="56"/>
      <c r="K946" s="56"/>
      <c r="L946" s="56"/>
      <c r="O946" s="56"/>
    </row>
    <row r="947" spans="1:15" ht="13" x14ac:dyDescent="0.15">
      <c r="A947" s="56"/>
      <c r="B947" s="56"/>
      <c r="K947" s="56"/>
      <c r="L947" s="56"/>
      <c r="O947" s="56"/>
    </row>
    <row r="948" spans="1:15" ht="13" x14ac:dyDescent="0.15">
      <c r="A948" s="56"/>
      <c r="B948" s="56"/>
      <c r="K948" s="56"/>
      <c r="L948" s="56"/>
      <c r="O948" s="56"/>
    </row>
    <row r="949" spans="1:15" ht="13" x14ac:dyDescent="0.15">
      <c r="A949" s="56"/>
      <c r="B949" s="56"/>
      <c r="K949" s="56"/>
      <c r="L949" s="56"/>
      <c r="O949" s="56"/>
    </row>
    <row r="950" spans="1:15" ht="13" x14ac:dyDescent="0.15">
      <c r="A950" s="56"/>
      <c r="B950" s="56"/>
      <c r="K950" s="56"/>
      <c r="L950" s="56"/>
      <c r="O950" s="56"/>
    </row>
    <row r="951" spans="1:15" ht="13" x14ac:dyDescent="0.15">
      <c r="A951" s="56"/>
      <c r="B951" s="56"/>
      <c r="K951" s="56"/>
      <c r="L951" s="56"/>
      <c r="O951" s="56"/>
    </row>
    <row r="952" spans="1:15" ht="13" x14ac:dyDescent="0.15">
      <c r="A952" s="56"/>
      <c r="B952" s="56"/>
      <c r="K952" s="56"/>
      <c r="L952" s="56"/>
      <c r="O952" s="56"/>
    </row>
    <row r="953" spans="1:15" ht="13" x14ac:dyDescent="0.15">
      <c r="A953" s="56"/>
      <c r="B953" s="56"/>
      <c r="K953" s="56"/>
      <c r="L953" s="56"/>
      <c r="O953" s="56"/>
    </row>
    <row r="954" spans="1:15" ht="13" x14ac:dyDescent="0.15">
      <c r="A954" s="56"/>
      <c r="B954" s="56"/>
      <c r="K954" s="56"/>
      <c r="L954" s="56"/>
      <c r="O954" s="56"/>
    </row>
    <row r="955" spans="1:15" ht="13" x14ac:dyDescent="0.15">
      <c r="A955" s="56"/>
      <c r="B955" s="56"/>
      <c r="K955" s="56"/>
      <c r="L955" s="56"/>
      <c r="O955" s="56"/>
    </row>
    <row r="956" spans="1:15" ht="13" x14ac:dyDescent="0.15">
      <c r="A956" s="56"/>
      <c r="B956" s="56"/>
      <c r="K956" s="56"/>
      <c r="L956" s="56"/>
      <c r="O956" s="56"/>
    </row>
    <row r="957" spans="1:15" ht="13" x14ac:dyDescent="0.15">
      <c r="A957" s="56"/>
      <c r="B957" s="56"/>
      <c r="K957" s="56"/>
      <c r="L957" s="56"/>
      <c r="O957" s="56"/>
    </row>
    <row r="958" spans="1:15" ht="13" x14ac:dyDescent="0.15">
      <c r="A958" s="56"/>
      <c r="B958" s="56"/>
      <c r="K958" s="56"/>
      <c r="L958" s="56"/>
      <c r="O958" s="56"/>
    </row>
    <row r="959" spans="1:15" ht="13" x14ac:dyDescent="0.15">
      <c r="A959" s="56"/>
      <c r="B959" s="56"/>
      <c r="K959" s="56"/>
      <c r="L959" s="56"/>
      <c r="O959" s="56"/>
    </row>
    <row r="960" spans="1:15" ht="13" x14ac:dyDescent="0.15">
      <c r="A960" s="56"/>
      <c r="B960" s="56"/>
      <c r="K960" s="56"/>
      <c r="L960" s="56"/>
      <c r="O960" s="56"/>
    </row>
    <row r="961" spans="1:15" ht="13" x14ac:dyDescent="0.15">
      <c r="A961" s="56"/>
      <c r="B961" s="56"/>
      <c r="K961" s="56"/>
      <c r="L961" s="56"/>
      <c r="O961" s="56"/>
    </row>
    <row r="962" spans="1:15" ht="13" x14ac:dyDescent="0.15">
      <c r="A962" s="56"/>
      <c r="B962" s="56"/>
      <c r="K962" s="56"/>
      <c r="L962" s="56"/>
      <c r="O962" s="56"/>
    </row>
    <row r="963" spans="1:15" ht="13" x14ac:dyDescent="0.15">
      <c r="A963" s="56"/>
      <c r="B963" s="56"/>
      <c r="K963" s="56"/>
      <c r="L963" s="56"/>
      <c r="O963" s="56"/>
    </row>
    <row r="964" spans="1:15" ht="13" x14ac:dyDescent="0.15">
      <c r="A964" s="56"/>
      <c r="B964" s="56"/>
      <c r="K964" s="56"/>
      <c r="L964" s="56"/>
      <c r="O964" s="56"/>
    </row>
    <row r="965" spans="1:15" ht="13" x14ac:dyDescent="0.15">
      <c r="A965" s="56"/>
      <c r="B965" s="56"/>
      <c r="K965" s="56"/>
      <c r="L965" s="56"/>
      <c r="O965" s="56"/>
    </row>
    <row r="966" spans="1:15" ht="13" x14ac:dyDescent="0.15">
      <c r="A966" s="56"/>
      <c r="B966" s="56"/>
      <c r="K966" s="56"/>
      <c r="L966" s="56"/>
      <c r="O966" s="56"/>
    </row>
    <row r="967" spans="1:15" ht="13" x14ac:dyDescent="0.15">
      <c r="A967" s="56"/>
      <c r="B967" s="56"/>
      <c r="K967" s="56"/>
      <c r="L967" s="56"/>
      <c r="O967" s="56"/>
    </row>
    <row r="968" spans="1:15" ht="13" x14ac:dyDescent="0.15">
      <c r="A968" s="56"/>
      <c r="B968" s="56"/>
      <c r="K968" s="56"/>
      <c r="L968" s="56"/>
      <c r="O968" s="56"/>
    </row>
    <row r="969" spans="1:15" ht="13" x14ac:dyDescent="0.15">
      <c r="A969" s="56"/>
      <c r="B969" s="56"/>
      <c r="K969" s="56"/>
      <c r="L969" s="56"/>
      <c r="O969" s="56"/>
    </row>
    <row r="970" spans="1:15" ht="13" x14ac:dyDescent="0.15">
      <c r="A970" s="56"/>
      <c r="B970" s="56"/>
      <c r="K970" s="56"/>
      <c r="L970" s="56"/>
      <c r="O970" s="56"/>
    </row>
    <row r="971" spans="1:15" ht="13" x14ac:dyDescent="0.15">
      <c r="A971" s="56"/>
      <c r="B971" s="56"/>
      <c r="K971" s="56"/>
      <c r="L971" s="56"/>
      <c r="O971" s="56"/>
    </row>
    <row r="972" spans="1:15" ht="13" x14ac:dyDescent="0.15">
      <c r="A972" s="56"/>
      <c r="B972" s="56"/>
      <c r="K972" s="56"/>
      <c r="L972" s="56"/>
      <c r="O972" s="56"/>
    </row>
    <row r="973" spans="1:15" ht="13" x14ac:dyDescent="0.15">
      <c r="A973" s="56"/>
      <c r="B973" s="56"/>
      <c r="K973" s="56"/>
      <c r="L973" s="56"/>
      <c r="O973" s="56"/>
    </row>
    <row r="974" spans="1:15" ht="13" x14ac:dyDescent="0.15">
      <c r="A974" s="56"/>
      <c r="B974" s="56"/>
      <c r="K974" s="56"/>
      <c r="L974" s="56"/>
      <c r="O974" s="56"/>
    </row>
    <row r="975" spans="1:15" ht="13" x14ac:dyDescent="0.15">
      <c r="A975" s="56"/>
      <c r="B975" s="56"/>
      <c r="K975" s="56"/>
      <c r="L975" s="56"/>
      <c r="O975" s="56"/>
    </row>
    <row r="976" spans="1:15" ht="13" x14ac:dyDescent="0.15">
      <c r="A976" s="56"/>
      <c r="B976" s="56"/>
      <c r="K976" s="56"/>
      <c r="L976" s="56"/>
      <c r="O976" s="56"/>
    </row>
    <row r="977" spans="1:15" ht="13" x14ac:dyDescent="0.15">
      <c r="A977" s="56"/>
      <c r="B977" s="56"/>
      <c r="K977" s="56"/>
      <c r="L977" s="56"/>
      <c r="O977" s="56"/>
    </row>
    <row r="978" spans="1:15" ht="13" x14ac:dyDescent="0.15">
      <c r="A978" s="56"/>
      <c r="B978" s="56"/>
      <c r="K978" s="56"/>
      <c r="L978" s="56"/>
      <c r="O978" s="56"/>
    </row>
    <row r="979" spans="1:15" ht="13" x14ac:dyDescent="0.15">
      <c r="A979" s="56"/>
      <c r="B979" s="56"/>
      <c r="K979" s="56"/>
      <c r="L979" s="56"/>
      <c r="O979" s="56"/>
    </row>
    <row r="980" spans="1:15" ht="13" x14ac:dyDescent="0.15">
      <c r="A980" s="56"/>
      <c r="B980" s="56"/>
      <c r="K980" s="56"/>
      <c r="L980" s="56"/>
      <c r="O980" s="56"/>
    </row>
    <row r="981" spans="1:15" ht="13" x14ac:dyDescent="0.15">
      <c r="A981" s="56"/>
      <c r="B981" s="56"/>
      <c r="K981" s="56"/>
      <c r="L981" s="56"/>
      <c r="O981" s="56"/>
    </row>
    <row r="982" spans="1:15" ht="13" x14ac:dyDescent="0.15">
      <c r="A982" s="56"/>
      <c r="B982" s="56"/>
      <c r="K982" s="56"/>
      <c r="L982" s="56"/>
      <c r="O982" s="56"/>
    </row>
    <row r="983" spans="1:15" ht="13" x14ac:dyDescent="0.15">
      <c r="A983" s="56"/>
      <c r="B983" s="56"/>
      <c r="K983" s="56"/>
      <c r="L983" s="56"/>
      <c r="O983" s="56"/>
    </row>
    <row r="984" spans="1:15" ht="13" x14ac:dyDescent="0.15">
      <c r="A984" s="56"/>
      <c r="B984" s="56"/>
      <c r="K984" s="56"/>
      <c r="L984" s="56"/>
      <c r="O984" s="56"/>
    </row>
    <row r="985" spans="1:15" ht="13" x14ac:dyDescent="0.15">
      <c r="A985" s="56"/>
      <c r="B985" s="56"/>
      <c r="K985" s="56"/>
      <c r="L985" s="56"/>
      <c r="O985" s="56"/>
    </row>
    <row r="986" spans="1:15" ht="13" x14ac:dyDescent="0.15">
      <c r="A986" s="56"/>
      <c r="B986" s="56"/>
      <c r="K986" s="56"/>
      <c r="L986" s="56"/>
      <c r="O986" s="56"/>
    </row>
    <row r="987" spans="1:15" ht="13" x14ac:dyDescent="0.15">
      <c r="A987" s="56"/>
      <c r="B987" s="56"/>
      <c r="K987" s="56"/>
      <c r="L987" s="56"/>
      <c r="O987" s="56"/>
    </row>
  </sheetData>
  <autoFilter ref="G1:G987" xr:uid="{00000000-0009-0000-0000-00000D000000}"/>
  <mergeCells count="1">
    <mergeCell ref="M5:N5"/>
  </mergeCells>
  <hyperlinks>
    <hyperlink ref="M2" r:id="rId1" xr:uid="{00000000-0004-0000-0D00-000000000000}"/>
    <hyperlink ref="M3" r:id="rId2" xr:uid="{00000000-0004-0000-0D00-000001000000}"/>
    <hyperlink ref="M5" r:id="rId3" xr:uid="{00000000-0004-0000-0D00-000002000000}"/>
    <hyperlink ref="M6" r:id="rId4" xr:uid="{00000000-0004-0000-0D00-000003000000}"/>
    <hyperlink ref="M36" r:id="rId5" xr:uid="{00000000-0004-0000-0D00-000004000000}"/>
  </hyperlinks>
  <pageMargins left="0.7" right="0.7" top="0.3" bottom="0.3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994"/>
  <sheetViews>
    <sheetView workbookViewId="0"/>
  </sheetViews>
  <sheetFormatPr baseColWidth="10" defaultColWidth="12.6640625" defaultRowHeight="15.75" customHeight="1" x14ac:dyDescent="0.15"/>
  <cols>
    <col min="1" max="1" width="12.1640625" customWidth="1"/>
    <col min="2" max="2" width="18.33203125" customWidth="1"/>
    <col min="3" max="4" width="9.6640625" customWidth="1"/>
    <col min="5" max="5" width="60.83203125" customWidth="1"/>
    <col min="6" max="6" width="89.83203125" customWidth="1"/>
    <col min="7" max="7" width="21.1640625" customWidth="1"/>
    <col min="8" max="8" width="63.1640625" customWidth="1"/>
    <col min="9" max="9" width="33.33203125" customWidth="1"/>
    <col min="10" max="10" width="31" customWidth="1"/>
    <col min="11" max="11" width="20.1640625" customWidth="1"/>
    <col min="12" max="12" width="18.6640625" customWidth="1"/>
    <col min="13" max="13" width="21.1640625" customWidth="1"/>
    <col min="14" max="14" width="32.1640625" customWidth="1"/>
    <col min="15" max="15" width="21.6640625" customWidth="1"/>
    <col min="16" max="16" width="8.6640625" customWidth="1"/>
    <col min="17" max="17" width="23.33203125" customWidth="1"/>
    <col min="18" max="18" width="24.6640625" customWidth="1"/>
    <col min="19" max="19" width="21" customWidth="1"/>
    <col min="20" max="20" width="8.6640625" customWidth="1"/>
    <col min="21" max="21" width="41.6640625" customWidth="1"/>
    <col min="22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80" t="s">
        <v>38</v>
      </c>
      <c r="D1" s="80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49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20</v>
      </c>
      <c r="B2" s="61" t="s">
        <v>4888</v>
      </c>
      <c r="C2" s="62" t="s">
        <v>51</v>
      </c>
      <c r="D2" s="62" t="str">
        <f t="shared" ref="D2:D51" si="0">A2&amp;B2&amp;C2</f>
        <v>2014001</v>
      </c>
      <c r="E2" s="67" t="s">
        <v>4889</v>
      </c>
      <c r="F2" s="67" t="s">
        <v>4890</v>
      </c>
      <c r="G2" s="67" t="s">
        <v>4891</v>
      </c>
      <c r="H2" s="67" t="s">
        <v>4892</v>
      </c>
      <c r="I2" s="67" t="s">
        <v>4893</v>
      </c>
      <c r="J2" s="63"/>
      <c r="K2" s="61">
        <v>8977977450</v>
      </c>
      <c r="L2" s="62"/>
      <c r="M2" s="86" t="s">
        <v>4894</v>
      </c>
      <c r="N2" s="67" t="s">
        <v>4895</v>
      </c>
      <c r="O2" s="6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20</v>
      </c>
      <c r="B3" s="61" t="s">
        <v>4888</v>
      </c>
      <c r="C3" s="62" t="s">
        <v>60</v>
      </c>
      <c r="D3" s="62" t="str">
        <f t="shared" si="0"/>
        <v>2014002</v>
      </c>
      <c r="E3" s="67" t="s">
        <v>4896</v>
      </c>
      <c r="F3" s="67" t="s">
        <v>4897</v>
      </c>
      <c r="G3" s="67" t="s">
        <v>4898</v>
      </c>
      <c r="H3" s="67" t="s">
        <v>4899</v>
      </c>
      <c r="I3" s="67" t="s">
        <v>4900</v>
      </c>
      <c r="J3" s="67"/>
      <c r="K3" s="61">
        <v>85858641862</v>
      </c>
      <c r="L3" s="61"/>
      <c r="M3" s="67"/>
      <c r="N3" s="67" t="s">
        <v>4901</v>
      </c>
      <c r="O3" s="61">
        <v>4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20</v>
      </c>
      <c r="B4" s="61" t="s">
        <v>4888</v>
      </c>
      <c r="C4" s="62" t="s">
        <v>68</v>
      </c>
      <c r="D4" s="62" t="str">
        <f t="shared" si="0"/>
        <v>2014003</v>
      </c>
      <c r="E4" s="67" t="s">
        <v>4902</v>
      </c>
      <c r="F4" s="67" t="s">
        <v>4903</v>
      </c>
      <c r="G4" s="67" t="s">
        <v>4904</v>
      </c>
      <c r="H4" s="67" t="s">
        <v>4905</v>
      </c>
      <c r="I4" s="67" t="s">
        <v>4906</v>
      </c>
      <c r="J4" s="67" t="s">
        <v>4907</v>
      </c>
      <c r="K4" s="61">
        <v>82141608798</v>
      </c>
      <c r="L4" s="61">
        <v>81212378499</v>
      </c>
      <c r="M4" s="221" t="s">
        <v>4908</v>
      </c>
      <c r="N4" s="67" t="s">
        <v>4909</v>
      </c>
      <c r="O4" s="61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21</v>
      </c>
      <c r="B5" s="61" t="s">
        <v>4888</v>
      </c>
      <c r="C5" s="62" t="s">
        <v>76</v>
      </c>
      <c r="D5" s="62" t="str">
        <f t="shared" si="0"/>
        <v>2114004</v>
      </c>
      <c r="E5" s="67" t="s">
        <v>4910</v>
      </c>
      <c r="F5" s="67" t="s">
        <v>4911</v>
      </c>
      <c r="G5" s="67" t="s">
        <v>4904</v>
      </c>
      <c r="H5" s="67" t="s">
        <v>4912</v>
      </c>
      <c r="I5" s="67" t="s">
        <v>4913</v>
      </c>
      <c r="J5" s="67" t="s">
        <v>4914</v>
      </c>
      <c r="K5" s="61">
        <v>85804345622</v>
      </c>
      <c r="L5" s="61" t="s">
        <v>4915</v>
      </c>
      <c r="M5" s="221" t="s">
        <v>4916</v>
      </c>
      <c r="N5" s="67" t="s">
        <v>4917</v>
      </c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21</v>
      </c>
      <c r="B6" s="61" t="s">
        <v>4888</v>
      </c>
      <c r="C6" s="62" t="s">
        <v>84</v>
      </c>
      <c r="D6" s="62" t="str">
        <f t="shared" si="0"/>
        <v>2114005</v>
      </c>
      <c r="E6" s="67" t="s">
        <v>4918</v>
      </c>
      <c r="F6" s="67" t="s">
        <v>4919</v>
      </c>
      <c r="G6" s="67" t="s">
        <v>4904</v>
      </c>
      <c r="H6" s="67" t="s">
        <v>4920</v>
      </c>
      <c r="I6" s="67" t="s">
        <v>4921</v>
      </c>
      <c r="J6" s="67" t="s">
        <v>4922</v>
      </c>
      <c r="K6" s="61" t="s">
        <v>4923</v>
      </c>
      <c r="L6" s="61" t="s">
        <v>4924</v>
      </c>
      <c r="M6" s="221" t="s">
        <v>4925</v>
      </c>
      <c r="N6" s="67" t="s">
        <v>4926</v>
      </c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21</v>
      </c>
      <c r="B7" s="61" t="s">
        <v>4888</v>
      </c>
      <c r="C7" s="62" t="s">
        <v>92</v>
      </c>
      <c r="D7" s="62" t="str">
        <f t="shared" si="0"/>
        <v>2114006</v>
      </c>
      <c r="E7" s="67" t="s">
        <v>4927</v>
      </c>
      <c r="F7" s="67" t="s">
        <v>4928</v>
      </c>
      <c r="G7" s="67" t="s">
        <v>4904</v>
      </c>
      <c r="H7" s="67" t="s">
        <v>4929</v>
      </c>
      <c r="I7" s="67" t="s">
        <v>4930</v>
      </c>
      <c r="J7" s="67" t="s">
        <v>4931</v>
      </c>
      <c r="K7" s="61">
        <v>81234992289</v>
      </c>
      <c r="L7" s="61">
        <v>85812370641</v>
      </c>
      <c r="M7" s="221" t="s">
        <v>4932</v>
      </c>
      <c r="N7" s="67" t="s">
        <v>4933</v>
      </c>
      <c r="O7" s="6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21</v>
      </c>
      <c r="B8" s="61" t="s">
        <v>4888</v>
      </c>
      <c r="C8" s="62" t="s">
        <v>100</v>
      </c>
      <c r="D8" s="62" t="str">
        <f t="shared" si="0"/>
        <v>2114007</v>
      </c>
      <c r="E8" s="67" t="s">
        <v>4934</v>
      </c>
      <c r="F8" s="67" t="s">
        <v>4935</v>
      </c>
      <c r="G8" s="67" t="s">
        <v>4898</v>
      </c>
      <c r="H8" s="67" t="s">
        <v>4936</v>
      </c>
      <c r="I8" s="67" t="s">
        <v>4937</v>
      </c>
      <c r="J8" s="67"/>
      <c r="K8" s="61" t="s">
        <v>4938</v>
      </c>
      <c r="L8" s="61"/>
      <c r="M8" s="67"/>
      <c r="N8" s="67" t="s">
        <v>4939</v>
      </c>
      <c r="O8" s="61">
        <v>15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21</v>
      </c>
      <c r="B9" s="61" t="s">
        <v>4888</v>
      </c>
      <c r="C9" s="62" t="s">
        <v>108</v>
      </c>
      <c r="D9" s="62" t="str">
        <f t="shared" si="0"/>
        <v>2114008</v>
      </c>
      <c r="E9" s="67" t="s">
        <v>4940</v>
      </c>
      <c r="F9" s="67" t="s">
        <v>4941</v>
      </c>
      <c r="G9" s="67" t="s">
        <v>4904</v>
      </c>
      <c r="H9" s="67" t="s">
        <v>4942</v>
      </c>
      <c r="I9" s="67" t="s">
        <v>4943</v>
      </c>
      <c r="J9" s="67" t="s">
        <v>4944</v>
      </c>
      <c r="K9" s="61">
        <v>85330143585</v>
      </c>
      <c r="L9" s="61">
        <v>83102836674</v>
      </c>
      <c r="M9" s="221" t="s">
        <v>4945</v>
      </c>
      <c r="N9" s="67" t="s">
        <v>4946</v>
      </c>
      <c r="O9" s="6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22</v>
      </c>
      <c r="B10" s="61" t="s">
        <v>4888</v>
      </c>
      <c r="C10" s="62" t="s">
        <v>116</v>
      </c>
      <c r="D10" s="62" t="str">
        <f t="shared" si="0"/>
        <v>2214009</v>
      </c>
      <c r="E10" s="67" t="s">
        <v>4947</v>
      </c>
      <c r="F10" s="67" t="s">
        <v>4948</v>
      </c>
      <c r="G10" s="67" t="s">
        <v>4891</v>
      </c>
      <c r="H10" s="67" t="s">
        <v>4949</v>
      </c>
      <c r="I10" s="67" t="s">
        <v>4950</v>
      </c>
      <c r="J10" s="67"/>
      <c r="K10" s="61" t="s">
        <v>4951</v>
      </c>
      <c r="L10" s="61"/>
      <c r="M10" s="67"/>
      <c r="N10" s="67"/>
      <c r="O10" s="61">
        <v>4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22</v>
      </c>
      <c r="B11" s="61" t="s">
        <v>4888</v>
      </c>
      <c r="C11" s="62" t="s">
        <v>124</v>
      </c>
      <c r="D11" s="62" t="str">
        <f t="shared" si="0"/>
        <v>2214010</v>
      </c>
      <c r="E11" s="67" t="s">
        <v>4952</v>
      </c>
      <c r="F11" s="67" t="s">
        <v>4953</v>
      </c>
      <c r="G11" s="67" t="s">
        <v>4898</v>
      </c>
      <c r="H11" s="67" t="s">
        <v>4954</v>
      </c>
      <c r="I11" s="67" t="s">
        <v>4955</v>
      </c>
      <c r="J11" s="67"/>
      <c r="K11" s="61" t="s">
        <v>4956</v>
      </c>
      <c r="L11" s="61"/>
      <c r="M11" s="67"/>
      <c r="N11" s="67"/>
      <c r="O11" s="61">
        <v>5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22</v>
      </c>
      <c r="B12" s="61" t="s">
        <v>4888</v>
      </c>
      <c r="C12" s="62" t="s">
        <v>132</v>
      </c>
      <c r="D12" s="62" t="str">
        <f t="shared" si="0"/>
        <v>2214011</v>
      </c>
      <c r="E12" s="67" t="s">
        <v>4957</v>
      </c>
      <c r="F12" s="67" t="s">
        <v>4958</v>
      </c>
      <c r="G12" s="67" t="s">
        <v>4898</v>
      </c>
      <c r="H12" s="67" t="s">
        <v>4959</v>
      </c>
      <c r="I12" s="67" t="s">
        <v>4960</v>
      </c>
      <c r="J12" s="67"/>
      <c r="K12" s="61" t="s">
        <v>4961</v>
      </c>
      <c r="L12" s="61"/>
      <c r="M12" s="67"/>
      <c r="N12" s="67"/>
      <c r="O12" s="61">
        <v>4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22</v>
      </c>
      <c r="B13" s="61" t="s">
        <v>4888</v>
      </c>
      <c r="C13" s="62" t="s">
        <v>140</v>
      </c>
      <c r="D13" s="62" t="str">
        <f t="shared" si="0"/>
        <v>2214012</v>
      </c>
      <c r="E13" s="67" t="s">
        <v>4962</v>
      </c>
      <c r="F13" s="67" t="s">
        <v>4963</v>
      </c>
      <c r="G13" s="67" t="s">
        <v>4964</v>
      </c>
      <c r="H13" s="67" t="s">
        <v>4965</v>
      </c>
      <c r="I13" s="67" t="s">
        <v>4966</v>
      </c>
      <c r="J13" s="67"/>
      <c r="K13" s="61" t="s">
        <v>4967</v>
      </c>
      <c r="L13" s="61"/>
      <c r="M13" s="67"/>
      <c r="N13" s="67"/>
      <c r="O13" s="61">
        <v>3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22</v>
      </c>
      <c r="B14" s="61" t="s">
        <v>4888</v>
      </c>
      <c r="C14" s="62" t="s">
        <v>148</v>
      </c>
      <c r="D14" s="62" t="str">
        <f t="shared" si="0"/>
        <v>2214013</v>
      </c>
      <c r="E14" s="67" t="s">
        <v>4968</v>
      </c>
      <c r="F14" s="67" t="s">
        <v>4969</v>
      </c>
      <c r="G14" s="67" t="s">
        <v>4898</v>
      </c>
      <c r="H14" s="67" t="s">
        <v>4970</v>
      </c>
      <c r="I14" s="67" t="s">
        <v>4971</v>
      </c>
      <c r="J14" s="67"/>
      <c r="K14" s="61" t="s">
        <v>4972</v>
      </c>
      <c r="L14" s="61"/>
      <c r="M14" s="67"/>
      <c r="N14" s="67"/>
      <c r="O14" s="61">
        <v>10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22</v>
      </c>
      <c r="B15" s="61" t="s">
        <v>4888</v>
      </c>
      <c r="C15" s="62" t="s">
        <v>156</v>
      </c>
      <c r="D15" s="62" t="str">
        <f t="shared" si="0"/>
        <v>2214014</v>
      </c>
      <c r="E15" s="67" t="s">
        <v>4973</v>
      </c>
      <c r="F15" s="67" t="s">
        <v>4974</v>
      </c>
      <c r="G15" s="67" t="s">
        <v>4964</v>
      </c>
      <c r="H15" s="67" t="s">
        <v>4975</v>
      </c>
      <c r="I15" s="67" t="s">
        <v>4976</v>
      </c>
      <c r="J15" s="67"/>
      <c r="K15" s="61" t="s">
        <v>4977</v>
      </c>
      <c r="L15" s="61"/>
      <c r="M15" s="67"/>
      <c r="N15" s="67"/>
      <c r="O15" s="61">
        <v>6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22</v>
      </c>
      <c r="B16" s="61" t="s">
        <v>4888</v>
      </c>
      <c r="C16" s="62" t="s">
        <v>164</v>
      </c>
      <c r="D16" s="62" t="str">
        <f t="shared" si="0"/>
        <v>2214015</v>
      </c>
      <c r="E16" s="67" t="s">
        <v>4978</v>
      </c>
      <c r="F16" s="67" t="s">
        <v>4979</v>
      </c>
      <c r="G16" s="67" t="s">
        <v>4964</v>
      </c>
      <c r="H16" s="67" t="s">
        <v>4980</v>
      </c>
      <c r="I16" s="67" t="s">
        <v>4981</v>
      </c>
      <c r="J16" s="67"/>
      <c r="K16" s="61" t="s">
        <v>4982</v>
      </c>
      <c r="L16" s="61"/>
      <c r="M16" s="67"/>
      <c r="N16" s="67"/>
      <c r="O16" s="61">
        <v>5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4888</v>
      </c>
      <c r="C17" s="62" t="s">
        <v>173</v>
      </c>
      <c r="D17" s="62" t="str">
        <f t="shared" si="0"/>
        <v>2214016</v>
      </c>
      <c r="E17" s="67" t="s">
        <v>4983</v>
      </c>
      <c r="F17" s="67" t="s">
        <v>4984</v>
      </c>
      <c r="G17" s="67" t="s">
        <v>4964</v>
      </c>
      <c r="H17" s="67" t="s">
        <v>4985</v>
      </c>
      <c r="I17" s="67" t="s">
        <v>4986</v>
      </c>
      <c r="J17" s="67"/>
      <c r="K17" s="61" t="s">
        <v>4987</v>
      </c>
      <c r="L17" s="61"/>
      <c r="M17" s="67"/>
      <c r="N17" s="67"/>
      <c r="O17" s="61">
        <v>5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23</v>
      </c>
      <c r="B18" s="61" t="s">
        <v>4888</v>
      </c>
      <c r="C18" s="62" t="s">
        <v>180</v>
      </c>
      <c r="D18" s="62" t="str">
        <f t="shared" si="0"/>
        <v>2314017</v>
      </c>
      <c r="E18" s="67" t="s">
        <v>4988</v>
      </c>
      <c r="F18" s="67" t="s">
        <v>4989</v>
      </c>
      <c r="G18" s="67" t="s">
        <v>4964</v>
      </c>
      <c r="H18" s="67" t="s">
        <v>4990</v>
      </c>
      <c r="I18" s="67" t="s">
        <v>4991</v>
      </c>
      <c r="J18" s="67"/>
      <c r="K18" s="61" t="s">
        <v>4992</v>
      </c>
      <c r="L18" s="61"/>
      <c r="M18" s="67"/>
      <c r="N18" s="67"/>
      <c r="O18" s="61">
        <v>5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23</v>
      </c>
      <c r="B19" s="61" t="s">
        <v>4888</v>
      </c>
      <c r="C19" s="62" t="s">
        <v>188</v>
      </c>
      <c r="D19" s="62" t="str">
        <f t="shared" si="0"/>
        <v>2314018</v>
      </c>
      <c r="E19" s="67" t="s">
        <v>4993</v>
      </c>
      <c r="F19" s="67" t="s">
        <v>4994</v>
      </c>
      <c r="G19" s="67" t="s">
        <v>4898</v>
      </c>
      <c r="H19" s="67" t="s">
        <v>4995</v>
      </c>
      <c r="I19" s="67" t="s">
        <v>4996</v>
      </c>
      <c r="J19" s="67"/>
      <c r="K19" s="61" t="s">
        <v>4997</v>
      </c>
      <c r="L19" s="61"/>
      <c r="M19" s="67"/>
      <c r="N19" s="67"/>
      <c r="O19" s="61">
        <v>4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23</v>
      </c>
      <c r="B20" s="61" t="s">
        <v>4888</v>
      </c>
      <c r="C20" s="62" t="s">
        <v>196</v>
      </c>
      <c r="D20" s="62" t="str">
        <f t="shared" si="0"/>
        <v>2314019</v>
      </c>
      <c r="E20" s="67" t="s">
        <v>4998</v>
      </c>
      <c r="F20" s="67" t="s">
        <v>4999</v>
      </c>
      <c r="G20" s="67" t="s">
        <v>4964</v>
      </c>
      <c r="H20" s="67" t="s">
        <v>5000</v>
      </c>
      <c r="I20" s="67" t="s">
        <v>5001</v>
      </c>
      <c r="J20" s="67"/>
      <c r="K20" s="61" t="s">
        <v>5002</v>
      </c>
      <c r="L20" s="61"/>
      <c r="M20" s="67"/>
      <c r="N20" s="67"/>
      <c r="O20" s="61">
        <v>2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23</v>
      </c>
      <c r="B21" s="61" t="s">
        <v>4888</v>
      </c>
      <c r="C21" s="62" t="s">
        <v>204</v>
      </c>
      <c r="D21" s="62" t="str">
        <f t="shared" si="0"/>
        <v>2314020</v>
      </c>
      <c r="E21" s="67" t="s">
        <v>5003</v>
      </c>
      <c r="F21" s="67" t="s">
        <v>5004</v>
      </c>
      <c r="G21" s="67" t="s">
        <v>4898</v>
      </c>
      <c r="H21" s="67" t="s">
        <v>5005</v>
      </c>
      <c r="I21" s="67" t="s">
        <v>5006</v>
      </c>
      <c r="J21" s="67"/>
      <c r="K21" s="61" t="s">
        <v>5007</v>
      </c>
      <c r="L21" s="61"/>
      <c r="M21" s="67"/>
      <c r="N21" s="67"/>
      <c r="O21" s="61">
        <v>3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23</v>
      </c>
      <c r="B22" s="61" t="s">
        <v>4888</v>
      </c>
      <c r="C22" s="62" t="s">
        <v>212</v>
      </c>
      <c r="D22" s="62" t="str">
        <f t="shared" si="0"/>
        <v>2314021</v>
      </c>
      <c r="E22" s="67" t="s">
        <v>5008</v>
      </c>
      <c r="F22" s="67" t="s">
        <v>5009</v>
      </c>
      <c r="G22" s="67" t="s">
        <v>4964</v>
      </c>
      <c r="H22" s="67" t="s">
        <v>5010</v>
      </c>
      <c r="I22" s="67" t="s">
        <v>5011</v>
      </c>
      <c r="J22" s="67"/>
      <c r="K22" s="61" t="s">
        <v>5012</v>
      </c>
      <c r="L22" s="61"/>
      <c r="M22" s="67"/>
      <c r="N22" s="67" t="s">
        <v>5013</v>
      </c>
      <c r="O22" s="61">
        <v>2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23</v>
      </c>
      <c r="B23" s="61" t="s">
        <v>4888</v>
      </c>
      <c r="C23" s="62" t="s">
        <v>219</v>
      </c>
      <c r="D23" s="62" t="str">
        <f t="shared" si="0"/>
        <v>2314022</v>
      </c>
      <c r="E23" s="67" t="s">
        <v>5014</v>
      </c>
      <c r="F23" s="67" t="s">
        <v>5015</v>
      </c>
      <c r="G23" s="67" t="s">
        <v>4898</v>
      </c>
      <c r="H23" s="67" t="s">
        <v>5016</v>
      </c>
      <c r="I23" s="67" t="s">
        <v>4242</v>
      </c>
      <c r="J23" s="67"/>
      <c r="K23" s="61" t="s">
        <v>5017</v>
      </c>
      <c r="L23" s="61"/>
      <c r="M23" s="67"/>
      <c r="N23" s="67" t="s">
        <v>5018</v>
      </c>
      <c r="O23" s="61">
        <v>3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23</v>
      </c>
      <c r="B24" s="61" t="s">
        <v>4888</v>
      </c>
      <c r="C24" s="62" t="s">
        <v>226</v>
      </c>
      <c r="D24" s="62" t="str">
        <f t="shared" si="0"/>
        <v>2314023</v>
      </c>
      <c r="E24" s="67" t="s">
        <v>5019</v>
      </c>
      <c r="F24" s="67" t="s">
        <v>5020</v>
      </c>
      <c r="G24" s="67" t="s">
        <v>4964</v>
      </c>
      <c r="H24" s="67" t="s">
        <v>5021</v>
      </c>
      <c r="I24" s="67" t="s">
        <v>5022</v>
      </c>
      <c r="J24" s="67"/>
      <c r="K24" s="61" t="s">
        <v>5023</v>
      </c>
      <c r="L24" s="61"/>
      <c r="M24" s="67"/>
      <c r="N24" s="67"/>
      <c r="O24" s="61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23</v>
      </c>
      <c r="B25" s="61" t="s">
        <v>4888</v>
      </c>
      <c r="C25" s="62" t="s">
        <v>234</v>
      </c>
      <c r="D25" s="62" t="str">
        <f t="shared" si="0"/>
        <v>2314024</v>
      </c>
      <c r="E25" s="67" t="s">
        <v>5024</v>
      </c>
      <c r="F25" s="67" t="s">
        <v>5025</v>
      </c>
      <c r="G25" s="67" t="s">
        <v>4964</v>
      </c>
      <c r="H25" s="67" t="s">
        <v>5026</v>
      </c>
      <c r="I25" s="67" t="s">
        <v>5027</v>
      </c>
      <c r="J25" s="67"/>
      <c r="K25" s="61" t="s">
        <v>5028</v>
      </c>
      <c r="L25" s="61"/>
      <c r="M25" s="67"/>
      <c r="N25" s="67" t="s">
        <v>5029</v>
      </c>
      <c r="O25" s="61">
        <v>5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23</v>
      </c>
      <c r="B26" s="61" t="s">
        <v>4888</v>
      </c>
      <c r="C26" s="62" t="s">
        <v>240</v>
      </c>
      <c r="D26" s="62" t="str">
        <f t="shared" si="0"/>
        <v>2314025</v>
      </c>
      <c r="E26" s="67" t="s">
        <v>2522</v>
      </c>
      <c r="F26" s="67" t="s">
        <v>5030</v>
      </c>
      <c r="G26" s="67" t="s">
        <v>4898</v>
      </c>
      <c r="H26" s="67" t="s">
        <v>2524</v>
      </c>
      <c r="I26" s="67" t="s">
        <v>5031</v>
      </c>
      <c r="J26" s="67"/>
      <c r="K26" s="61" t="s">
        <v>2526</v>
      </c>
      <c r="L26" s="61"/>
      <c r="M26" s="67"/>
      <c r="N26" s="67" t="s">
        <v>2527</v>
      </c>
      <c r="O26" s="61">
        <v>5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23</v>
      </c>
      <c r="B27" s="61" t="s">
        <v>4888</v>
      </c>
      <c r="C27" s="62" t="s">
        <v>246</v>
      </c>
      <c r="D27" s="62" t="str">
        <f t="shared" si="0"/>
        <v>2314026</v>
      </c>
      <c r="E27" s="67" t="s">
        <v>5032</v>
      </c>
      <c r="F27" s="67" t="s">
        <v>5033</v>
      </c>
      <c r="G27" s="67" t="s">
        <v>4964</v>
      </c>
      <c r="H27" s="67" t="s">
        <v>5034</v>
      </c>
      <c r="I27" s="67" t="s">
        <v>5035</v>
      </c>
      <c r="J27" s="67"/>
      <c r="K27" s="61" t="s">
        <v>5036</v>
      </c>
      <c r="L27" s="61"/>
      <c r="M27" s="67"/>
      <c r="N27" s="67" t="s">
        <v>5037</v>
      </c>
      <c r="O27" s="61">
        <v>2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23</v>
      </c>
      <c r="B28" s="61" t="s">
        <v>4888</v>
      </c>
      <c r="C28" s="62" t="s">
        <v>251</v>
      </c>
      <c r="D28" s="62" t="str">
        <f t="shared" si="0"/>
        <v>2314027</v>
      </c>
      <c r="E28" s="67" t="s">
        <v>5038</v>
      </c>
      <c r="F28" s="67" t="s">
        <v>5039</v>
      </c>
      <c r="G28" s="67" t="s">
        <v>4898</v>
      </c>
      <c r="H28" s="67" t="s">
        <v>5040</v>
      </c>
      <c r="I28" s="67" t="s">
        <v>5041</v>
      </c>
      <c r="J28" s="67"/>
      <c r="K28" s="61" t="s">
        <v>5042</v>
      </c>
      <c r="L28" s="61"/>
      <c r="M28" s="67"/>
      <c r="N28" s="67"/>
      <c r="O28" s="61">
        <v>3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24</v>
      </c>
      <c r="B29" s="61" t="s">
        <v>4888</v>
      </c>
      <c r="C29" s="62" t="s">
        <v>256</v>
      </c>
      <c r="D29" s="62" t="str">
        <f t="shared" si="0"/>
        <v>2414028</v>
      </c>
      <c r="E29" s="67" t="s">
        <v>5043</v>
      </c>
      <c r="F29" s="67" t="s">
        <v>5044</v>
      </c>
      <c r="G29" s="67" t="s">
        <v>4964</v>
      </c>
      <c r="H29" s="67" t="s">
        <v>5045</v>
      </c>
      <c r="I29" s="67" t="s">
        <v>5046</v>
      </c>
      <c r="J29" s="67"/>
      <c r="K29" s="61">
        <v>85785349648</v>
      </c>
      <c r="L29" s="61"/>
      <c r="M29" s="67"/>
      <c r="N29" s="67" t="s">
        <v>5047</v>
      </c>
      <c r="O29" s="61">
        <v>5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24</v>
      </c>
      <c r="B30" s="61" t="s">
        <v>4888</v>
      </c>
      <c r="C30" s="62" t="s">
        <v>261</v>
      </c>
      <c r="D30" s="62" t="str">
        <f t="shared" si="0"/>
        <v>2414029</v>
      </c>
      <c r="E30" s="67" t="s">
        <v>5048</v>
      </c>
      <c r="F30" s="67" t="s">
        <v>5049</v>
      </c>
      <c r="G30" s="67" t="s">
        <v>4964</v>
      </c>
      <c r="H30" s="67" t="s">
        <v>5050</v>
      </c>
      <c r="I30" s="67" t="s">
        <v>5051</v>
      </c>
      <c r="J30" s="67"/>
      <c r="K30" s="61">
        <v>88989568895</v>
      </c>
      <c r="L30" s="61"/>
      <c r="M30" s="67"/>
      <c r="N30" s="67" t="s">
        <v>5052</v>
      </c>
      <c r="O30" s="61">
        <v>4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24</v>
      </c>
      <c r="B31" s="61" t="s">
        <v>4888</v>
      </c>
      <c r="C31" s="62" t="s">
        <v>266</v>
      </c>
      <c r="D31" s="62" t="str">
        <f t="shared" si="0"/>
        <v>2414030</v>
      </c>
      <c r="E31" s="43" t="s">
        <v>5053</v>
      </c>
      <c r="F31" s="43" t="s">
        <v>5054</v>
      </c>
      <c r="G31" s="43" t="s">
        <v>4964</v>
      </c>
      <c r="H31" s="43" t="s">
        <v>5055</v>
      </c>
      <c r="I31" s="43" t="s">
        <v>5056</v>
      </c>
      <c r="J31" s="67"/>
      <c r="K31" s="43" t="s">
        <v>5057</v>
      </c>
      <c r="L31" s="61"/>
      <c r="M31" s="67"/>
      <c r="N31" s="67" t="s">
        <v>5058</v>
      </c>
      <c r="O31" s="61">
        <v>5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24</v>
      </c>
      <c r="B32" s="61" t="s">
        <v>4888</v>
      </c>
      <c r="C32" s="62" t="s">
        <v>272</v>
      </c>
      <c r="D32" s="62" t="str">
        <f t="shared" si="0"/>
        <v>2414031</v>
      </c>
      <c r="E32" s="67" t="s">
        <v>5059</v>
      </c>
      <c r="F32" s="67" t="s">
        <v>5060</v>
      </c>
      <c r="G32" s="67" t="s">
        <v>4964</v>
      </c>
      <c r="H32" s="67" t="s">
        <v>5061</v>
      </c>
      <c r="I32" s="67" t="s">
        <v>5062</v>
      </c>
      <c r="J32" s="67"/>
      <c r="K32" s="61">
        <v>85806429913</v>
      </c>
      <c r="L32" s="61"/>
      <c r="M32" s="67"/>
      <c r="N32" s="67" t="s">
        <v>5063</v>
      </c>
      <c r="O32" s="61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24</v>
      </c>
      <c r="B33" s="61" t="s">
        <v>4888</v>
      </c>
      <c r="C33" s="62" t="s">
        <v>278</v>
      </c>
      <c r="D33" s="62" t="str">
        <f t="shared" si="0"/>
        <v>2414032</v>
      </c>
      <c r="E33" s="67" t="s">
        <v>5064</v>
      </c>
      <c r="F33" s="67" t="s">
        <v>5065</v>
      </c>
      <c r="G33" s="67" t="s">
        <v>4964</v>
      </c>
      <c r="H33" s="67" t="s">
        <v>5066</v>
      </c>
      <c r="I33" s="67" t="s">
        <v>5067</v>
      </c>
      <c r="J33" s="67"/>
      <c r="K33" s="61">
        <v>85774798479</v>
      </c>
      <c r="L33" s="61"/>
      <c r="M33" s="67"/>
      <c r="N33" s="67"/>
      <c r="O33" s="61">
        <v>3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24</v>
      </c>
      <c r="B34" s="61" t="s">
        <v>4888</v>
      </c>
      <c r="C34" s="62" t="s">
        <v>284</v>
      </c>
      <c r="D34" s="62" t="str">
        <f t="shared" si="0"/>
        <v>2414033</v>
      </c>
      <c r="E34" s="67" t="s">
        <v>5068</v>
      </c>
      <c r="F34" s="67" t="s">
        <v>5069</v>
      </c>
      <c r="G34" s="67" t="s">
        <v>4964</v>
      </c>
      <c r="H34" s="67" t="s">
        <v>5070</v>
      </c>
      <c r="I34" s="67" t="s">
        <v>5071</v>
      </c>
      <c r="J34" s="67"/>
      <c r="K34" s="61">
        <v>85785465395</v>
      </c>
      <c r="L34" s="61"/>
      <c r="M34" s="67"/>
      <c r="N34" s="67" t="s">
        <v>5072</v>
      </c>
      <c r="O34" s="61">
        <v>2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61">
        <v>24</v>
      </c>
      <c r="B35" s="61" t="s">
        <v>4888</v>
      </c>
      <c r="C35" s="62" t="s">
        <v>290</v>
      </c>
      <c r="D35" s="62" t="str">
        <f t="shared" si="0"/>
        <v>2414034</v>
      </c>
      <c r="E35" s="67" t="s">
        <v>5073</v>
      </c>
      <c r="F35" s="67" t="s">
        <v>5074</v>
      </c>
      <c r="G35" s="67" t="s">
        <v>4964</v>
      </c>
      <c r="H35" s="67" t="s">
        <v>5075</v>
      </c>
      <c r="I35" s="67" t="s">
        <v>5076</v>
      </c>
      <c r="J35" s="67"/>
      <c r="K35" s="61">
        <v>81515619561</v>
      </c>
      <c r="L35" s="61"/>
      <c r="M35" s="67"/>
      <c r="N35" s="67" t="s">
        <v>5077</v>
      </c>
      <c r="O35" s="61">
        <v>10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61">
        <v>24</v>
      </c>
      <c r="B36" s="61" t="s">
        <v>4888</v>
      </c>
      <c r="C36" s="62" t="s">
        <v>296</v>
      </c>
      <c r="D36" s="62" t="str">
        <f t="shared" si="0"/>
        <v>2414035</v>
      </c>
      <c r="E36" s="67" t="s">
        <v>5078</v>
      </c>
      <c r="F36" s="67" t="s">
        <v>5079</v>
      </c>
      <c r="G36" s="67" t="s">
        <v>4964</v>
      </c>
      <c r="H36" s="67" t="s">
        <v>5080</v>
      </c>
      <c r="I36" s="67" t="s">
        <v>5081</v>
      </c>
      <c r="J36" s="43" t="s">
        <v>5082</v>
      </c>
      <c r="K36" s="61">
        <v>81230612583</v>
      </c>
      <c r="L36" s="95" t="s">
        <v>5083</v>
      </c>
      <c r="M36" s="67"/>
      <c r="N36" s="67" t="s">
        <v>5084</v>
      </c>
      <c r="O36" s="61">
        <v>2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61">
        <v>24</v>
      </c>
      <c r="B37" s="61" t="s">
        <v>4888</v>
      </c>
      <c r="C37" s="62" t="s">
        <v>301</v>
      </c>
      <c r="D37" s="62" t="str">
        <f t="shared" si="0"/>
        <v>2414036</v>
      </c>
      <c r="E37" s="67" t="s">
        <v>5085</v>
      </c>
      <c r="F37" s="67" t="s">
        <v>5086</v>
      </c>
      <c r="G37" s="67" t="s">
        <v>4964</v>
      </c>
      <c r="H37" s="67" t="s">
        <v>5087</v>
      </c>
      <c r="I37" s="67" t="s">
        <v>5088</v>
      </c>
      <c r="J37" s="67"/>
      <c r="K37" s="61">
        <v>8819317299</v>
      </c>
      <c r="L37" s="61"/>
      <c r="M37" s="67"/>
      <c r="N37" s="67" t="s">
        <v>5089</v>
      </c>
      <c r="O37" s="61">
        <v>3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61">
        <v>24</v>
      </c>
      <c r="B38" s="61" t="s">
        <v>4888</v>
      </c>
      <c r="C38" s="62" t="s">
        <v>308</v>
      </c>
      <c r="D38" s="62" t="str">
        <f t="shared" si="0"/>
        <v>2414037</v>
      </c>
      <c r="E38" s="67" t="s">
        <v>5090</v>
      </c>
      <c r="F38" s="67" t="s">
        <v>5091</v>
      </c>
      <c r="G38" s="67" t="s">
        <v>4964</v>
      </c>
      <c r="H38" s="67" t="s">
        <v>5092</v>
      </c>
      <c r="I38" s="67" t="s">
        <v>5093</v>
      </c>
      <c r="J38" s="67"/>
      <c r="K38" s="61">
        <v>87794107088</v>
      </c>
      <c r="L38" s="61"/>
      <c r="M38" s="67"/>
      <c r="N38" s="67" t="s">
        <v>5094</v>
      </c>
      <c r="O38" s="61">
        <v>3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61">
        <v>24</v>
      </c>
      <c r="B39" s="61" t="s">
        <v>4888</v>
      </c>
      <c r="C39" s="62" t="s">
        <v>314</v>
      </c>
      <c r="D39" s="62" t="str">
        <f t="shared" si="0"/>
        <v>2414038</v>
      </c>
      <c r="E39" s="67" t="s">
        <v>5095</v>
      </c>
      <c r="F39" s="67" t="s">
        <v>5096</v>
      </c>
      <c r="G39" s="67" t="s">
        <v>4964</v>
      </c>
      <c r="H39" s="67" t="s">
        <v>5097</v>
      </c>
      <c r="I39" s="67" t="s">
        <v>5098</v>
      </c>
      <c r="J39" s="67"/>
      <c r="K39" s="61">
        <v>82142848763</v>
      </c>
      <c r="L39" s="61"/>
      <c r="M39" s="67"/>
      <c r="N39" s="67" t="s">
        <v>5099</v>
      </c>
      <c r="O39" s="61">
        <v>5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61">
        <v>24</v>
      </c>
      <c r="B40" s="61" t="s">
        <v>4888</v>
      </c>
      <c r="C40" s="62" t="s">
        <v>320</v>
      </c>
      <c r="D40" s="62" t="str">
        <f t="shared" si="0"/>
        <v>2414039</v>
      </c>
      <c r="E40" s="67" t="s">
        <v>5100</v>
      </c>
      <c r="F40" s="67" t="s">
        <v>5101</v>
      </c>
      <c r="G40" s="67" t="s">
        <v>4964</v>
      </c>
      <c r="H40" s="67" t="s">
        <v>5102</v>
      </c>
      <c r="I40" s="67" t="s">
        <v>5103</v>
      </c>
      <c r="J40" s="67"/>
      <c r="K40" s="61">
        <v>8285745842613</v>
      </c>
      <c r="L40" s="61"/>
      <c r="M40" s="67"/>
      <c r="N40" s="67" t="s">
        <v>5104</v>
      </c>
      <c r="O40" s="61">
        <v>8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61">
        <v>24</v>
      </c>
      <c r="B41" s="61" t="s">
        <v>4888</v>
      </c>
      <c r="C41" s="62" t="s">
        <v>326</v>
      </c>
      <c r="D41" s="62" t="str">
        <f t="shared" si="0"/>
        <v>2414040</v>
      </c>
      <c r="E41" s="67" t="s">
        <v>5105</v>
      </c>
      <c r="F41" s="67" t="s">
        <v>5106</v>
      </c>
      <c r="G41" s="67" t="s">
        <v>4964</v>
      </c>
      <c r="H41" s="67" t="s">
        <v>5107</v>
      </c>
      <c r="I41" s="67" t="s">
        <v>5108</v>
      </c>
      <c r="J41" s="67"/>
      <c r="K41" s="61">
        <v>81283821533</v>
      </c>
      <c r="L41" s="61"/>
      <c r="M41" s="67"/>
      <c r="N41" s="67"/>
      <c r="O41" s="61">
        <v>4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61">
        <v>24</v>
      </c>
      <c r="B42" s="61" t="s">
        <v>4888</v>
      </c>
      <c r="C42" s="62" t="s">
        <v>332</v>
      </c>
      <c r="D42" s="62" t="str">
        <f t="shared" si="0"/>
        <v>2414041</v>
      </c>
      <c r="E42" s="67" t="s">
        <v>5109</v>
      </c>
      <c r="F42" s="67" t="s">
        <v>5110</v>
      </c>
      <c r="G42" s="67" t="s">
        <v>4898</v>
      </c>
      <c r="H42" s="67" t="s">
        <v>5111</v>
      </c>
      <c r="I42" s="67" t="s">
        <v>2061</v>
      </c>
      <c r="J42" s="67"/>
      <c r="K42" s="61">
        <v>85606395159</v>
      </c>
      <c r="L42" s="61"/>
      <c r="M42" s="67"/>
      <c r="N42" s="67"/>
      <c r="O42" s="61">
        <v>1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2">
      <c r="A43" s="61">
        <v>25</v>
      </c>
      <c r="B43" s="61">
        <v>14</v>
      </c>
      <c r="C43" s="62" t="s">
        <v>338</v>
      </c>
      <c r="D43" s="62" t="str">
        <f t="shared" si="0"/>
        <v>2514042</v>
      </c>
      <c r="E43" s="54" t="s">
        <v>5112</v>
      </c>
      <c r="F43" s="54" t="s">
        <v>5113</v>
      </c>
      <c r="G43" s="54" t="s">
        <v>4898</v>
      </c>
      <c r="H43" s="54" t="s">
        <v>5114</v>
      </c>
      <c r="I43" s="54" t="s">
        <v>5115</v>
      </c>
      <c r="J43" s="54"/>
      <c r="K43" s="93" t="s">
        <v>5116</v>
      </c>
      <c r="L43" s="54"/>
      <c r="M43" s="54"/>
      <c r="N43" s="54" t="s">
        <v>5117</v>
      </c>
      <c r="O43" s="96">
        <v>6</v>
      </c>
      <c r="R43" s="43"/>
      <c r="T43" s="43"/>
      <c r="V43" s="43"/>
      <c r="W43" s="43"/>
      <c r="X43" s="43"/>
      <c r="Y43" s="43"/>
      <c r="Z43" s="43"/>
      <c r="AA43" s="43"/>
    </row>
    <row r="44" spans="1:27" ht="15.75" customHeight="1" x14ac:dyDescent="0.2">
      <c r="A44" s="61">
        <v>25</v>
      </c>
      <c r="B44" s="61">
        <v>14</v>
      </c>
      <c r="C44" s="62" t="s">
        <v>344</v>
      </c>
      <c r="D44" s="62" t="str">
        <f t="shared" si="0"/>
        <v>2514043</v>
      </c>
      <c r="E44" s="54" t="s">
        <v>2918</v>
      </c>
      <c r="F44" s="54" t="s">
        <v>5118</v>
      </c>
      <c r="G44" s="54" t="s">
        <v>4964</v>
      </c>
      <c r="H44" s="54" t="s">
        <v>2920</v>
      </c>
      <c r="I44" s="54" t="s">
        <v>2921</v>
      </c>
      <c r="J44" s="54"/>
      <c r="K44" s="93" t="s">
        <v>2922</v>
      </c>
      <c r="L44" s="54"/>
      <c r="M44" s="54"/>
      <c r="N44" s="54" t="s">
        <v>2923</v>
      </c>
      <c r="O44" s="96">
        <v>3</v>
      </c>
      <c r="P44" s="44"/>
      <c r="R44" s="43"/>
      <c r="T44" s="43"/>
      <c r="V44" s="23"/>
      <c r="W44" s="23"/>
      <c r="X44" s="23"/>
      <c r="Y44" s="23"/>
      <c r="Z44" s="23"/>
      <c r="AA44" s="23"/>
    </row>
    <row r="45" spans="1:27" ht="15.75" customHeight="1" x14ac:dyDescent="0.2">
      <c r="A45" s="61">
        <v>25</v>
      </c>
      <c r="B45" s="61">
        <v>14</v>
      </c>
      <c r="C45" s="62" t="s">
        <v>350</v>
      </c>
      <c r="D45" s="62" t="str">
        <f t="shared" si="0"/>
        <v>2514044</v>
      </c>
      <c r="E45" s="43" t="s">
        <v>5053</v>
      </c>
      <c r="F45" s="43" t="s">
        <v>5054</v>
      </c>
      <c r="G45" s="43" t="s">
        <v>4964</v>
      </c>
      <c r="H45" s="43" t="s">
        <v>5055</v>
      </c>
      <c r="I45" s="43" t="s">
        <v>5119</v>
      </c>
      <c r="J45" s="43" t="s">
        <v>663</v>
      </c>
      <c r="K45" s="43" t="s">
        <v>5120</v>
      </c>
      <c r="L45" s="43" t="s">
        <v>663</v>
      </c>
      <c r="M45" s="43" t="s">
        <v>663</v>
      </c>
      <c r="N45" s="43" t="s">
        <v>5121</v>
      </c>
      <c r="O45" s="43" t="s">
        <v>663</v>
      </c>
      <c r="P45" s="44">
        <v>5</v>
      </c>
      <c r="Q45" s="43" t="s">
        <v>5056</v>
      </c>
      <c r="R45" s="43" t="s">
        <v>5122</v>
      </c>
      <c r="S45" s="43" t="s">
        <v>5057</v>
      </c>
      <c r="T45" s="44">
        <v>0</v>
      </c>
      <c r="U45" s="43" t="s">
        <v>5123</v>
      </c>
      <c r="V45" s="43"/>
      <c r="W45" s="43"/>
      <c r="X45" s="43"/>
      <c r="Y45" s="43"/>
      <c r="Z45" s="43"/>
      <c r="AA45" s="43"/>
    </row>
    <row r="46" spans="1:27" ht="15.75" customHeight="1" x14ac:dyDescent="0.2">
      <c r="A46" s="61">
        <v>25</v>
      </c>
      <c r="B46" s="61">
        <v>14</v>
      </c>
      <c r="C46" s="62" t="s">
        <v>356</v>
      </c>
      <c r="D46" s="62" t="str">
        <f t="shared" si="0"/>
        <v>2514045</v>
      </c>
      <c r="E46" s="43" t="s">
        <v>5124</v>
      </c>
      <c r="F46" s="43" t="s">
        <v>5125</v>
      </c>
      <c r="G46" s="43" t="s">
        <v>4898</v>
      </c>
      <c r="H46" s="43" t="s">
        <v>5126</v>
      </c>
      <c r="I46" s="43" t="s">
        <v>5127</v>
      </c>
      <c r="J46" s="43" t="s">
        <v>5128</v>
      </c>
      <c r="K46" s="43" t="s">
        <v>5129</v>
      </c>
      <c r="L46" s="43" t="s">
        <v>5130</v>
      </c>
      <c r="M46" s="78" t="s">
        <v>5131</v>
      </c>
      <c r="N46" s="43" t="s">
        <v>5132</v>
      </c>
      <c r="O46" s="43"/>
      <c r="P46" s="44">
        <v>5</v>
      </c>
      <c r="Q46" s="43" t="s">
        <v>5133</v>
      </c>
      <c r="R46" s="43" t="s">
        <v>5134</v>
      </c>
      <c r="S46" s="55" t="s">
        <v>5135</v>
      </c>
      <c r="T46" s="44">
        <v>0</v>
      </c>
      <c r="U46" s="43" t="s">
        <v>5136</v>
      </c>
      <c r="V46" s="43"/>
      <c r="W46" s="43"/>
      <c r="X46" s="43"/>
      <c r="Y46" s="43"/>
      <c r="Z46" s="43"/>
      <c r="AA46" s="43"/>
    </row>
    <row r="47" spans="1:27" ht="15.75" customHeight="1" x14ac:dyDescent="0.2">
      <c r="A47" s="61">
        <v>25</v>
      </c>
      <c r="B47" s="61">
        <v>14</v>
      </c>
      <c r="C47" s="62" t="s">
        <v>362</v>
      </c>
      <c r="D47" s="62" t="str">
        <f t="shared" si="0"/>
        <v>2514046</v>
      </c>
      <c r="E47" s="43" t="s">
        <v>5137</v>
      </c>
      <c r="F47" s="43" t="s">
        <v>5138</v>
      </c>
      <c r="G47" s="43" t="s">
        <v>4964</v>
      </c>
      <c r="H47" s="43" t="s">
        <v>5139</v>
      </c>
      <c r="I47" s="43" t="s">
        <v>5140</v>
      </c>
      <c r="J47" s="43" t="s">
        <v>5141</v>
      </c>
      <c r="K47" s="43"/>
      <c r="L47" s="43"/>
      <c r="M47" s="43"/>
      <c r="N47" s="43" t="s">
        <v>5142</v>
      </c>
      <c r="O47" s="43" t="s">
        <v>5143</v>
      </c>
      <c r="P47" s="44">
        <v>5</v>
      </c>
      <c r="Q47" s="43" t="s">
        <v>5144</v>
      </c>
      <c r="R47" s="43" t="s">
        <v>752</v>
      </c>
      <c r="S47" s="55" t="s">
        <v>5145</v>
      </c>
      <c r="T47" s="43" t="s">
        <v>5146</v>
      </c>
      <c r="U47" s="78" t="s">
        <v>5147</v>
      </c>
      <c r="V47" s="43"/>
      <c r="W47" s="43"/>
      <c r="X47" s="43"/>
      <c r="Y47" s="43"/>
      <c r="Z47" s="43"/>
      <c r="AA47" s="43"/>
    </row>
    <row r="48" spans="1:27" ht="15.75" customHeight="1" x14ac:dyDescent="0.2">
      <c r="A48" s="61">
        <v>25</v>
      </c>
      <c r="B48" s="61">
        <v>14</v>
      </c>
      <c r="C48" s="62" t="s">
        <v>368</v>
      </c>
      <c r="D48" s="62" t="str">
        <f t="shared" si="0"/>
        <v>2514047</v>
      </c>
      <c r="E48" s="43" t="s">
        <v>5148</v>
      </c>
      <c r="F48" s="43" t="s">
        <v>5149</v>
      </c>
      <c r="G48" s="43" t="s">
        <v>4964</v>
      </c>
      <c r="H48" s="43" t="s">
        <v>5150</v>
      </c>
      <c r="I48" s="43" t="s">
        <v>5151</v>
      </c>
      <c r="J48" s="43"/>
      <c r="K48" s="43" t="s">
        <v>5152</v>
      </c>
      <c r="L48" s="43"/>
      <c r="M48" s="43"/>
      <c r="N48" s="43" t="s">
        <v>5153</v>
      </c>
      <c r="O48" s="43"/>
      <c r="P48" s="44">
        <v>5</v>
      </c>
      <c r="Q48" s="43" t="s">
        <v>5154</v>
      </c>
      <c r="R48" s="43" t="s">
        <v>5155</v>
      </c>
      <c r="S48" s="55" t="s">
        <v>5156</v>
      </c>
      <c r="T48" s="44">
        <v>0</v>
      </c>
      <c r="U48" s="43" t="s">
        <v>5157</v>
      </c>
      <c r="V48" s="43"/>
      <c r="W48" s="43"/>
      <c r="X48" s="43"/>
      <c r="Y48" s="43"/>
      <c r="Z48" s="43"/>
      <c r="AA48" s="43"/>
    </row>
    <row r="49" spans="1:27" ht="15.75" customHeight="1" x14ac:dyDescent="0.2">
      <c r="A49" s="61">
        <v>25</v>
      </c>
      <c r="B49" s="61">
        <v>14</v>
      </c>
      <c r="C49" s="62" t="s">
        <v>374</v>
      </c>
      <c r="D49" s="62" t="str">
        <f t="shared" si="0"/>
        <v>2514048</v>
      </c>
      <c r="E49" s="43" t="s">
        <v>5158</v>
      </c>
      <c r="F49" s="43" t="s">
        <v>5159</v>
      </c>
      <c r="G49" s="43" t="s">
        <v>4964</v>
      </c>
      <c r="H49" s="43" t="s">
        <v>5160</v>
      </c>
      <c r="I49" s="43" t="s">
        <v>5161</v>
      </c>
      <c r="J49" s="43" t="s">
        <v>5162</v>
      </c>
      <c r="K49" s="43" t="s">
        <v>5163</v>
      </c>
      <c r="L49" s="43"/>
      <c r="M49" s="43"/>
      <c r="N49" s="43" t="s">
        <v>5164</v>
      </c>
      <c r="O49" s="43"/>
      <c r="P49" s="44">
        <v>10</v>
      </c>
      <c r="Q49" s="43" t="s">
        <v>5165</v>
      </c>
      <c r="R49" s="43" t="s">
        <v>5166</v>
      </c>
      <c r="S49" s="55" t="s">
        <v>5167</v>
      </c>
      <c r="T49" s="44">
        <v>0</v>
      </c>
      <c r="U49" s="43"/>
      <c r="V49" s="43"/>
      <c r="W49" s="43"/>
      <c r="X49" s="43"/>
      <c r="Y49" s="43"/>
      <c r="Z49" s="43"/>
      <c r="AA49" s="43"/>
    </row>
    <row r="50" spans="1:27" ht="15.75" customHeight="1" x14ac:dyDescent="0.2">
      <c r="A50" s="222">
        <v>25</v>
      </c>
      <c r="B50" s="222">
        <v>14</v>
      </c>
      <c r="C50" s="223" t="s">
        <v>380</v>
      </c>
      <c r="D50" s="223" t="str">
        <f t="shared" si="0"/>
        <v>2514049</v>
      </c>
      <c r="E50" s="189" t="s">
        <v>5168</v>
      </c>
      <c r="F50" s="189" t="s">
        <v>5169</v>
      </c>
      <c r="G50" s="189" t="s">
        <v>4964</v>
      </c>
      <c r="H50" s="189" t="s">
        <v>5170</v>
      </c>
      <c r="I50" s="189" t="s">
        <v>5171</v>
      </c>
      <c r="J50" s="189" t="s">
        <v>5171</v>
      </c>
      <c r="K50" s="189" t="s">
        <v>5172</v>
      </c>
      <c r="L50" s="189" t="s">
        <v>663</v>
      </c>
      <c r="M50" s="224" t="s">
        <v>5173</v>
      </c>
      <c r="N50" s="189" t="s">
        <v>5171</v>
      </c>
      <c r="O50" s="189" t="s">
        <v>663</v>
      </c>
      <c r="P50" s="190">
        <v>2</v>
      </c>
      <c r="Q50" s="189" t="s">
        <v>5174</v>
      </c>
      <c r="R50" s="189" t="s">
        <v>5175</v>
      </c>
      <c r="S50" s="189" t="s">
        <v>5176</v>
      </c>
      <c r="T50" s="189" t="s">
        <v>663</v>
      </c>
      <c r="U50" s="189" t="s">
        <v>5177</v>
      </c>
      <c r="V50" s="189"/>
      <c r="W50" s="189"/>
      <c r="X50" s="189"/>
      <c r="Y50" s="189"/>
      <c r="Z50" s="189"/>
      <c r="AA50" s="189"/>
    </row>
    <row r="51" spans="1:27" ht="15.75" customHeight="1" x14ac:dyDescent="0.2">
      <c r="A51" s="222">
        <v>25</v>
      </c>
      <c r="B51" s="222">
        <v>14</v>
      </c>
      <c r="C51" s="223" t="s">
        <v>386</v>
      </c>
      <c r="D51" s="223" t="str">
        <f t="shared" si="0"/>
        <v>2514050</v>
      </c>
      <c r="E51" s="189" t="s">
        <v>5178</v>
      </c>
      <c r="F51" s="189" t="s">
        <v>5179</v>
      </c>
      <c r="G51" s="189" t="s">
        <v>4964</v>
      </c>
      <c r="H51" s="189" t="s">
        <v>5180</v>
      </c>
      <c r="I51" s="189" t="s">
        <v>5181</v>
      </c>
      <c r="J51" s="189" t="s">
        <v>5181</v>
      </c>
      <c r="K51" s="189" t="s">
        <v>5182</v>
      </c>
      <c r="L51" s="189" t="s">
        <v>663</v>
      </c>
      <c r="M51" s="224" t="s">
        <v>5183</v>
      </c>
      <c r="N51" s="189" t="s">
        <v>5171</v>
      </c>
      <c r="O51" s="189" t="s">
        <v>663</v>
      </c>
      <c r="P51" s="190">
        <v>2</v>
      </c>
      <c r="Q51" s="189" t="s">
        <v>5184</v>
      </c>
      <c r="R51" s="189" t="s">
        <v>3739</v>
      </c>
      <c r="S51" s="195" t="s">
        <v>5185</v>
      </c>
      <c r="T51" s="189" t="s">
        <v>663</v>
      </c>
      <c r="U51" s="189" t="s">
        <v>5186</v>
      </c>
      <c r="V51" s="189"/>
      <c r="W51" s="189"/>
      <c r="X51" s="189"/>
      <c r="Y51" s="189"/>
      <c r="Z51" s="189"/>
      <c r="AA51" s="189"/>
    </row>
    <row r="52" spans="1:27" ht="15.75" customHeight="1" x14ac:dyDescent="0.15">
      <c r="A52" s="56"/>
      <c r="B52" s="56"/>
      <c r="C52" s="23"/>
      <c r="D52" s="23"/>
      <c r="E52" s="23"/>
      <c r="F52" s="23"/>
      <c r="G52" s="23"/>
      <c r="H52" s="23"/>
      <c r="I52" s="23"/>
      <c r="J52" s="23"/>
      <c r="K52" s="56"/>
      <c r="L52" s="56"/>
      <c r="M52" s="23"/>
      <c r="N52" s="23"/>
      <c r="O52" s="56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ht="15.75" customHeight="1" x14ac:dyDescent="0.15">
      <c r="A53" s="56"/>
      <c r="B53" s="56"/>
      <c r="C53" s="23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3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3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3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3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3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3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3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3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3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3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3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3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3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3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3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3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3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3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3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3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3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3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3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3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3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3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3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3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3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3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3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3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3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3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3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3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3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3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3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3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3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3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3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3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3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3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3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3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3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3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3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3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3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3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3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3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3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3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3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3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3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3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3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3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3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3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3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3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3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3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3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3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3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3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3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3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3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3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3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3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3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3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3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3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3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3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3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3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3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3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3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3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3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3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3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3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3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3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3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3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3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3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3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3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3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3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3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3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3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3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3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3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3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3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3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3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3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3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3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3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3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3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3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3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3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3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3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3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3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3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3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3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3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3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3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3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3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3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3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3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3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3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3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3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3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3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3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3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3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3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3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3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3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3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3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3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3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3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3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3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3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3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3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3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3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3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3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3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3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3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3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3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3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3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3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3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3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3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3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3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3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3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3"/>
      <c r="D236" s="23"/>
      <c r="E236" s="23"/>
      <c r="F236" s="23"/>
      <c r="G236" s="23"/>
      <c r="H236" s="23"/>
      <c r="I236" s="23"/>
      <c r="J236" s="23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3"/>
      <c r="D237" s="23"/>
      <c r="E237" s="23"/>
      <c r="F237" s="23"/>
      <c r="G237" s="23"/>
      <c r="H237" s="23"/>
      <c r="I237" s="23"/>
      <c r="J237" s="23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3"/>
      <c r="D238" s="23"/>
      <c r="E238" s="23"/>
      <c r="F238" s="23"/>
      <c r="G238" s="23"/>
      <c r="H238" s="23"/>
      <c r="I238" s="23"/>
      <c r="J238" s="23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3"/>
      <c r="D239" s="23"/>
      <c r="E239" s="23"/>
      <c r="F239" s="23"/>
      <c r="G239" s="23"/>
      <c r="H239" s="23"/>
      <c r="I239" s="23"/>
      <c r="J239" s="23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3"/>
      <c r="D240" s="23"/>
      <c r="E240" s="23"/>
      <c r="F240" s="23"/>
      <c r="G240" s="23"/>
      <c r="H240" s="23"/>
      <c r="I240" s="23"/>
      <c r="J240" s="23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3"/>
      <c r="D241" s="23"/>
      <c r="E241" s="23"/>
      <c r="F241" s="23"/>
      <c r="G241" s="23"/>
      <c r="H241" s="23"/>
      <c r="I241" s="23"/>
      <c r="J241" s="23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3" x14ac:dyDescent="0.15">
      <c r="A242" s="56"/>
      <c r="B242" s="56"/>
      <c r="K242" s="56"/>
      <c r="L242" s="56"/>
      <c r="O242" s="56"/>
    </row>
    <row r="243" spans="1:27" ht="13" x14ac:dyDescent="0.15">
      <c r="A243" s="56"/>
      <c r="B243" s="56"/>
      <c r="K243" s="56"/>
      <c r="L243" s="56"/>
      <c r="O243" s="56"/>
    </row>
    <row r="244" spans="1:27" ht="13" x14ac:dyDescent="0.15">
      <c r="A244" s="56"/>
      <c r="B244" s="56"/>
      <c r="K244" s="56"/>
      <c r="L244" s="56"/>
      <c r="O244" s="56"/>
    </row>
    <row r="245" spans="1:27" ht="13" x14ac:dyDescent="0.15">
      <c r="A245" s="56"/>
      <c r="B245" s="56"/>
      <c r="K245" s="56"/>
      <c r="L245" s="56"/>
      <c r="O245" s="56"/>
    </row>
    <row r="246" spans="1:27" ht="13" x14ac:dyDescent="0.15">
      <c r="A246" s="56"/>
      <c r="B246" s="56"/>
      <c r="K246" s="56"/>
      <c r="L246" s="56"/>
      <c r="O246" s="56"/>
    </row>
    <row r="247" spans="1:27" ht="13" x14ac:dyDescent="0.15">
      <c r="A247" s="56"/>
      <c r="B247" s="56"/>
      <c r="K247" s="56"/>
      <c r="L247" s="56"/>
      <c r="O247" s="56"/>
    </row>
    <row r="248" spans="1:27" ht="13" x14ac:dyDescent="0.15">
      <c r="A248" s="56"/>
      <c r="B248" s="56"/>
      <c r="K248" s="56"/>
      <c r="L248" s="56"/>
      <c r="O248" s="56"/>
    </row>
    <row r="249" spans="1:27" ht="13" x14ac:dyDescent="0.15">
      <c r="A249" s="56"/>
      <c r="B249" s="56"/>
      <c r="K249" s="56"/>
      <c r="L249" s="56"/>
      <c r="O249" s="56"/>
    </row>
    <row r="250" spans="1:27" ht="13" x14ac:dyDescent="0.15">
      <c r="A250" s="56"/>
      <c r="B250" s="56"/>
      <c r="K250" s="56"/>
      <c r="L250" s="56"/>
      <c r="O250" s="56"/>
    </row>
    <row r="251" spans="1:27" ht="13" x14ac:dyDescent="0.15">
      <c r="A251" s="56"/>
      <c r="B251" s="56"/>
      <c r="K251" s="56"/>
      <c r="L251" s="56"/>
      <c r="O251" s="56"/>
    </row>
    <row r="252" spans="1:27" ht="13" x14ac:dyDescent="0.15">
      <c r="A252" s="56"/>
      <c r="B252" s="56"/>
      <c r="K252" s="56"/>
      <c r="L252" s="56"/>
      <c r="O252" s="56"/>
    </row>
    <row r="253" spans="1:27" ht="13" x14ac:dyDescent="0.15">
      <c r="A253" s="56"/>
      <c r="B253" s="56"/>
      <c r="K253" s="56"/>
      <c r="L253" s="56"/>
      <c r="O253" s="56"/>
    </row>
    <row r="254" spans="1:27" ht="13" x14ac:dyDescent="0.15">
      <c r="A254" s="56"/>
      <c r="B254" s="56"/>
      <c r="K254" s="56"/>
      <c r="L254" s="56"/>
      <c r="O254" s="56"/>
    </row>
    <row r="255" spans="1:27" ht="13" x14ac:dyDescent="0.15">
      <c r="A255" s="56"/>
      <c r="B255" s="56"/>
      <c r="K255" s="56"/>
      <c r="L255" s="56"/>
      <c r="O255" s="56"/>
    </row>
    <row r="256" spans="1:27" ht="13" x14ac:dyDescent="0.15">
      <c r="A256" s="56"/>
      <c r="B256" s="56"/>
      <c r="K256" s="56"/>
      <c r="L256" s="56"/>
      <c r="O256" s="56"/>
    </row>
    <row r="257" spans="1:15" ht="13" x14ac:dyDescent="0.15">
      <c r="A257" s="56"/>
      <c r="B257" s="56"/>
      <c r="K257" s="56"/>
      <c r="L257" s="56"/>
      <c r="O257" s="56"/>
    </row>
    <row r="258" spans="1:15" ht="13" x14ac:dyDescent="0.15">
      <c r="A258" s="56"/>
      <c r="B258" s="56"/>
      <c r="K258" s="56"/>
      <c r="L258" s="56"/>
      <c r="O258" s="56"/>
    </row>
    <row r="259" spans="1:15" ht="13" x14ac:dyDescent="0.15">
      <c r="A259" s="56"/>
      <c r="B259" s="56"/>
      <c r="K259" s="56"/>
      <c r="L259" s="56"/>
      <c r="O259" s="56"/>
    </row>
    <row r="260" spans="1:15" ht="13" x14ac:dyDescent="0.15">
      <c r="A260" s="56"/>
      <c r="B260" s="56"/>
      <c r="K260" s="56"/>
      <c r="L260" s="56"/>
      <c r="O260" s="56"/>
    </row>
    <row r="261" spans="1:15" ht="13" x14ac:dyDescent="0.15">
      <c r="A261" s="56"/>
      <c r="B261" s="56"/>
      <c r="K261" s="56"/>
      <c r="L261" s="56"/>
      <c r="O261" s="56"/>
    </row>
    <row r="262" spans="1:15" ht="13" x14ac:dyDescent="0.15">
      <c r="A262" s="56"/>
      <c r="B262" s="56"/>
      <c r="K262" s="56"/>
      <c r="L262" s="56"/>
      <c r="O262" s="56"/>
    </row>
    <row r="263" spans="1:15" ht="13" x14ac:dyDescent="0.15">
      <c r="A263" s="56"/>
      <c r="B263" s="56"/>
      <c r="K263" s="56"/>
      <c r="L263" s="56"/>
      <c r="O263" s="56"/>
    </row>
    <row r="264" spans="1:15" ht="13" x14ac:dyDescent="0.15">
      <c r="A264" s="56"/>
      <c r="B264" s="56"/>
      <c r="K264" s="56"/>
      <c r="L264" s="56"/>
      <c r="O264" s="56"/>
    </row>
    <row r="265" spans="1:15" ht="13" x14ac:dyDescent="0.15">
      <c r="A265" s="56"/>
      <c r="B265" s="56"/>
      <c r="K265" s="56"/>
      <c r="L265" s="56"/>
      <c r="O265" s="56"/>
    </row>
    <row r="266" spans="1:15" ht="13" x14ac:dyDescent="0.15">
      <c r="A266" s="56"/>
      <c r="B266" s="56"/>
      <c r="K266" s="56"/>
      <c r="L266" s="56"/>
      <c r="O266" s="56"/>
    </row>
    <row r="267" spans="1:15" ht="13" x14ac:dyDescent="0.15">
      <c r="A267" s="56"/>
      <c r="B267" s="56"/>
      <c r="K267" s="56"/>
      <c r="L267" s="56"/>
      <c r="O267" s="56"/>
    </row>
    <row r="268" spans="1:15" ht="13" x14ac:dyDescent="0.15">
      <c r="A268" s="56"/>
      <c r="B268" s="56"/>
      <c r="K268" s="56"/>
      <c r="L268" s="56"/>
      <c r="O268" s="56"/>
    </row>
    <row r="269" spans="1:15" ht="13" x14ac:dyDescent="0.15">
      <c r="A269" s="56"/>
      <c r="B269" s="56"/>
      <c r="K269" s="56"/>
      <c r="L269" s="56"/>
      <c r="O269" s="56"/>
    </row>
    <row r="270" spans="1:15" ht="13" x14ac:dyDescent="0.15">
      <c r="A270" s="56"/>
      <c r="B270" s="56"/>
      <c r="K270" s="56"/>
      <c r="L270" s="56"/>
      <c r="O270" s="56"/>
    </row>
    <row r="271" spans="1:15" ht="13" x14ac:dyDescent="0.15">
      <c r="A271" s="56"/>
      <c r="B271" s="56"/>
      <c r="K271" s="56"/>
      <c r="L271" s="56"/>
      <c r="O271" s="56"/>
    </row>
    <row r="272" spans="1:15" ht="13" x14ac:dyDescent="0.15">
      <c r="A272" s="56"/>
      <c r="B272" s="56"/>
      <c r="K272" s="56"/>
      <c r="L272" s="56"/>
      <c r="O272" s="56"/>
    </row>
    <row r="273" spans="1:15" ht="13" x14ac:dyDescent="0.15">
      <c r="A273" s="56"/>
      <c r="B273" s="56"/>
      <c r="K273" s="56"/>
      <c r="L273" s="56"/>
      <c r="O273" s="56"/>
    </row>
    <row r="274" spans="1:15" ht="13" x14ac:dyDescent="0.15">
      <c r="A274" s="56"/>
      <c r="B274" s="56"/>
      <c r="K274" s="56"/>
      <c r="L274" s="56"/>
      <c r="O274" s="56"/>
    </row>
    <row r="275" spans="1:15" ht="13" x14ac:dyDescent="0.15">
      <c r="A275" s="56"/>
      <c r="B275" s="56"/>
      <c r="K275" s="56"/>
      <c r="L275" s="56"/>
      <c r="O275" s="56"/>
    </row>
    <row r="276" spans="1:15" ht="13" x14ac:dyDescent="0.15">
      <c r="A276" s="56"/>
      <c r="B276" s="56"/>
      <c r="K276" s="56"/>
      <c r="L276" s="56"/>
      <c r="O276" s="56"/>
    </row>
    <row r="277" spans="1:15" ht="13" x14ac:dyDescent="0.15">
      <c r="A277" s="56"/>
      <c r="B277" s="56"/>
      <c r="K277" s="56"/>
      <c r="L277" s="56"/>
      <c r="O277" s="56"/>
    </row>
    <row r="278" spans="1:15" ht="13" x14ac:dyDescent="0.15">
      <c r="A278" s="56"/>
      <c r="B278" s="56"/>
      <c r="K278" s="56"/>
      <c r="L278" s="56"/>
      <c r="O278" s="56"/>
    </row>
    <row r="279" spans="1:15" ht="13" x14ac:dyDescent="0.15">
      <c r="A279" s="56"/>
      <c r="B279" s="56"/>
      <c r="K279" s="56"/>
      <c r="L279" s="56"/>
      <c r="O279" s="56"/>
    </row>
    <row r="280" spans="1:15" ht="13" x14ac:dyDescent="0.15">
      <c r="A280" s="56"/>
      <c r="B280" s="56"/>
      <c r="K280" s="56"/>
      <c r="L280" s="56"/>
      <c r="O280" s="56"/>
    </row>
    <row r="281" spans="1:15" ht="13" x14ac:dyDescent="0.15">
      <c r="A281" s="56"/>
      <c r="B281" s="56"/>
      <c r="K281" s="56"/>
      <c r="L281" s="56"/>
      <c r="O281" s="56"/>
    </row>
    <row r="282" spans="1:15" ht="13" x14ac:dyDescent="0.15">
      <c r="A282" s="56"/>
      <c r="B282" s="56"/>
      <c r="K282" s="56"/>
      <c r="L282" s="56"/>
      <c r="O282" s="56"/>
    </row>
    <row r="283" spans="1:15" ht="13" x14ac:dyDescent="0.15">
      <c r="A283" s="56"/>
      <c r="B283" s="56"/>
      <c r="K283" s="56"/>
      <c r="L283" s="56"/>
      <c r="O283" s="56"/>
    </row>
    <row r="284" spans="1:15" ht="13" x14ac:dyDescent="0.15">
      <c r="A284" s="56"/>
      <c r="B284" s="56"/>
      <c r="K284" s="56"/>
      <c r="L284" s="56"/>
      <c r="O284" s="56"/>
    </row>
    <row r="285" spans="1:15" ht="13" x14ac:dyDescent="0.15">
      <c r="A285" s="56"/>
      <c r="B285" s="56"/>
      <c r="K285" s="56"/>
      <c r="L285" s="56"/>
      <c r="O285" s="56"/>
    </row>
    <row r="286" spans="1:15" ht="13" x14ac:dyDescent="0.15">
      <c r="A286" s="56"/>
      <c r="B286" s="56"/>
      <c r="K286" s="56"/>
      <c r="L286" s="56"/>
      <c r="O286" s="56"/>
    </row>
    <row r="287" spans="1:15" ht="13" x14ac:dyDescent="0.15">
      <c r="A287" s="56"/>
      <c r="B287" s="56"/>
      <c r="K287" s="56"/>
      <c r="L287" s="56"/>
      <c r="O287" s="56"/>
    </row>
    <row r="288" spans="1:15" ht="13" x14ac:dyDescent="0.15">
      <c r="A288" s="56"/>
      <c r="B288" s="56"/>
      <c r="K288" s="56"/>
      <c r="L288" s="56"/>
      <c r="O288" s="56"/>
    </row>
    <row r="289" spans="1:15" ht="13" x14ac:dyDescent="0.15">
      <c r="A289" s="56"/>
      <c r="B289" s="56"/>
      <c r="K289" s="56"/>
      <c r="L289" s="56"/>
      <c r="O289" s="56"/>
    </row>
    <row r="290" spans="1:15" ht="13" x14ac:dyDescent="0.15">
      <c r="A290" s="56"/>
      <c r="B290" s="56"/>
      <c r="K290" s="56"/>
      <c r="L290" s="56"/>
      <c r="O290" s="56"/>
    </row>
    <row r="291" spans="1:15" ht="13" x14ac:dyDescent="0.15">
      <c r="A291" s="56"/>
      <c r="B291" s="56"/>
      <c r="K291" s="56"/>
      <c r="L291" s="56"/>
      <c r="O291" s="56"/>
    </row>
    <row r="292" spans="1:15" ht="13" x14ac:dyDescent="0.15">
      <c r="A292" s="56"/>
      <c r="B292" s="56"/>
      <c r="K292" s="56"/>
      <c r="L292" s="56"/>
      <c r="O292" s="56"/>
    </row>
    <row r="293" spans="1:15" ht="13" x14ac:dyDescent="0.15">
      <c r="A293" s="56"/>
      <c r="B293" s="56"/>
      <c r="K293" s="56"/>
      <c r="L293" s="56"/>
      <c r="O293" s="56"/>
    </row>
    <row r="294" spans="1:15" ht="13" x14ac:dyDescent="0.15">
      <c r="A294" s="56"/>
      <c r="B294" s="56"/>
      <c r="K294" s="56"/>
      <c r="L294" s="56"/>
      <c r="O294" s="56"/>
    </row>
    <row r="295" spans="1:15" ht="13" x14ac:dyDescent="0.15">
      <c r="A295" s="56"/>
      <c r="B295" s="56"/>
      <c r="K295" s="56"/>
      <c r="L295" s="56"/>
      <c r="O295" s="56"/>
    </row>
    <row r="296" spans="1:15" ht="13" x14ac:dyDescent="0.15">
      <c r="A296" s="56"/>
      <c r="B296" s="56"/>
      <c r="K296" s="56"/>
      <c r="L296" s="56"/>
      <c r="O296" s="56"/>
    </row>
    <row r="297" spans="1:15" ht="13" x14ac:dyDescent="0.15">
      <c r="A297" s="56"/>
      <c r="B297" s="56"/>
      <c r="K297" s="56"/>
      <c r="L297" s="56"/>
      <c r="O297" s="56"/>
    </row>
    <row r="298" spans="1:15" ht="13" x14ac:dyDescent="0.15">
      <c r="A298" s="56"/>
      <c r="B298" s="56"/>
      <c r="K298" s="56"/>
      <c r="L298" s="56"/>
      <c r="O298" s="56"/>
    </row>
    <row r="299" spans="1:15" ht="13" x14ac:dyDescent="0.15">
      <c r="A299" s="56"/>
      <c r="B299" s="56"/>
      <c r="K299" s="56"/>
      <c r="L299" s="56"/>
      <c r="O299" s="56"/>
    </row>
    <row r="300" spans="1:15" ht="13" x14ac:dyDescent="0.15">
      <c r="A300" s="56"/>
      <c r="B300" s="56"/>
      <c r="K300" s="56"/>
      <c r="L300" s="56"/>
      <c r="O300" s="56"/>
    </row>
    <row r="301" spans="1:15" ht="13" x14ac:dyDescent="0.15">
      <c r="A301" s="56"/>
      <c r="B301" s="56"/>
      <c r="K301" s="56"/>
      <c r="L301" s="56"/>
      <c r="O301" s="56"/>
    </row>
    <row r="302" spans="1:15" ht="13" x14ac:dyDescent="0.15">
      <c r="A302" s="56"/>
      <c r="B302" s="56"/>
      <c r="K302" s="56"/>
      <c r="L302" s="56"/>
      <c r="O302" s="56"/>
    </row>
    <row r="303" spans="1:15" ht="13" x14ac:dyDescent="0.15">
      <c r="A303" s="56"/>
      <c r="B303" s="56"/>
      <c r="K303" s="56"/>
      <c r="L303" s="56"/>
      <c r="O303" s="56"/>
    </row>
    <row r="304" spans="1:15" ht="13" x14ac:dyDescent="0.15">
      <c r="A304" s="56"/>
      <c r="B304" s="56"/>
      <c r="K304" s="56"/>
      <c r="L304" s="56"/>
      <c r="O304" s="56"/>
    </row>
    <row r="305" spans="1:15" ht="13" x14ac:dyDescent="0.15">
      <c r="A305" s="56"/>
      <c r="B305" s="56"/>
      <c r="K305" s="56"/>
      <c r="L305" s="56"/>
      <c r="O305" s="56"/>
    </row>
    <row r="306" spans="1:15" ht="13" x14ac:dyDescent="0.15">
      <c r="A306" s="56"/>
      <c r="B306" s="56"/>
      <c r="K306" s="56"/>
      <c r="L306" s="56"/>
      <c r="O306" s="56"/>
    </row>
    <row r="307" spans="1:15" ht="13" x14ac:dyDescent="0.15">
      <c r="A307" s="56"/>
      <c r="B307" s="56"/>
      <c r="K307" s="56"/>
      <c r="L307" s="56"/>
      <c r="O307" s="56"/>
    </row>
    <row r="308" spans="1:15" ht="13" x14ac:dyDescent="0.15">
      <c r="A308" s="56"/>
      <c r="B308" s="56"/>
      <c r="K308" s="56"/>
      <c r="L308" s="56"/>
      <c r="O308" s="56"/>
    </row>
    <row r="309" spans="1:15" ht="13" x14ac:dyDescent="0.15">
      <c r="A309" s="56"/>
      <c r="B309" s="56"/>
      <c r="K309" s="56"/>
      <c r="L309" s="56"/>
      <c r="O309" s="56"/>
    </row>
    <row r="310" spans="1:15" ht="13" x14ac:dyDescent="0.15">
      <c r="A310" s="56"/>
      <c r="B310" s="56"/>
      <c r="K310" s="56"/>
      <c r="L310" s="56"/>
      <c r="O310" s="56"/>
    </row>
    <row r="311" spans="1:15" ht="13" x14ac:dyDescent="0.15">
      <c r="A311" s="56"/>
      <c r="B311" s="56"/>
      <c r="K311" s="56"/>
      <c r="L311" s="56"/>
      <c r="O311" s="56"/>
    </row>
    <row r="312" spans="1:15" ht="13" x14ac:dyDescent="0.15">
      <c r="A312" s="56"/>
      <c r="B312" s="56"/>
      <c r="K312" s="56"/>
      <c r="L312" s="56"/>
      <c r="O312" s="56"/>
    </row>
    <row r="313" spans="1:15" ht="13" x14ac:dyDescent="0.15">
      <c r="A313" s="56"/>
      <c r="B313" s="56"/>
      <c r="K313" s="56"/>
      <c r="L313" s="56"/>
      <c r="O313" s="56"/>
    </row>
    <row r="314" spans="1:15" ht="13" x14ac:dyDescent="0.15">
      <c r="A314" s="56"/>
      <c r="B314" s="56"/>
      <c r="K314" s="56"/>
      <c r="L314" s="56"/>
      <c r="O314" s="56"/>
    </row>
    <row r="315" spans="1:15" ht="13" x14ac:dyDescent="0.15">
      <c r="A315" s="56"/>
      <c r="B315" s="56"/>
      <c r="K315" s="56"/>
      <c r="L315" s="56"/>
      <c r="O315" s="56"/>
    </row>
    <row r="316" spans="1:15" ht="13" x14ac:dyDescent="0.15">
      <c r="A316" s="56"/>
      <c r="B316" s="56"/>
      <c r="K316" s="56"/>
      <c r="L316" s="56"/>
      <c r="O316" s="56"/>
    </row>
    <row r="317" spans="1:15" ht="13" x14ac:dyDescent="0.15">
      <c r="A317" s="56"/>
      <c r="B317" s="56"/>
      <c r="K317" s="56"/>
      <c r="L317" s="56"/>
      <c r="O317" s="56"/>
    </row>
    <row r="318" spans="1:15" ht="13" x14ac:dyDescent="0.15">
      <c r="A318" s="56"/>
      <c r="B318" s="56"/>
      <c r="K318" s="56"/>
      <c r="L318" s="56"/>
      <c r="O318" s="56"/>
    </row>
    <row r="319" spans="1:15" ht="13" x14ac:dyDescent="0.15">
      <c r="A319" s="56"/>
      <c r="B319" s="56"/>
      <c r="K319" s="56"/>
      <c r="L319" s="56"/>
      <c r="O319" s="56"/>
    </row>
    <row r="320" spans="1:15" ht="13" x14ac:dyDescent="0.15">
      <c r="A320" s="56"/>
      <c r="B320" s="56"/>
      <c r="K320" s="56"/>
      <c r="L320" s="56"/>
      <c r="O320" s="56"/>
    </row>
    <row r="321" spans="1:15" ht="13" x14ac:dyDescent="0.15">
      <c r="A321" s="56"/>
      <c r="B321" s="56"/>
      <c r="K321" s="56"/>
      <c r="L321" s="56"/>
      <c r="O321" s="56"/>
    </row>
    <row r="322" spans="1:15" ht="13" x14ac:dyDescent="0.15">
      <c r="A322" s="56"/>
      <c r="B322" s="56"/>
      <c r="K322" s="56"/>
      <c r="L322" s="56"/>
      <c r="O322" s="56"/>
    </row>
    <row r="323" spans="1:15" ht="13" x14ac:dyDescent="0.15">
      <c r="A323" s="56"/>
      <c r="B323" s="56"/>
      <c r="K323" s="56"/>
      <c r="L323" s="56"/>
      <c r="O323" s="56"/>
    </row>
    <row r="324" spans="1:15" ht="13" x14ac:dyDescent="0.15">
      <c r="A324" s="56"/>
      <c r="B324" s="56"/>
      <c r="K324" s="56"/>
      <c r="L324" s="56"/>
      <c r="O324" s="56"/>
    </row>
    <row r="325" spans="1:15" ht="13" x14ac:dyDescent="0.15">
      <c r="A325" s="56"/>
      <c r="B325" s="56"/>
      <c r="K325" s="56"/>
      <c r="L325" s="56"/>
      <c r="O325" s="56"/>
    </row>
    <row r="326" spans="1:15" ht="13" x14ac:dyDescent="0.15">
      <c r="A326" s="56"/>
      <c r="B326" s="56"/>
      <c r="K326" s="56"/>
      <c r="L326" s="56"/>
      <c r="O326" s="56"/>
    </row>
    <row r="327" spans="1:15" ht="13" x14ac:dyDescent="0.15">
      <c r="A327" s="56"/>
      <c r="B327" s="56"/>
      <c r="K327" s="56"/>
      <c r="L327" s="56"/>
      <c r="O327" s="56"/>
    </row>
    <row r="328" spans="1:15" ht="13" x14ac:dyDescent="0.15">
      <c r="A328" s="56"/>
      <c r="B328" s="56"/>
      <c r="K328" s="56"/>
      <c r="L328" s="56"/>
      <c r="O328" s="56"/>
    </row>
    <row r="329" spans="1:15" ht="13" x14ac:dyDescent="0.15">
      <c r="A329" s="56"/>
      <c r="B329" s="56"/>
      <c r="K329" s="56"/>
      <c r="L329" s="56"/>
      <c r="O329" s="56"/>
    </row>
    <row r="330" spans="1:15" ht="13" x14ac:dyDescent="0.15">
      <c r="A330" s="56"/>
      <c r="B330" s="56"/>
      <c r="K330" s="56"/>
      <c r="L330" s="56"/>
      <c r="O330" s="56"/>
    </row>
    <row r="331" spans="1:15" ht="13" x14ac:dyDescent="0.15">
      <c r="A331" s="56"/>
      <c r="B331" s="56"/>
      <c r="K331" s="56"/>
      <c r="L331" s="56"/>
      <c r="O331" s="56"/>
    </row>
    <row r="332" spans="1:15" ht="13" x14ac:dyDescent="0.15">
      <c r="A332" s="56"/>
      <c r="B332" s="56"/>
      <c r="K332" s="56"/>
      <c r="L332" s="56"/>
      <c r="O332" s="56"/>
    </row>
    <row r="333" spans="1:15" ht="13" x14ac:dyDescent="0.15">
      <c r="A333" s="56"/>
      <c r="B333" s="56"/>
      <c r="K333" s="56"/>
      <c r="L333" s="56"/>
      <c r="O333" s="56"/>
    </row>
    <row r="334" spans="1:15" ht="13" x14ac:dyDescent="0.15">
      <c r="A334" s="56"/>
      <c r="B334" s="56"/>
      <c r="K334" s="56"/>
      <c r="L334" s="56"/>
      <c r="O334" s="56"/>
    </row>
    <row r="335" spans="1:15" ht="13" x14ac:dyDescent="0.15">
      <c r="A335" s="56"/>
      <c r="B335" s="56"/>
      <c r="K335" s="56"/>
      <c r="L335" s="56"/>
      <c r="O335" s="56"/>
    </row>
    <row r="336" spans="1:15" ht="13" x14ac:dyDescent="0.15">
      <c r="A336" s="56"/>
      <c r="B336" s="56"/>
      <c r="K336" s="56"/>
      <c r="L336" s="56"/>
      <c r="O336" s="56"/>
    </row>
    <row r="337" spans="1:15" ht="13" x14ac:dyDescent="0.15">
      <c r="A337" s="56"/>
      <c r="B337" s="56"/>
      <c r="K337" s="56"/>
      <c r="L337" s="56"/>
      <c r="O337" s="56"/>
    </row>
    <row r="338" spans="1:15" ht="13" x14ac:dyDescent="0.15">
      <c r="A338" s="56"/>
      <c r="B338" s="56"/>
      <c r="K338" s="56"/>
      <c r="L338" s="56"/>
      <c r="O338" s="56"/>
    </row>
    <row r="339" spans="1:15" ht="13" x14ac:dyDescent="0.15">
      <c r="A339" s="56"/>
      <c r="B339" s="56"/>
      <c r="K339" s="56"/>
      <c r="L339" s="56"/>
      <c r="O339" s="56"/>
    </row>
    <row r="340" spans="1:15" ht="13" x14ac:dyDescent="0.15">
      <c r="A340" s="56"/>
      <c r="B340" s="56"/>
      <c r="K340" s="56"/>
      <c r="L340" s="56"/>
      <c r="O340" s="56"/>
    </row>
    <row r="341" spans="1:15" ht="13" x14ac:dyDescent="0.15">
      <c r="A341" s="56"/>
      <c r="B341" s="56"/>
      <c r="K341" s="56"/>
      <c r="L341" s="56"/>
      <c r="O341" s="56"/>
    </row>
    <row r="342" spans="1:15" ht="13" x14ac:dyDescent="0.15">
      <c r="A342" s="56"/>
      <c r="B342" s="56"/>
      <c r="K342" s="56"/>
      <c r="L342" s="56"/>
      <c r="O342" s="56"/>
    </row>
    <row r="343" spans="1:15" ht="13" x14ac:dyDescent="0.15">
      <c r="A343" s="56"/>
      <c r="B343" s="56"/>
      <c r="K343" s="56"/>
      <c r="L343" s="56"/>
      <c r="O343" s="56"/>
    </row>
    <row r="344" spans="1:15" ht="13" x14ac:dyDescent="0.15">
      <c r="A344" s="56"/>
      <c r="B344" s="56"/>
      <c r="K344" s="56"/>
      <c r="L344" s="56"/>
      <c r="O344" s="56"/>
    </row>
    <row r="345" spans="1:15" ht="13" x14ac:dyDescent="0.15">
      <c r="A345" s="56"/>
      <c r="B345" s="56"/>
      <c r="K345" s="56"/>
      <c r="L345" s="56"/>
      <c r="O345" s="56"/>
    </row>
    <row r="346" spans="1:15" ht="13" x14ac:dyDescent="0.15">
      <c r="A346" s="56"/>
      <c r="B346" s="56"/>
      <c r="K346" s="56"/>
      <c r="L346" s="56"/>
      <c r="O346" s="56"/>
    </row>
    <row r="347" spans="1:15" ht="13" x14ac:dyDescent="0.15">
      <c r="A347" s="56"/>
      <c r="B347" s="56"/>
      <c r="K347" s="56"/>
      <c r="L347" s="56"/>
      <c r="O347" s="56"/>
    </row>
    <row r="348" spans="1:15" ht="13" x14ac:dyDescent="0.15">
      <c r="A348" s="56"/>
      <c r="B348" s="56"/>
      <c r="K348" s="56"/>
      <c r="L348" s="56"/>
      <c r="O348" s="56"/>
    </row>
    <row r="349" spans="1:15" ht="13" x14ac:dyDescent="0.15">
      <c r="A349" s="56"/>
      <c r="B349" s="56"/>
      <c r="K349" s="56"/>
      <c r="L349" s="56"/>
      <c r="O349" s="56"/>
    </row>
    <row r="350" spans="1:15" ht="13" x14ac:dyDescent="0.15">
      <c r="A350" s="56"/>
      <c r="B350" s="56"/>
      <c r="K350" s="56"/>
      <c r="L350" s="56"/>
      <c r="O350" s="56"/>
    </row>
    <row r="351" spans="1:15" ht="13" x14ac:dyDescent="0.15">
      <c r="A351" s="56"/>
      <c r="B351" s="56"/>
      <c r="K351" s="56"/>
      <c r="L351" s="56"/>
      <c r="O351" s="56"/>
    </row>
    <row r="352" spans="1:15" ht="13" x14ac:dyDescent="0.15">
      <c r="A352" s="56"/>
      <c r="B352" s="56"/>
      <c r="K352" s="56"/>
      <c r="L352" s="56"/>
      <c r="O352" s="56"/>
    </row>
    <row r="353" spans="1:15" ht="13" x14ac:dyDescent="0.15">
      <c r="A353" s="56"/>
      <c r="B353" s="56"/>
      <c r="K353" s="56"/>
      <c r="L353" s="56"/>
      <c r="O353" s="56"/>
    </row>
    <row r="354" spans="1:15" ht="13" x14ac:dyDescent="0.15">
      <c r="A354" s="56"/>
      <c r="B354" s="56"/>
      <c r="K354" s="56"/>
      <c r="L354" s="56"/>
      <c r="O354" s="56"/>
    </row>
    <row r="355" spans="1:15" ht="13" x14ac:dyDescent="0.15">
      <c r="A355" s="56"/>
      <c r="B355" s="56"/>
      <c r="K355" s="56"/>
      <c r="L355" s="56"/>
      <c r="O355" s="56"/>
    </row>
    <row r="356" spans="1:15" ht="13" x14ac:dyDescent="0.15">
      <c r="A356" s="56"/>
      <c r="B356" s="56"/>
      <c r="K356" s="56"/>
      <c r="L356" s="56"/>
      <c r="O356" s="56"/>
    </row>
    <row r="357" spans="1:15" ht="13" x14ac:dyDescent="0.15">
      <c r="A357" s="56"/>
      <c r="B357" s="56"/>
      <c r="K357" s="56"/>
      <c r="L357" s="56"/>
      <c r="O357" s="56"/>
    </row>
    <row r="358" spans="1:15" ht="13" x14ac:dyDescent="0.15">
      <c r="A358" s="56"/>
      <c r="B358" s="56"/>
      <c r="K358" s="56"/>
      <c r="L358" s="56"/>
      <c r="O358" s="56"/>
    </row>
    <row r="359" spans="1:15" ht="13" x14ac:dyDescent="0.15">
      <c r="A359" s="56"/>
      <c r="B359" s="56"/>
      <c r="K359" s="56"/>
      <c r="L359" s="56"/>
      <c r="O359" s="56"/>
    </row>
    <row r="360" spans="1:15" ht="13" x14ac:dyDescent="0.15">
      <c r="A360" s="56"/>
      <c r="B360" s="56"/>
      <c r="K360" s="56"/>
      <c r="L360" s="56"/>
      <c r="O360" s="56"/>
    </row>
    <row r="361" spans="1:15" ht="13" x14ac:dyDescent="0.15">
      <c r="A361" s="56"/>
      <c r="B361" s="56"/>
      <c r="K361" s="56"/>
      <c r="L361" s="56"/>
      <c r="O361" s="56"/>
    </row>
    <row r="362" spans="1:15" ht="13" x14ac:dyDescent="0.15">
      <c r="A362" s="56"/>
      <c r="B362" s="56"/>
      <c r="K362" s="56"/>
      <c r="L362" s="56"/>
      <c r="O362" s="56"/>
    </row>
    <row r="363" spans="1:15" ht="13" x14ac:dyDescent="0.15">
      <c r="A363" s="56"/>
      <c r="B363" s="56"/>
      <c r="K363" s="56"/>
      <c r="L363" s="56"/>
      <c r="O363" s="56"/>
    </row>
    <row r="364" spans="1:15" ht="13" x14ac:dyDescent="0.15">
      <c r="A364" s="56"/>
      <c r="B364" s="56"/>
      <c r="K364" s="56"/>
      <c r="L364" s="56"/>
      <c r="O364" s="56"/>
    </row>
    <row r="365" spans="1:15" ht="13" x14ac:dyDescent="0.15">
      <c r="A365" s="56"/>
      <c r="B365" s="56"/>
      <c r="K365" s="56"/>
      <c r="L365" s="56"/>
      <c r="O365" s="56"/>
    </row>
    <row r="366" spans="1:15" ht="13" x14ac:dyDescent="0.15">
      <c r="A366" s="56"/>
      <c r="B366" s="56"/>
      <c r="K366" s="56"/>
      <c r="L366" s="56"/>
      <c r="O366" s="56"/>
    </row>
    <row r="367" spans="1:15" ht="13" x14ac:dyDescent="0.15">
      <c r="A367" s="56"/>
      <c r="B367" s="56"/>
      <c r="K367" s="56"/>
      <c r="L367" s="56"/>
      <c r="O367" s="56"/>
    </row>
    <row r="368" spans="1:15" ht="13" x14ac:dyDescent="0.15">
      <c r="A368" s="56"/>
      <c r="B368" s="56"/>
      <c r="K368" s="56"/>
      <c r="L368" s="56"/>
      <c r="O368" s="56"/>
    </row>
    <row r="369" spans="1:15" ht="13" x14ac:dyDescent="0.15">
      <c r="A369" s="56"/>
      <c r="B369" s="56"/>
      <c r="K369" s="56"/>
      <c r="L369" s="56"/>
      <c r="O369" s="56"/>
    </row>
    <row r="370" spans="1:15" ht="13" x14ac:dyDescent="0.15">
      <c r="A370" s="56"/>
      <c r="B370" s="56"/>
      <c r="K370" s="56"/>
      <c r="L370" s="56"/>
      <c r="O370" s="56"/>
    </row>
    <row r="371" spans="1:15" ht="13" x14ac:dyDescent="0.15">
      <c r="A371" s="56"/>
      <c r="B371" s="56"/>
      <c r="K371" s="56"/>
      <c r="L371" s="56"/>
      <c r="O371" s="56"/>
    </row>
    <row r="372" spans="1:15" ht="13" x14ac:dyDescent="0.15">
      <c r="A372" s="56"/>
      <c r="B372" s="56"/>
      <c r="K372" s="56"/>
      <c r="L372" s="56"/>
      <c r="O372" s="56"/>
    </row>
    <row r="373" spans="1:15" ht="13" x14ac:dyDescent="0.15">
      <c r="A373" s="56"/>
      <c r="B373" s="56"/>
      <c r="K373" s="56"/>
      <c r="L373" s="56"/>
      <c r="O373" s="56"/>
    </row>
    <row r="374" spans="1:15" ht="13" x14ac:dyDescent="0.15">
      <c r="A374" s="56"/>
      <c r="B374" s="56"/>
      <c r="K374" s="56"/>
      <c r="L374" s="56"/>
      <c r="O374" s="56"/>
    </row>
    <row r="375" spans="1:15" ht="13" x14ac:dyDescent="0.15">
      <c r="A375" s="56"/>
      <c r="B375" s="56"/>
      <c r="K375" s="56"/>
      <c r="L375" s="56"/>
      <c r="O375" s="56"/>
    </row>
    <row r="376" spans="1:15" ht="13" x14ac:dyDescent="0.15">
      <c r="A376" s="56"/>
      <c r="B376" s="56"/>
      <c r="K376" s="56"/>
      <c r="L376" s="56"/>
      <c r="O376" s="56"/>
    </row>
    <row r="377" spans="1:15" ht="13" x14ac:dyDescent="0.15">
      <c r="A377" s="56"/>
      <c r="B377" s="56"/>
      <c r="K377" s="56"/>
      <c r="L377" s="56"/>
      <c r="O377" s="56"/>
    </row>
    <row r="378" spans="1:15" ht="13" x14ac:dyDescent="0.15">
      <c r="A378" s="56"/>
      <c r="B378" s="56"/>
      <c r="K378" s="56"/>
      <c r="L378" s="56"/>
      <c r="O378" s="56"/>
    </row>
    <row r="379" spans="1:15" ht="13" x14ac:dyDescent="0.15">
      <c r="A379" s="56"/>
      <c r="B379" s="56"/>
      <c r="K379" s="56"/>
      <c r="L379" s="56"/>
      <c r="O379" s="56"/>
    </row>
    <row r="380" spans="1:15" ht="13" x14ac:dyDescent="0.15">
      <c r="A380" s="56"/>
      <c r="B380" s="56"/>
      <c r="K380" s="56"/>
      <c r="L380" s="56"/>
      <c r="O380" s="56"/>
    </row>
    <row r="381" spans="1:15" ht="13" x14ac:dyDescent="0.15">
      <c r="A381" s="56"/>
      <c r="B381" s="56"/>
      <c r="K381" s="56"/>
      <c r="L381" s="56"/>
      <c r="O381" s="56"/>
    </row>
    <row r="382" spans="1:15" ht="13" x14ac:dyDescent="0.15">
      <c r="A382" s="56"/>
      <c r="B382" s="56"/>
      <c r="K382" s="56"/>
      <c r="L382" s="56"/>
      <c r="O382" s="56"/>
    </row>
    <row r="383" spans="1:15" ht="13" x14ac:dyDescent="0.15">
      <c r="A383" s="56"/>
      <c r="B383" s="56"/>
      <c r="K383" s="56"/>
      <c r="L383" s="56"/>
      <c r="O383" s="56"/>
    </row>
    <row r="384" spans="1:15" ht="13" x14ac:dyDescent="0.15">
      <c r="A384" s="56"/>
      <c r="B384" s="56"/>
      <c r="K384" s="56"/>
      <c r="L384" s="56"/>
      <c r="O384" s="56"/>
    </row>
    <row r="385" spans="1:15" ht="13" x14ac:dyDescent="0.15">
      <c r="A385" s="56"/>
      <c r="B385" s="56"/>
      <c r="K385" s="56"/>
      <c r="L385" s="56"/>
      <c r="O385" s="56"/>
    </row>
    <row r="386" spans="1:15" ht="13" x14ac:dyDescent="0.15">
      <c r="A386" s="56"/>
      <c r="B386" s="56"/>
      <c r="K386" s="56"/>
      <c r="L386" s="56"/>
      <c r="O386" s="56"/>
    </row>
    <row r="387" spans="1:15" ht="13" x14ac:dyDescent="0.15">
      <c r="A387" s="56"/>
      <c r="B387" s="56"/>
      <c r="K387" s="56"/>
      <c r="L387" s="56"/>
      <c r="O387" s="56"/>
    </row>
    <row r="388" spans="1:15" ht="13" x14ac:dyDescent="0.15">
      <c r="A388" s="56"/>
      <c r="B388" s="56"/>
      <c r="K388" s="56"/>
      <c r="L388" s="56"/>
      <c r="O388" s="56"/>
    </row>
    <row r="389" spans="1:15" ht="13" x14ac:dyDescent="0.15">
      <c r="A389" s="56"/>
      <c r="B389" s="56"/>
      <c r="K389" s="56"/>
      <c r="L389" s="56"/>
      <c r="O389" s="56"/>
    </row>
    <row r="390" spans="1:15" ht="13" x14ac:dyDescent="0.15">
      <c r="A390" s="56"/>
      <c r="B390" s="56"/>
      <c r="K390" s="56"/>
      <c r="L390" s="56"/>
      <c r="O390" s="56"/>
    </row>
    <row r="391" spans="1:15" ht="13" x14ac:dyDescent="0.15">
      <c r="A391" s="56"/>
      <c r="B391" s="56"/>
      <c r="K391" s="56"/>
      <c r="L391" s="56"/>
      <c r="O391" s="56"/>
    </row>
    <row r="392" spans="1:15" ht="13" x14ac:dyDescent="0.15">
      <c r="A392" s="56"/>
      <c r="B392" s="56"/>
      <c r="K392" s="56"/>
      <c r="L392" s="56"/>
      <c r="O392" s="56"/>
    </row>
    <row r="393" spans="1:15" ht="13" x14ac:dyDescent="0.15">
      <c r="A393" s="56"/>
      <c r="B393" s="56"/>
      <c r="K393" s="56"/>
      <c r="L393" s="56"/>
      <c r="O393" s="56"/>
    </row>
    <row r="394" spans="1:15" ht="13" x14ac:dyDescent="0.15">
      <c r="A394" s="56"/>
      <c r="B394" s="56"/>
      <c r="K394" s="56"/>
      <c r="L394" s="56"/>
      <c r="O394" s="56"/>
    </row>
    <row r="395" spans="1:15" ht="13" x14ac:dyDescent="0.15">
      <c r="A395" s="56"/>
      <c r="B395" s="56"/>
      <c r="K395" s="56"/>
      <c r="L395" s="56"/>
      <c r="O395" s="56"/>
    </row>
    <row r="396" spans="1:15" ht="13" x14ac:dyDescent="0.15">
      <c r="A396" s="56"/>
      <c r="B396" s="56"/>
      <c r="K396" s="56"/>
      <c r="L396" s="56"/>
      <c r="O396" s="56"/>
    </row>
    <row r="397" spans="1:15" ht="13" x14ac:dyDescent="0.15">
      <c r="A397" s="56"/>
      <c r="B397" s="56"/>
      <c r="K397" s="56"/>
      <c r="L397" s="56"/>
      <c r="O397" s="56"/>
    </row>
    <row r="398" spans="1:15" ht="13" x14ac:dyDescent="0.15">
      <c r="A398" s="56"/>
      <c r="B398" s="56"/>
      <c r="K398" s="56"/>
      <c r="L398" s="56"/>
      <c r="O398" s="56"/>
    </row>
    <row r="399" spans="1:15" ht="13" x14ac:dyDescent="0.15">
      <c r="A399" s="56"/>
      <c r="B399" s="56"/>
      <c r="K399" s="56"/>
      <c r="L399" s="56"/>
      <c r="O399" s="56"/>
    </row>
    <row r="400" spans="1:15" ht="13" x14ac:dyDescent="0.15">
      <c r="A400" s="56"/>
      <c r="B400" s="56"/>
      <c r="K400" s="56"/>
      <c r="L400" s="56"/>
      <c r="O400" s="56"/>
    </row>
    <row r="401" spans="1:15" ht="13" x14ac:dyDescent="0.15">
      <c r="A401" s="56"/>
      <c r="B401" s="56"/>
      <c r="K401" s="56"/>
      <c r="L401" s="56"/>
      <c r="O401" s="56"/>
    </row>
    <row r="402" spans="1:15" ht="13" x14ac:dyDescent="0.15">
      <c r="A402" s="56"/>
      <c r="B402" s="56"/>
      <c r="K402" s="56"/>
      <c r="L402" s="56"/>
      <c r="O402" s="56"/>
    </row>
    <row r="403" spans="1:15" ht="13" x14ac:dyDescent="0.15">
      <c r="A403" s="56"/>
      <c r="B403" s="56"/>
      <c r="K403" s="56"/>
      <c r="L403" s="56"/>
      <c r="O403" s="56"/>
    </row>
    <row r="404" spans="1:15" ht="13" x14ac:dyDescent="0.15">
      <c r="A404" s="56"/>
      <c r="B404" s="56"/>
      <c r="K404" s="56"/>
      <c r="L404" s="56"/>
      <c r="O404" s="56"/>
    </row>
    <row r="405" spans="1:15" ht="13" x14ac:dyDescent="0.15">
      <c r="A405" s="56"/>
      <c r="B405" s="56"/>
      <c r="K405" s="56"/>
      <c r="L405" s="56"/>
      <c r="O405" s="56"/>
    </row>
    <row r="406" spans="1:15" ht="13" x14ac:dyDescent="0.15">
      <c r="A406" s="56"/>
      <c r="B406" s="56"/>
      <c r="K406" s="56"/>
      <c r="L406" s="56"/>
      <c r="O406" s="56"/>
    </row>
    <row r="407" spans="1:15" ht="13" x14ac:dyDescent="0.15">
      <c r="A407" s="56"/>
      <c r="B407" s="56"/>
      <c r="K407" s="56"/>
      <c r="L407" s="56"/>
      <c r="O407" s="56"/>
    </row>
    <row r="408" spans="1:15" ht="13" x14ac:dyDescent="0.15">
      <c r="A408" s="56"/>
      <c r="B408" s="56"/>
      <c r="K408" s="56"/>
      <c r="L408" s="56"/>
      <c r="O408" s="56"/>
    </row>
    <row r="409" spans="1:15" ht="13" x14ac:dyDescent="0.15">
      <c r="A409" s="56"/>
      <c r="B409" s="56"/>
      <c r="K409" s="56"/>
      <c r="L409" s="56"/>
      <c r="O409" s="56"/>
    </row>
    <row r="410" spans="1:15" ht="13" x14ac:dyDescent="0.15">
      <c r="A410" s="56"/>
      <c r="B410" s="56"/>
      <c r="K410" s="56"/>
      <c r="L410" s="56"/>
      <c r="O410" s="56"/>
    </row>
    <row r="411" spans="1:15" ht="13" x14ac:dyDescent="0.15">
      <c r="A411" s="56"/>
      <c r="B411" s="56"/>
      <c r="K411" s="56"/>
      <c r="L411" s="56"/>
      <c r="O411" s="56"/>
    </row>
    <row r="412" spans="1:15" ht="13" x14ac:dyDescent="0.15">
      <c r="A412" s="56"/>
      <c r="B412" s="56"/>
      <c r="K412" s="56"/>
      <c r="L412" s="56"/>
      <c r="O412" s="56"/>
    </row>
    <row r="413" spans="1:15" ht="13" x14ac:dyDescent="0.15">
      <c r="A413" s="56"/>
      <c r="B413" s="56"/>
      <c r="K413" s="56"/>
      <c r="L413" s="56"/>
      <c r="O413" s="56"/>
    </row>
    <row r="414" spans="1:15" ht="13" x14ac:dyDescent="0.15">
      <c r="A414" s="56"/>
      <c r="B414" s="56"/>
      <c r="K414" s="56"/>
      <c r="L414" s="56"/>
      <c r="O414" s="56"/>
    </row>
    <row r="415" spans="1:15" ht="13" x14ac:dyDescent="0.15">
      <c r="A415" s="56"/>
      <c r="B415" s="56"/>
      <c r="K415" s="56"/>
      <c r="L415" s="56"/>
      <c r="O415" s="56"/>
    </row>
    <row r="416" spans="1:15" ht="13" x14ac:dyDescent="0.15">
      <c r="A416" s="56"/>
      <c r="B416" s="56"/>
      <c r="K416" s="56"/>
      <c r="L416" s="56"/>
      <c r="O416" s="56"/>
    </row>
    <row r="417" spans="1:15" ht="13" x14ac:dyDescent="0.15">
      <c r="A417" s="56"/>
      <c r="B417" s="56"/>
      <c r="K417" s="56"/>
      <c r="L417" s="56"/>
      <c r="O417" s="56"/>
    </row>
    <row r="418" spans="1:15" ht="13" x14ac:dyDescent="0.15">
      <c r="A418" s="56"/>
      <c r="B418" s="56"/>
      <c r="K418" s="56"/>
      <c r="L418" s="56"/>
      <c r="O418" s="56"/>
    </row>
    <row r="419" spans="1:15" ht="13" x14ac:dyDescent="0.15">
      <c r="A419" s="56"/>
      <c r="B419" s="56"/>
      <c r="K419" s="56"/>
      <c r="L419" s="56"/>
      <c r="O419" s="56"/>
    </row>
    <row r="420" spans="1:15" ht="13" x14ac:dyDescent="0.15">
      <c r="A420" s="56"/>
      <c r="B420" s="56"/>
      <c r="K420" s="56"/>
      <c r="L420" s="56"/>
      <c r="O420" s="56"/>
    </row>
    <row r="421" spans="1:15" ht="13" x14ac:dyDescent="0.15">
      <c r="A421" s="56"/>
      <c r="B421" s="56"/>
      <c r="K421" s="56"/>
      <c r="L421" s="56"/>
      <c r="O421" s="56"/>
    </row>
    <row r="422" spans="1:15" ht="13" x14ac:dyDescent="0.15">
      <c r="A422" s="56"/>
      <c r="B422" s="56"/>
      <c r="K422" s="56"/>
      <c r="L422" s="56"/>
      <c r="O422" s="56"/>
    </row>
    <row r="423" spans="1:15" ht="13" x14ac:dyDescent="0.15">
      <c r="A423" s="56"/>
      <c r="B423" s="56"/>
      <c r="K423" s="56"/>
      <c r="L423" s="56"/>
      <c r="O423" s="56"/>
    </row>
    <row r="424" spans="1:15" ht="13" x14ac:dyDescent="0.15">
      <c r="A424" s="56"/>
      <c r="B424" s="56"/>
      <c r="K424" s="56"/>
      <c r="L424" s="56"/>
      <c r="O424" s="56"/>
    </row>
    <row r="425" spans="1:15" ht="13" x14ac:dyDescent="0.15">
      <c r="A425" s="56"/>
      <c r="B425" s="56"/>
      <c r="K425" s="56"/>
      <c r="L425" s="56"/>
      <c r="O425" s="56"/>
    </row>
    <row r="426" spans="1:15" ht="13" x14ac:dyDescent="0.15">
      <c r="A426" s="56"/>
      <c r="B426" s="56"/>
      <c r="K426" s="56"/>
      <c r="L426" s="56"/>
      <c r="O426" s="56"/>
    </row>
    <row r="427" spans="1:15" ht="13" x14ac:dyDescent="0.15">
      <c r="A427" s="56"/>
      <c r="B427" s="56"/>
      <c r="K427" s="56"/>
      <c r="L427" s="56"/>
      <c r="O427" s="56"/>
    </row>
    <row r="428" spans="1:15" ht="13" x14ac:dyDescent="0.15">
      <c r="A428" s="56"/>
      <c r="B428" s="56"/>
      <c r="K428" s="56"/>
      <c r="L428" s="56"/>
      <c r="O428" s="56"/>
    </row>
    <row r="429" spans="1:15" ht="13" x14ac:dyDescent="0.15">
      <c r="A429" s="56"/>
      <c r="B429" s="56"/>
      <c r="K429" s="56"/>
      <c r="L429" s="56"/>
      <c r="O429" s="56"/>
    </row>
    <row r="430" spans="1:15" ht="13" x14ac:dyDescent="0.15">
      <c r="A430" s="56"/>
      <c r="B430" s="56"/>
      <c r="K430" s="56"/>
      <c r="L430" s="56"/>
      <c r="O430" s="56"/>
    </row>
    <row r="431" spans="1:15" ht="13" x14ac:dyDescent="0.15">
      <c r="A431" s="56"/>
      <c r="B431" s="56"/>
      <c r="K431" s="56"/>
      <c r="L431" s="56"/>
      <c r="O431" s="56"/>
    </row>
    <row r="432" spans="1:15" ht="13" x14ac:dyDescent="0.15">
      <c r="A432" s="56"/>
      <c r="B432" s="56"/>
      <c r="K432" s="56"/>
      <c r="L432" s="56"/>
      <c r="O432" s="56"/>
    </row>
    <row r="433" spans="1:15" ht="13" x14ac:dyDescent="0.15">
      <c r="A433" s="56"/>
      <c r="B433" s="56"/>
      <c r="K433" s="56"/>
      <c r="L433" s="56"/>
      <c r="O433" s="56"/>
    </row>
    <row r="434" spans="1:15" ht="13" x14ac:dyDescent="0.15">
      <c r="A434" s="56"/>
      <c r="B434" s="56"/>
      <c r="K434" s="56"/>
      <c r="L434" s="56"/>
      <c r="O434" s="56"/>
    </row>
    <row r="435" spans="1:15" ht="13" x14ac:dyDescent="0.15">
      <c r="A435" s="56"/>
      <c r="B435" s="56"/>
      <c r="K435" s="56"/>
      <c r="L435" s="56"/>
      <c r="O435" s="56"/>
    </row>
    <row r="436" spans="1:15" ht="13" x14ac:dyDescent="0.15">
      <c r="A436" s="56"/>
      <c r="B436" s="56"/>
      <c r="K436" s="56"/>
      <c r="L436" s="56"/>
      <c r="O436" s="56"/>
    </row>
    <row r="437" spans="1:15" ht="13" x14ac:dyDescent="0.15">
      <c r="A437" s="56"/>
      <c r="B437" s="56"/>
      <c r="K437" s="56"/>
      <c r="L437" s="56"/>
      <c r="O437" s="56"/>
    </row>
    <row r="438" spans="1:15" ht="13" x14ac:dyDescent="0.15">
      <c r="A438" s="56"/>
      <c r="B438" s="56"/>
      <c r="K438" s="56"/>
      <c r="L438" s="56"/>
      <c r="O438" s="56"/>
    </row>
    <row r="439" spans="1:15" ht="13" x14ac:dyDescent="0.15">
      <c r="A439" s="56"/>
      <c r="B439" s="56"/>
      <c r="K439" s="56"/>
      <c r="L439" s="56"/>
      <c r="O439" s="56"/>
    </row>
    <row r="440" spans="1:15" ht="13" x14ac:dyDescent="0.15">
      <c r="A440" s="56"/>
      <c r="B440" s="56"/>
      <c r="K440" s="56"/>
      <c r="L440" s="56"/>
      <c r="O440" s="56"/>
    </row>
    <row r="441" spans="1:15" ht="13" x14ac:dyDescent="0.15">
      <c r="A441" s="56"/>
      <c r="B441" s="56"/>
      <c r="K441" s="56"/>
      <c r="L441" s="56"/>
      <c r="O441" s="56"/>
    </row>
    <row r="442" spans="1:15" ht="13" x14ac:dyDescent="0.15">
      <c r="A442" s="56"/>
      <c r="B442" s="56"/>
      <c r="K442" s="56"/>
      <c r="L442" s="56"/>
      <c r="O442" s="56"/>
    </row>
    <row r="443" spans="1:15" ht="13" x14ac:dyDescent="0.15">
      <c r="A443" s="56"/>
      <c r="B443" s="56"/>
      <c r="K443" s="56"/>
      <c r="L443" s="56"/>
      <c r="O443" s="56"/>
    </row>
    <row r="444" spans="1:15" ht="13" x14ac:dyDescent="0.15">
      <c r="A444" s="56"/>
      <c r="B444" s="56"/>
      <c r="K444" s="56"/>
      <c r="L444" s="56"/>
      <c r="O444" s="56"/>
    </row>
    <row r="445" spans="1:15" ht="13" x14ac:dyDescent="0.15">
      <c r="A445" s="56"/>
      <c r="B445" s="56"/>
      <c r="K445" s="56"/>
      <c r="L445" s="56"/>
      <c r="O445" s="56"/>
    </row>
    <row r="446" spans="1:15" ht="13" x14ac:dyDescent="0.15">
      <c r="A446" s="56"/>
      <c r="B446" s="56"/>
      <c r="K446" s="56"/>
      <c r="L446" s="56"/>
      <c r="O446" s="56"/>
    </row>
    <row r="447" spans="1:15" ht="13" x14ac:dyDescent="0.15">
      <c r="A447" s="56"/>
      <c r="B447" s="56"/>
      <c r="K447" s="56"/>
      <c r="L447" s="56"/>
      <c r="O447" s="56"/>
    </row>
    <row r="448" spans="1:15" ht="13" x14ac:dyDescent="0.15">
      <c r="A448" s="56"/>
      <c r="B448" s="56"/>
      <c r="K448" s="56"/>
      <c r="L448" s="56"/>
      <c r="O448" s="56"/>
    </row>
    <row r="449" spans="1:15" ht="13" x14ac:dyDescent="0.15">
      <c r="A449" s="56"/>
      <c r="B449" s="56"/>
      <c r="K449" s="56"/>
      <c r="L449" s="56"/>
      <c r="O449" s="56"/>
    </row>
    <row r="450" spans="1:15" ht="13" x14ac:dyDescent="0.15">
      <c r="A450" s="56"/>
      <c r="B450" s="56"/>
      <c r="K450" s="56"/>
      <c r="L450" s="56"/>
      <c r="O450" s="56"/>
    </row>
    <row r="451" spans="1:15" ht="13" x14ac:dyDescent="0.15">
      <c r="A451" s="56"/>
      <c r="B451" s="56"/>
      <c r="K451" s="56"/>
      <c r="L451" s="56"/>
      <c r="O451" s="56"/>
    </row>
    <row r="452" spans="1:15" ht="13" x14ac:dyDescent="0.15">
      <c r="A452" s="56"/>
      <c r="B452" s="56"/>
      <c r="K452" s="56"/>
      <c r="L452" s="56"/>
      <c r="O452" s="56"/>
    </row>
    <row r="453" spans="1:15" ht="13" x14ac:dyDescent="0.15">
      <c r="A453" s="56"/>
      <c r="B453" s="56"/>
      <c r="K453" s="56"/>
      <c r="L453" s="56"/>
      <c r="O453" s="56"/>
    </row>
    <row r="454" spans="1:15" ht="13" x14ac:dyDescent="0.15">
      <c r="A454" s="56"/>
      <c r="B454" s="56"/>
      <c r="K454" s="56"/>
      <c r="L454" s="56"/>
      <c r="O454" s="56"/>
    </row>
    <row r="455" spans="1:15" ht="13" x14ac:dyDescent="0.15">
      <c r="A455" s="56"/>
      <c r="B455" s="56"/>
      <c r="K455" s="56"/>
      <c r="L455" s="56"/>
      <c r="O455" s="56"/>
    </row>
    <row r="456" spans="1:15" ht="13" x14ac:dyDescent="0.15">
      <c r="A456" s="56"/>
      <c r="B456" s="56"/>
      <c r="K456" s="56"/>
      <c r="L456" s="56"/>
      <c r="O456" s="56"/>
    </row>
    <row r="457" spans="1:15" ht="13" x14ac:dyDescent="0.15">
      <c r="A457" s="56"/>
      <c r="B457" s="56"/>
      <c r="K457" s="56"/>
      <c r="L457" s="56"/>
      <c r="O457" s="56"/>
    </row>
    <row r="458" spans="1:15" ht="13" x14ac:dyDescent="0.15">
      <c r="A458" s="56"/>
      <c r="B458" s="56"/>
      <c r="K458" s="56"/>
      <c r="L458" s="56"/>
      <c r="O458" s="56"/>
    </row>
    <row r="459" spans="1:15" ht="13" x14ac:dyDescent="0.15">
      <c r="A459" s="56"/>
      <c r="B459" s="56"/>
      <c r="K459" s="56"/>
      <c r="L459" s="56"/>
      <c r="O459" s="56"/>
    </row>
    <row r="460" spans="1:15" ht="13" x14ac:dyDescent="0.15">
      <c r="A460" s="56"/>
      <c r="B460" s="56"/>
      <c r="K460" s="56"/>
      <c r="L460" s="56"/>
      <c r="O460" s="56"/>
    </row>
    <row r="461" spans="1:15" ht="13" x14ac:dyDescent="0.15">
      <c r="A461" s="56"/>
      <c r="B461" s="56"/>
      <c r="K461" s="56"/>
      <c r="L461" s="56"/>
      <c r="O461" s="56"/>
    </row>
    <row r="462" spans="1:15" ht="13" x14ac:dyDescent="0.15">
      <c r="A462" s="56"/>
      <c r="B462" s="56"/>
      <c r="K462" s="56"/>
      <c r="L462" s="56"/>
      <c r="O462" s="56"/>
    </row>
    <row r="463" spans="1:15" ht="13" x14ac:dyDescent="0.15">
      <c r="A463" s="56"/>
      <c r="B463" s="56"/>
      <c r="K463" s="56"/>
      <c r="L463" s="56"/>
      <c r="O463" s="56"/>
    </row>
    <row r="464" spans="1:15" ht="13" x14ac:dyDescent="0.15">
      <c r="A464" s="56"/>
      <c r="B464" s="56"/>
      <c r="K464" s="56"/>
      <c r="L464" s="56"/>
      <c r="O464" s="56"/>
    </row>
    <row r="465" spans="1:15" ht="13" x14ac:dyDescent="0.15">
      <c r="A465" s="56"/>
      <c r="B465" s="56"/>
      <c r="K465" s="56"/>
      <c r="L465" s="56"/>
      <c r="O465" s="56"/>
    </row>
    <row r="466" spans="1:15" ht="13" x14ac:dyDescent="0.15">
      <c r="A466" s="56"/>
      <c r="B466" s="56"/>
      <c r="K466" s="56"/>
      <c r="L466" s="56"/>
      <c r="O466" s="56"/>
    </row>
    <row r="467" spans="1:15" ht="13" x14ac:dyDescent="0.15">
      <c r="A467" s="56"/>
      <c r="B467" s="56"/>
      <c r="K467" s="56"/>
      <c r="L467" s="56"/>
      <c r="O467" s="56"/>
    </row>
    <row r="468" spans="1:15" ht="13" x14ac:dyDescent="0.15">
      <c r="A468" s="56"/>
      <c r="B468" s="56"/>
      <c r="K468" s="56"/>
      <c r="L468" s="56"/>
      <c r="O468" s="56"/>
    </row>
    <row r="469" spans="1:15" ht="13" x14ac:dyDescent="0.15">
      <c r="A469" s="56"/>
      <c r="B469" s="56"/>
      <c r="K469" s="56"/>
      <c r="L469" s="56"/>
      <c r="O469" s="56"/>
    </row>
    <row r="470" spans="1:15" ht="13" x14ac:dyDescent="0.15">
      <c r="A470" s="56"/>
      <c r="B470" s="56"/>
      <c r="K470" s="56"/>
      <c r="L470" s="56"/>
      <c r="O470" s="56"/>
    </row>
    <row r="471" spans="1:15" ht="13" x14ac:dyDescent="0.15">
      <c r="A471" s="56"/>
      <c r="B471" s="56"/>
      <c r="K471" s="56"/>
      <c r="L471" s="56"/>
      <c r="O471" s="56"/>
    </row>
    <row r="472" spans="1:15" ht="13" x14ac:dyDescent="0.15">
      <c r="A472" s="56"/>
      <c r="B472" s="56"/>
      <c r="K472" s="56"/>
      <c r="L472" s="56"/>
      <c r="O472" s="56"/>
    </row>
    <row r="473" spans="1:15" ht="13" x14ac:dyDescent="0.15">
      <c r="A473" s="56"/>
      <c r="B473" s="56"/>
      <c r="K473" s="56"/>
      <c r="L473" s="56"/>
      <c r="O473" s="56"/>
    </row>
    <row r="474" spans="1:15" ht="13" x14ac:dyDescent="0.15">
      <c r="A474" s="56"/>
      <c r="B474" s="56"/>
      <c r="K474" s="56"/>
      <c r="L474" s="56"/>
      <c r="O474" s="56"/>
    </row>
    <row r="475" spans="1:15" ht="13" x14ac:dyDescent="0.15">
      <c r="A475" s="56"/>
      <c r="B475" s="56"/>
      <c r="K475" s="56"/>
      <c r="L475" s="56"/>
      <c r="O475" s="56"/>
    </row>
    <row r="476" spans="1:15" ht="13" x14ac:dyDescent="0.15">
      <c r="A476" s="56"/>
      <c r="B476" s="56"/>
      <c r="K476" s="56"/>
      <c r="L476" s="56"/>
      <c r="O476" s="56"/>
    </row>
    <row r="477" spans="1:15" ht="13" x14ac:dyDescent="0.15">
      <c r="A477" s="56"/>
      <c r="B477" s="56"/>
      <c r="K477" s="56"/>
      <c r="L477" s="56"/>
      <c r="O477" s="56"/>
    </row>
    <row r="478" spans="1:15" ht="13" x14ac:dyDescent="0.15">
      <c r="A478" s="56"/>
      <c r="B478" s="56"/>
      <c r="K478" s="56"/>
      <c r="L478" s="56"/>
      <c r="O478" s="56"/>
    </row>
    <row r="479" spans="1:15" ht="13" x14ac:dyDescent="0.15">
      <c r="A479" s="56"/>
      <c r="B479" s="56"/>
      <c r="K479" s="56"/>
      <c r="L479" s="56"/>
      <c r="O479" s="56"/>
    </row>
    <row r="480" spans="1:15" ht="13" x14ac:dyDescent="0.15">
      <c r="A480" s="56"/>
      <c r="B480" s="56"/>
      <c r="K480" s="56"/>
      <c r="L480" s="56"/>
      <c r="O480" s="56"/>
    </row>
    <row r="481" spans="1:15" ht="13" x14ac:dyDescent="0.15">
      <c r="A481" s="56"/>
      <c r="B481" s="56"/>
      <c r="K481" s="56"/>
      <c r="L481" s="56"/>
      <c r="O481" s="56"/>
    </row>
    <row r="482" spans="1:15" ht="13" x14ac:dyDescent="0.15">
      <c r="A482" s="56"/>
      <c r="B482" s="56"/>
      <c r="K482" s="56"/>
      <c r="L482" s="56"/>
      <c r="O482" s="56"/>
    </row>
    <row r="483" spans="1:15" ht="13" x14ac:dyDescent="0.15">
      <c r="A483" s="56"/>
      <c r="B483" s="56"/>
      <c r="K483" s="56"/>
      <c r="L483" s="56"/>
      <c r="O483" s="56"/>
    </row>
    <row r="484" spans="1:15" ht="13" x14ac:dyDescent="0.15">
      <c r="A484" s="56"/>
      <c r="B484" s="56"/>
      <c r="K484" s="56"/>
      <c r="L484" s="56"/>
      <c r="O484" s="56"/>
    </row>
    <row r="485" spans="1:15" ht="13" x14ac:dyDescent="0.15">
      <c r="A485" s="56"/>
      <c r="B485" s="56"/>
      <c r="K485" s="56"/>
      <c r="L485" s="56"/>
      <c r="O485" s="56"/>
    </row>
    <row r="486" spans="1:15" ht="13" x14ac:dyDescent="0.15">
      <c r="A486" s="56"/>
      <c r="B486" s="56"/>
      <c r="K486" s="56"/>
      <c r="L486" s="56"/>
      <c r="O486" s="56"/>
    </row>
    <row r="487" spans="1:15" ht="13" x14ac:dyDescent="0.15">
      <c r="A487" s="56"/>
      <c r="B487" s="56"/>
      <c r="K487" s="56"/>
      <c r="L487" s="56"/>
      <c r="O487" s="56"/>
    </row>
    <row r="488" spans="1:15" ht="13" x14ac:dyDescent="0.15">
      <c r="A488" s="56"/>
      <c r="B488" s="56"/>
      <c r="K488" s="56"/>
      <c r="L488" s="56"/>
      <c r="O488" s="56"/>
    </row>
    <row r="489" spans="1:15" ht="13" x14ac:dyDescent="0.15">
      <c r="A489" s="56"/>
      <c r="B489" s="56"/>
      <c r="K489" s="56"/>
      <c r="L489" s="56"/>
      <c r="O489" s="56"/>
    </row>
    <row r="490" spans="1:15" ht="13" x14ac:dyDescent="0.15">
      <c r="A490" s="56"/>
      <c r="B490" s="56"/>
      <c r="K490" s="56"/>
      <c r="L490" s="56"/>
      <c r="O490" s="56"/>
    </row>
    <row r="491" spans="1:15" ht="13" x14ac:dyDescent="0.15">
      <c r="A491" s="56"/>
      <c r="B491" s="56"/>
      <c r="K491" s="56"/>
      <c r="L491" s="56"/>
      <c r="O491" s="56"/>
    </row>
    <row r="492" spans="1:15" ht="13" x14ac:dyDescent="0.15">
      <c r="A492" s="56"/>
      <c r="B492" s="56"/>
      <c r="K492" s="56"/>
      <c r="L492" s="56"/>
      <c r="O492" s="56"/>
    </row>
    <row r="493" spans="1:15" ht="13" x14ac:dyDescent="0.15">
      <c r="A493" s="56"/>
      <c r="B493" s="56"/>
      <c r="K493" s="56"/>
      <c r="L493" s="56"/>
      <c r="O493" s="56"/>
    </row>
    <row r="494" spans="1:15" ht="13" x14ac:dyDescent="0.15">
      <c r="A494" s="56"/>
      <c r="B494" s="56"/>
      <c r="K494" s="56"/>
      <c r="L494" s="56"/>
      <c r="O494" s="56"/>
    </row>
    <row r="495" spans="1:15" ht="13" x14ac:dyDescent="0.15">
      <c r="A495" s="56"/>
      <c r="B495" s="56"/>
      <c r="K495" s="56"/>
      <c r="L495" s="56"/>
      <c r="O495" s="56"/>
    </row>
    <row r="496" spans="1:15" ht="13" x14ac:dyDescent="0.15">
      <c r="A496" s="56"/>
      <c r="B496" s="56"/>
      <c r="K496" s="56"/>
      <c r="L496" s="56"/>
      <c r="O496" s="56"/>
    </row>
    <row r="497" spans="1:15" ht="13" x14ac:dyDescent="0.15">
      <c r="A497" s="56"/>
      <c r="B497" s="56"/>
      <c r="K497" s="56"/>
      <c r="L497" s="56"/>
      <c r="O497" s="56"/>
    </row>
    <row r="498" spans="1:15" ht="13" x14ac:dyDescent="0.15">
      <c r="A498" s="56"/>
      <c r="B498" s="56"/>
      <c r="K498" s="56"/>
      <c r="L498" s="56"/>
      <c r="O498" s="56"/>
    </row>
    <row r="499" spans="1:15" ht="13" x14ac:dyDescent="0.15">
      <c r="A499" s="56"/>
      <c r="B499" s="56"/>
      <c r="K499" s="56"/>
      <c r="L499" s="56"/>
      <c r="O499" s="56"/>
    </row>
    <row r="500" spans="1:15" ht="13" x14ac:dyDescent="0.15">
      <c r="A500" s="56"/>
      <c r="B500" s="56"/>
      <c r="K500" s="56"/>
      <c r="L500" s="56"/>
      <c r="O500" s="56"/>
    </row>
    <row r="501" spans="1:15" ht="13" x14ac:dyDescent="0.15">
      <c r="A501" s="56"/>
      <c r="B501" s="56"/>
      <c r="K501" s="56"/>
      <c r="L501" s="56"/>
      <c r="O501" s="56"/>
    </row>
    <row r="502" spans="1:15" ht="13" x14ac:dyDescent="0.15">
      <c r="A502" s="56"/>
      <c r="B502" s="56"/>
      <c r="K502" s="56"/>
      <c r="L502" s="56"/>
      <c r="O502" s="56"/>
    </row>
    <row r="503" spans="1:15" ht="13" x14ac:dyDescent="0.15">
      <c r="A503" s="56"/>
      <c r="B503" s="56"/>
      <c r="K503" s="56"/>
      <c r="L503" s="56"/>
      <c r="O503" s="56"/>
    </row>
    <row r="504" spans="1:15" ht="13" x14ac:dyDescent="0.15">
      <c r="A504" s="56"/>
      <c r="B504" s="56"/>
      <c r="K504" s="56"/>
      <c r="L504" s="56"/>
      <c r="O504" s="56"/>
    </row>
    <row r="505" spans="1:15" ht="13" x14ac:dyDescent="0.15">
      <c r="A505" s="56"/>
      <c r="B505" s="56"/>
      <c r="K505" s="56"/>
      <c r="L505" s="56"/>
      <c r="O505" s="56"/>
    </row>
    <row r="506" spans="1:15" ht="13" x14ac:dyDescent="0.15">
      <c r="A506" s="56"/>
      <c r="B506" s="56"/>
      <c r="K506" s="56"/>
      <c r="L506" s="56"/>
      <c r="O506" s="56"/>
    </row>
    <row r="507" spans="1:15" ht="13" x14ac:dyDescent="0.15">
      <c r="A507" s="56"/>
      <c r="B507" s="56"/>
      <c r="K507" s="56"/>
      <c r="L507" s="56"/>
      <c r="O507" s="56"/>
    </row>
    <row r="508" spans="1:15" ht="13" x14ac:dyDescent="0.15">
      <c r="A508" s="56"/>
      <c r="B508" s="56"/>
      <c r="K508" s="56"/>
      <c r="L508" s="56"/>
      <c r="O508" s="56"/>
    </row>
    <row r="509" spans="1:15" ht="13" x14ac:dyDescent="0.15">
      <c r="A509" s="56"/>
      <c r="B509" s="56"/>
      <c r="K509" s="56"/>
      <c r="L509" s="56"/>
      <c r="O509" s="56"/>
    </row>
    <row r="510" spans="1:15" ht="13" x14ac:dyDescent="0.15">
      <c r="A510" s="56"/>
      <c r="B510" s="56"/>
      <c r="K510" s="56"/>
      <c r="L510" s="56"/>
      <c r="O510" s="56"/>
    </row>
    <row r="511" spans="1:15" ht="13" x14ac:dyDescent="0.15">
      <c r="A511" s="56"/>
      <c r="B511" s="56"/>
      <c r="K511" s="56"/>
      <c r="L511" s="56"/>
      <c r="O511" s="56"/>
    </row>
    <row r="512" spans="1:15" ht="13" x14ac:dyDescent="0.15">
      <c r="A512" s="56"/>
      <c r="B512" s="56"/>
      <c r="K512" s="56"/>
      <c r="L512" s="56"/>
      <c r="O512" s="56"/>
    </row>
    <row r="513" spans="1:15" ht="13" x14ac:dyDescent="0.15">
      <c r="A513" s="56"/>
      <c r="B513" s="56"/>
      <c r="K513" s="56"/>
      <c r="L513" s="56"/>
      <c r="O513" s="56"/>
    </row>
    <row r="514" spans="1:15" ht="13" x14ac:dyDescent="0.15">
      <c r="A514" s="56"/>
      <c r="B514" s="56"/>
      <c r="K514" s="56"/>
      <c r="L514" s="56"/>
      <c r="O514" s="56"/>
    </row>
    <row r="515" spans="1:15" ht="13" x14ac:dyDescent="0.15">
      <c r="A515" s="56"/>
      <c r="B515" s="56"/>
      <c r="K515" s="56"/>
      <c r="L515" s="56"/>
      <c r="O515" s="56"/>
    </row>
    <row r="516" spans="1:15" ht="13" x14ac:dyDescent="0.15">
      <c r="A516" s="56"/>
      <c r="B516" s="56"/>
      <c r="K516" s="56"/>
      <c r="L516" s="56"/>
      <c r="O516" s="56"/>
    </row>
    <row r="517" spans="1:15" ht="13" x14ac:dyDescent="0.15">
      <c r="A517" s="56"/>
      <c r="B517" s="56"/>
      <c r="K517" s="56"/>
      <c r="L517" s="56"/>
      <c r="O517" s="56"/>
    </row>
    <row r="518" spans="1:15" ht="13" x14ac:dyDescent="0.15">
      <c r="A518" s="56"/>
      <c r="B518" s="56"/>
      <c r="K518" s="56"/>
      <c r="L518" s="56"/>
      <c r="O518" s="56"/>
    </row>
    <row r="519" spans="1:15" ht="13" x14ac:dyDescent="0.15">
      <c r="A519" s="56"/>
      <c r="B519" s="56"/>
      <c r="K519" s="56"/>
      <c r="L519" s="56"/>
      <c r="O519" s="56"/>
    </row>
    <row r="520" spans="1:15" ht="13" x14ac:dyDescent="0.15">
      <c r="A520" s="56"/>
      <c r="B520" s="56"/>
      <c r="K520" s="56"/>
      <c r="L520" s="56"/>
      <c r="O520" s="56"/>
    </row>
    <row r="521" spans="1:15" ht="13" x14ac:dyDescent="0.15">
      <c r="A521" s="56"/>
      <c r="B521" s="56"/>
      <c r="K521" s="56"/>
      <c r="L521" s="56"/>
      <c r="O521" s="56"/>
    </row>
    <row r="522" spans="1:15" ht="13" x14ac:dyDescent="0.15">
      <c r="A522" s="56"/>
      <c r="B522" s="56"/>
      <c r="K522" s="56"/>
      <c r="L522" s="56"/>
      <c r="O522" s="56"/>
    </row>
    <row r="523" spans="1:15" ht="13" x14ac:dyDescent="0.15">
      <c r="A523" s="56"/>
      <c r="B523" s="56"/>
      <c r="K523" s="56"/>
      <c r="L523" s="56"/>
      <c r="O523" s="56"/>
    </row>
    <row r="524" spans="1:15" ht="13" x14ac:dyDescent="0.15">
      <c r="A524" s="56"/>
      <c r="B524" s="56"/>
      <c r="K524" s="56"/>
      <c r="L524" s="56"/>
      <c r="O524" s="56"/>
    </row>
    <row r="525" spans="1:15" ht="13" x14ac:dyDescent="0.15">
      <c r="A525" s="56"/>
      <c r="B525" s="56"/>
      <c r="K525" s="56"/>
      <c r="L525" s="56"/>
      <c r="O525" s="56"/>
    </row>
    <row r="526" spans="1:15" ht="13" x14ac:dyDescent="0.15">
      <c r="A526" s="56"/>
      <c r="B526" s="56"/>
      <c r="K526" s="56"/>
      <c r="L526" s="56"/>
      <c r="O526" s="56"/>
    </row>
    <row r="527" spans="1:15" ht="13" x14ac:dyDescent="0.15">
      <c r="A527" s="56"/>
      <c r="B527" s="56"/>
      <c r="K527" s="56"/>
      <c r="L527" s="56"/>
      <c r="O527" s="56"/>
    </row>
    <row r="528" spans="1:15" ht="13" x14ac:dyDescent="0.15">
      <c r="A528" s="56"/>
      <c r="B528" s="56"/>
      <c r="K528" s="56"/>
      <c r="L528" s="56"/>
      <c r="O528" s="56"/>
    </row>
    <row r="529" spans="1:15" ht="13" x14ac:dyDescent="0.15">
      <c r="A529" s="56"/>
      <c r="B529" s="56"/>
      <c r="K529" s="56"/>
      <c r="L529" s="56"/>
      <c r="O529" s="56"/>
    </row>
    <row r="530" spans="1:15" ht="13" x14ac:dyDescent="0.15">
      <c r="A530" s="56"/>
      <c r="B530" s="56"/>
      <c r="K530" s="56"/>
      <c r="L530" s="56"/>
      <c r="O530" s="56"/>
    </row>
    <row r="531" spans="1:15" ht="13" x14ac:dyDescent="0.15">
      <c r="A531" s="56"/>
      <c r="B531" s="56"/>
      <c r="K531" s="56"/>
      <c r="L531" s="56"/>
      <c r="O531" s="56"/>
    </row>
    <row r="532" spans="1:15" ht="13" x14ac:dyDescent="0.15">
      <c r="A532" s="56"/>
      <c r="B532" s="56"/>
      <c r="K532" s="56"/>
      <c r="L532" s="56"/>
      <c r="O532" s="56"/>
    </row>
    <row r="533" spans="1:15" ht="13" x14ac:dyDescent="0.15">
      <c r="A533" s="56"/>
      <c r="B533" s="56"/>
      <c r="K533" s="56"/>
      <c r="L533" s="56"/>
      <c r="O533" s="56"/>
    </row>
    <row r="534" spans="1:15" ht="13" x14ac:dyDescent="0.15">
      <c r="A534" s="56"/>
      <c r="B534" s="56"/>
      <c r="K534" s="56"/>
      <c r="L534" s="56"/>
      <c r="O534" s="56"/>
    </row>
    <row r="535" spans="1:15" ht="13" x14ac:dyDescent="0.15">
      <c r="A535" s="56"/>
      <c r="B535" s="56"/>
      <c r="K535" s="56"/>
      <c r="L535" s="56"/>
      <c r="O535" s="56"/>
    </row>
    <row r="536" spans="1:15" ht="13" x14ac:dyDescent="0.15">
      <c r="A536" s="56"/>
      <c r="B536" s="56"/>
      <c r="K536" s="56"/>
      <c r="L536" s="56"/>
      <c r="O536" s="56"/>
    </row>
    <row r="537" spans="1:15" ht="13" x14ac:dyDescent="0.15">
      <c r="A537" s="56"/>
      <c r="B537" s="56"/>
      <c r="K537" s="56"/>
      <c r="L537" s="56"/>
      <c r="O537" s="56"/>
    </row>
    <row r="538" spans="1:15" ht="13" x14ac:dyDescent="0.15">
      <c r="A538" s="56"/>
      <c r="B538" s="56"/>
      <c r="K538" s="56"/>
      <c r="L538" s="56"/>
      <c r="O538" s="56"/>
    </row>
    <row r="539" spans="1:15" ht="13" x14ac:dyDescent="0.15">
      <c r="A539" s="56"/>
      <c r="B539" s="56"/>
      <c r="K539" s="56"/>
      <c r="L539" s="56"/>
      <c r="O539" s="56"/>
    </row>
    <row r="540" spans="1:15" ht="13" x14ac:dyDescent="0.15">
      <c r="A540" s="56"/>
      <c r="B540" s="56"/>
      <c r="K540" s="56"/>
      <c r="L540" s="56"/>
      <c r="O540" s="56"/>
    </row>
    <row r="541" spans="1:15" ht="13" x14ac:dyDescent="0.15">
      <c r="A541" s="56"/>
      <c r="B541" s="56"/>
      <c r="K541" s="56"/>
      <c r="L541" s="56"/>
      <c r="O541" s="56"/>
    </row>
    <row r="542" spans="1:15" ht="13" x14ac:dyDescent="0.15">
      <c r="A542" s="56"/>
      <c r="B542" s="56"/>
      <c r="K542" s="56"/>
      <c r="L542" s="56"/>
      <c r="O542" s="56"/>
    </row>
    <row r="543" spans="1:15" ht="13" x14ac:dyDescent="0.15">
      <c r="A543" s="56"/>
      <c r="B543" s="56"/>
      <c r="K543" s="56"/>
      <c r="L543" s="56"/>
      <c r="O543" s="56"/>
    </row>
    <row r="544" spans="1:15" ht="13" x14ac:dyDescent="0.15">
      <c r="A544" s="56"/>
      <c r="B544" s="56"/>
      <c r="K544" s="56"/>
      <c r="L544" s="56"/>
      <c r="O544" s="56"/>
    </row>
    <row r="545" spans="1:15" ht="13" x14ac:dyDescent="0.15">
      <c r="A545" s="56"/>
      <c r="B545" s="56"/>
      <c r="K545" s="56"/>
      <c r="L545" s="56"/>
      <c r="O545" s="56"/>
    </row>
    <row r="546" spans="1:15" ht="13" x14ac:dyDescent="0.15">
      <c r="A546" s="56"/>
      <c r="B546" s="56"/>
      <c r="K546" s="56"/>
      <c r="L546" s="56"/>
      <c r="O546" s="56"/>
    </row>
    <row r="547" spans="1:15" ht="13" x14ac:dyDescent="0.15">
      <c r="A547" s="56"/>
      <c r="B547" s="56"/>
      <c r="K547" s="56"/>
      <c r="L547" s="56"/>
      <c r="O547" s="56"/>
    </row>
    <row r="548" spans="1:15" ht="13" x14ac:dyDescent="0.15">
      <c r="A548" s="56"/>
      <c r="B548" s="56"/>
      <c r="K548" s="56"/>
      <c r="L548" s="56"/>
      <c r="O548" s="56"/>
    </row>
    <row r="549" spans="1:15" ht="13" x14ac:dyDescent="0.15">
      <c r="A549" s="56"/>
      <c r="B549" s="56"/>
      <c r="K549" s="56"/>
      <c r="L549" s="56"/>
      <c r="O549" s="56"/>
    </row>
    <row r="550" spans="1:15" ht="13" x14ac:dyDescent="0.15">
      <c r="A550" s="56"/>
      <c r="B550" s="56"/>
      <c r="K550" s="56"/>
      <c r="L550" s="56"/>
      <c r="O550" s="56"/>
    </row>
    <row r="551" spans="1:15" ht="13" x14ac:dyDescent="0.15">
      <c r="A551" s="56"/>
      <c r="B551" s="56"/>
      <c r="K551" s="56"/>
      <c r="L551" s="56"/>
      <c r="O551" s="56"/>
    </row>
    <row r="552" spans="1:15" ht="13" x14ac:dyDescent="0.15">
      <c r="A552" s="56"/>
      <c r="B552" s="56"/>
      <c r="K552" s="56"/>
      <c r="L552" s="56"/>
      <c r="O552" s="56"/>
    </row>
    <row r="553" spans="1:15" ht="13" x14ac:dyDescent="0.15">
      <c r="A553" s="56"/>
      <c r="B553" s="56"/>
      <c r="K553" s="56"/>
      <c r="L553" s="56"/>
      <c r="O553" s="56"/>
    </row>
    <row r="554" spans="1:15" ht="13" x14ac:dyDescent="0.15">
      <c r="A554" s="56"/>
      <c r="B554" s="56"/>
      <c r="K554" s="56"/>
      <c r="L554" s="56"/>
      <c r="O554" s="56"/>
    </row>
    <row r="555" spans="1:15" ht="13" x14ac:dyDescent="0.15">
      <c r="A555" s="56"/>
      <c r="B555" s="56"/>
      <c r="K555" s="56"/>
      <c r="L555" s="56"/>
      <c r="O555" s="56"/>
    </row>
    <row r="556" spans="1:15" ht="13" x14ac:dyDescent="0.15">
      <c r="A556" s="56"/>
      <c r="B556" s="56"/>
      <c r="K556" s="56"/>
      <c r="L556" s="56"/>
      <c r="O556" s="56"/>
    </row>
    <row r="557" spans="1:15" ht="13" x14ac:dyDescent="0.15">
      <c r="A557" s="56"/>
      <c r="B557" s="56"/>
      <c r="K557" s="56"/>
      <c r="L557" s="56"/>
      <c r="O557" s="56"/>
    </row>
    <row r="558" spans="1:15" ht="13" x14ac:dyDescent="0.15">
      <c r="A558" s="56"/>
      <c r="B558" s="56"/>
      <c r="K558" s="56"/>
      <c r="L558" s="56"/>
      <c r="O558" s="56"/>
    </row>
    <row r="559" spans="1:15" ht="13" x14ac:dyDescent="0.15">
      <c r="A559" s="56"/>
      <c r="B559" s="56"/>
      <c r="K559" s="56"/>
      <c r="L559" s="56"/>
      <c r="O559" s="56"/>
    </row>
    <row r="560" spans="1:15" ht="13" x14ac:dyDescent="0.15">
      <c r="A560" s="56"/>
      <c r="B560" s="56"/>
      <c r="K560" s="56"/>
      <c r="L560" s="56"/>
      <c r="O560" s="56"/>
    </row>
    <row r="561" spans="1:15" ht="13" x14ac:dyDescent="0.15">
      <c r="A561" s="56"/>
      <c r="B561" s="56"/>
      <c r="K561" s="56"/>
      <c r="L561" s="56"/>
      <c r="O561" s="56"/>
    </row>
    <row r="562" spans="1:15" ht="13" x14ac:dyDescent="0.15">
      <c r="A562" s="56"/>
      <c r="B562" s="56"/>
      <c r="K562" s="56"/>
      <c r="L562" s="56"/>
      <c r="O562" s="56"/>
    </row>
    <row r="563" spans="1:15" ht="13" x14ac:dyDescent="0.15">
      <c r="A563" s="56"/>
      <c r="B563" s="56"/>
      <c r="K563" s="56"/>
      <c r="L563" s="56"/>
      <c r="O563" s="56"/>
    </row>
    <row r="564" spans="1:15" ht="13" x14ac:dyDescent="0.15">
      <c r="A564" s="56"/>
      <c r="B564" s="56"/>
      <c r="K564" s="56"/>
      <c r="L564" s="56"/>
      <c r="O564" s="56"/>
    </row>
    <row r="565" spans="1:15" ht="13" x14ac:dyDescent="0.15">
      <c r="A565" s="56"/>
      <c r="B565" s="56"/>
      <c r="K565" s="56"/>
      <c r="L565" s="56"/>
      <c r="O565" s="56"/>
    </row>
    <row r="566" spans="1:15" ht="13" x14ac:dyDescent="0.15">
      <c r="A566" s="56"/>
      <c r="B566" s="56"/>
      <c r="K566" s="56"/>
      <c r="L566" s="56"/>
      <c r="O566" s="56"/>
    </row>
    <row r="567" spans="1:15" ht="13" x14ac:dyDescent="0.15">
      <c r="A567" s="56"/>
      <c r="B567" s="56"/>
      <c r="K567" s="56"/>
      <c r="L567" s="56"/>
      <c r="O567" s="56"/>
    </row>
    <row r="568" spans="1:15" ht="13" x14ac:dyDescent="0.15">
      <c r="A568" s="56"/>
      <c r="B568" s="56"/>
      <c r="K568" s="56"/>
      <c r="L568" s="56"/>
      <c r="O568" s="56"/>
    </row>
    <row r="569" spans="1:15" ht="13" x14ac:dyDescent="0.15">
      <c r="A569" s="56"/>
      <c r="B569" s="56"/>
      <c r="K569" s="56"/>
      <c r="L569" s="56"/>
      <c r="O569" s="56"/>
    </row>
    <row r="570" spans="1:15" ht="13" x14ac:dyDescent="0.15">
      <c r="A570" s="56"/>
      <c r="B570" s="56"/>
      <c r="K570" s="56"/>
      <c r="L570" s="56"/>
      <c r="O570" s="56"/>
    </row>
    <row r="571" spans="1:15" ht="13" x14ac:dyDescent="0.15">
      <c r="A571" s="56"/>
      <c r="B571" s="56"/>
      <c r="K571" s="56"/>
      <c r="L571" s="56"/>
      <c r="O571" s="56"/>
    </row>
    <row r="572" spans="1:15" ht="13" x14ac:dyDescent="0.15">
      <c r="A572" s="56"/>
      <c r="B572" s="56"/>
      <c r="K572" s="56"/>
      <c r="L572" s="56"/>
      <c r="O572" s="56"/>
    </row>
    <row r="573" spans="1:15" ht="13" x14ac:dyDescent="0.15">
      <c r="A573" s="56"/>
      <c r="B573" s="56"/>
      <c r="K573" s="56"/>
      <c r="L573" s="56"/>
      <c r="O573" s="56"/>
    </row>
    <row r="574" spans="1:15" ht="13" x14ac:dyDescent="0.15">
      <c r="A574" s="56"/>
      <c r="B574" s="56"/>
      <c r="K574" s="56"/>
      <c r="L574" s="56"/>
      <c r="O574" s="56"/>
    </row>
    <row r="575" spans="1:15" ht="13" x14ac:dyDescent="0.15">
      <c r="A575" s="56"/>
      <c r="B575" s="56"/>
      <c r="K575" s="56"/>
      <c r="L575" s="56"/>
      <c r="O575" s="56"/>
    </row>
    <row r="576" spans="1:15" ht="13" x14ac:dyDescent="0.15">
      <c r="A576" s="56"/>
      <c r="B576" s="56"/>
      <c r="K576" s="56"/>
      <c r="L576" s="56"/>
      <c r="O576" s="56"/>
    </row>
    <row r="577" spans="1:15" ht="13" x14ac:dyDescent="0.15">
      <c r="A577" s="56"/>
      <c r="B577" s="56"/>
      <c r="K577" s="56"/>
      <c r="L577" s="56"/>
      <c r="O577" s="56"/>
    </row>
    <row r="578" spans="1:15" ht="13" x14ac:dyDescent="0.15">
      <c r="A578" s="56"/>
      <c r="B578" s="56"/>
      <c r="K578" s="56"/>
      <c r="L578" s="56"/>
      <c r="O578" s="56"/>
    </row>
    <row r="579" spans="1:15" ht="13" x14ac:dyDescent="0.15">
      <c r="A579" s="56"/>
      <c r="B579" s="56"/>
      <c r="K579" s="56"/>
      <c r="L579" s="56"/>
      <c r="O579" s="56"/>
    </row>
    <row r="580" spans="1:15" ht="13" x14ac:dyDescent="0.15">
      <c r="A580" s="56"/>
      <c r="B580" s="56"/>
      <c r="K580" s="56"/>
      <c r="L580" s="56"/>
      <c r="O580" s="56"/>
    </row>
    <row r="581" spans="1:15" ht="13" x14ac:dyDescent="0.15">
      <c r="A581" s="56"/>
      <c r="B581" s="56"/>
      <c r="K581" s="56"/>
      <c r="L581" s="56"/>
      <c r="O581" s="56"/>
    </row>
    <row r="582" spans="1:15" ht="13" x14ac:dyDescent="0.15">
      <c r="A582" s="56"/>
      <c r="B582" s="56"/>
      <c r="K582" s="56"/>
      <c r="L582" s="56"/>
      <c r="O582" s="56"/>
    </row>
    <row r="583" spans="1:15" ht="13" x14ac:dyDescent="0.15">
      <c r="A583" s="56"/>
      <c r="B583" s="56"/>
      <c r="K583" s="56"/>
      <c r="L583" s="56"/>
      <c r="O583" s="56"/>
    </row>
    <row r="584" spans="1:15" ht="13" x14ac:dyDescent="0.15">
      <c r="A584" s="56"/>
      <c r="B584" s="56"/>
      <c r="K584" s="56"/>
      <c r="L584" s="56"/>
      <c r="O584" s="56"/>
    </row>
    <row r="585" spans="1:15" ht="13" x14ac:dyDescent="0.15">
      <c r="A585" s="56"/>
      <c r="B585" s="56"/>
      <c r="K585" s="56"/>
      <c r="L585" s="56"/>
      <c r="O585" s="56"/>
    </row>
    <row r="586" spans="1:15" ht="13" x14ac:dyDescent="0.15">
      <c r="A586" s="56"/>
      <c r="B586" s="56"/>
      <c r="K586" s="56"/>
      <c r="L586" s="56"/>
      <c r="O586" s="56"/>
    </row>
    <row r="587" spans="1:15" ht="13" x14ac:dyDescent="0.15">
      <c r="A587" s="56"/>
      <c r="B587" s="56"/>
      <c r="K587" s="56"/>
      <c r="L587" s="56"/>
      <c r="O587" s="56"/>
    </row>
    <row r="588" spans="1:15" ht="13" x14ac:dyDescent="0.15">
      <c r="A588" s="56"/>
      <c r="B588" s="56"/>
      <c r="K588" s="56"/>
      <c r="L588" s="56"/>
      <c r="O588" s="56"/>
    </row>
    <row r="589" spans="1:15" ht="13" x14ac:dyDescent="0.15">
      <c r="A589" s="56"/>
      <c r="B589" s="56"/>
      <c r="K589" s="56"/>
      <c r="L589" s="56"/>
      <c r="O589" s="56"/>
    </row>
    <row r="590" spans="1:15" ht="13" x14ac:dyDescent="0.15">
      <c r="A590" s="56"/>
      <c r="B590" s="56"/>
      <c r="K590" s="56"/>
      <c r="L590" s="56"/>
      <c r="O590" s="56"/>
    </row>
    <row r="591" spans="1:15" ht="13" x14ac:dyDescent="0.15">
      <c r="A591" s="56"/>
      <c r="B591" s="56"/>
      <c r="K591" s="56"/>
      <c r="L591" s="56"/>
      <c r="O591" s="56"/>
    </row>
    <row r="592" spans="1:15" ht="13" x14ac:dyDescent="0.15">
      <c r="A592" s="56"/>
      <c r="B592" s="56"/>
      <c r="K592" s="56"/>
      <c r="L592" s="56"/>
      <c r="O592" s="56"/>
    </row>
    <row r="593" spans="1:15" ht="13" x14ac:dyDescent="0.15">
      <c r="A593" s="56"/>
      <c r="B593" s="56"/>
      <c r="K593" s="56"/>
      <c r="L593" s="56"/>
      <c r="O593" s="56"/>
    </row>
    <row r="594" spans="1:15" ht="13" x14ac:dyDescent="0.15">
      <c r="A594" s="56"/>
      <c r="B594" s="56"/>
      <c r="K594" s="56"/>
      <c r="L594" s="56"/>
      <c r="O594" s="56"/>
    </row>
    <row r="595" spans="1:15" ht="13" x14ac:dyDescent="0.15">
      <c r="A595" s="56"/>
      <c r="B595" s="56"/>
      <c r="K595" s="56"/>
      <c r="L595" s="56"/>
      <c r="O595" s="56"/>
    </row>
    <row r="596" spans="1:15" ht="13" x14ac:dyDescent="0.15">
      <c r="A596" s="56"/>
      <c r="B596" s="56"/>
      <c r="K596" s="56"/>
      <c r="L596" s="56"/>
      <c r="O596" s="56"/>
    </row>
    <row r="597" spans="1:15" ht="13" x14ac:dyDescent="0.15">
      <c r="A597" s="56"/>
      <c r="B597" s="56"/>
      <c r="K597" s="56"/>
      <c r="L597" s="56"/>
      <c r="O597" s="56"/>
    </row>
    <row r="598" spans="1:15" ht="13" x14ac:dyDescent="0.15">
      <c r="A598" s="56"/>
      <c r="B598" s="56"/>
      <c r="K598" s="56"/>
      <c r="L598" s="56"/>
      <c r="O598" s="56"/>
    </row>
    <row r="599" spans="1:15" ht="13" x14ac:dyDescent="0.15">
      <c r="A599" s="56"/>
      <c r="B599" s="56"/>
      <c r="K599" s="56"/>
      <c r="L599" s="56"/>
      <c r="O599" s="56"/>
    </row>
    <row r="600" spans="1:15" ht="13" x14ac:dyDescent="0.15">
      <c r="A600" s="56"/>
      <c r="B600" s="56"/>
      <c r="K600" s="56"/>
      <c r="L600" s="56"/>
      <c r="O600" s="56"/>
    </row>
    <row r="601" spans="1:15" ht="13" x14ac:dyDescent="0.15">
      <c r="A601" s="56"/>
      <c r="B601" s="56"/>
      <c r="K601" s="56"/>
      <c r="L601" s="56"/>
      <c r="O601" s="56"/>
    </row>
    <row r="602" spans="1:15" ht="13" x14ac:dyDescent="0.15">
      <c r="A602" s="56"/>
      <c r="B602" s="56"/>
      <c r="K602" s="56"/>
      <c r="L602" s="56"/>
      <c r="O602" s="56"/>
    </row>
    <row r="603" spans="1:15" ht="13" x14ac:dyDescent="0.15">
      <c r="A603" s="56"/>
      <c r="B603" s="56"/>
      <c r="K603" s="56"/>
      <c r="L603" s="56"/>
      <c r="O603" s="56"/>
    </row>
    <row r="604" spans="1:15" ht="13" x14ac:dyDescent="0.15">
      <c r="A604" s="56"/>
      <c r="B604" s="56"/>
      <c r="K604" s="56"/>
      <c r="L604" s="56"/>
      <c r="O604" s="56"/>
    </row>
    <row r="605" spans="1:15" ht="13" x14ac:dyDescent="0.15">
      <c r="A605" s="56"/>
      <c r="B605" s="56"/>
      <c r="K605" s="56"/>
      <c r="L605" s="56"/>
      <c r="O605" s="56"/>
    </row>
    <row r="606" spans="1:15" ht="13" x14ac:dyDescent="0.15">
      <c r="A606" s="56"/>
      <c r="B606" s="56"/>
      <c r="K606" s="56"/>
      <c r="L606" s="56"/>
      <c r="O606" s="56"/>
    </row>
    <row r="607" spans="1:15" ht="13" x14ac:dyDescent="0.15">
      <c r="A607" s="56"/>
      <c r="B607" s="56"/>
      <c r="K607" s="56"/>
      <c r="L607" s="56"/>
      <c r="O607" s="56"/>
    </row>
    <row r="608" spans="1:15" ht="13" x14ac:dyDescent="0.15">
      <c r="A608" s="56"/>
      <c r="B608" s="56"/>
      <c r="K608" s="56"/>
      <c r="L608" s="56"/>
      <c r="O608" s="56"/>
    </row>
    <row r="609" spans="1:15" ht="13" x14ac:dyDescent="0.15">
      <c r="A609" s="56"/>
      <c r="B609" s="56"/>
      <c r="K609" s="56"/>
      <c r="L609" s="56"/>
      <c r="O609" s="56"/>
    </row>
    <row r="610" spans="1:15" ht="13" x14ac:dyDescent="0.15">
      <c r="A610" s="56"/>
      <c r="B610" s="56"/>
      <c r="K610" s="56"/>
      <c r="L610" s="56"/>
      <c r="O610" s="56"/>
    </row>
    <row r="611" spans="1:15" ht="13" x14ac:dyDescent="0.15">
      <c r="A611" s="56"/>
      <c r="B611" s="56"/>
      <c r="K611" s="56"/>
      <c r="L611" s="56"/>
      <c r="O611" s="56"/>
    </row>
    <row r="612" spans="1:15" ht="13" x14ac:dyDescent="0.15">
      <c r="A612" s="56"/>
      <c r="B612" s="56"/>
      <c r="K612" s="56"/>
      <c r="L612" s="56"/>
      <c r="O612" s="56"/>
    </row>
    <row r="613" spans="1:15" ht="13" x14ac:dyDescent="0.15">
      <c r="A613" s="56"/>
      <c r="B613" s="56"/>
      <c r="K613" s="56"/>
      <c r="L613" s="56"/>
      <c r="O613" s="56"/>
    </row>
    <row r="614" spans="1:15" ht="13" x14ac:dyDescent="0.15">
      <c r="A614" s="56"/>
      <c r="B614" s="56"/>
      <c r="K614" s="56"/>
      <c r="L614" s="56"/>
      <c r="O614" s="56"/>
    </row>
    <row r="615" spans="1:15" ht="13" x14ac:dyDescent="0.15">
      <c r="A615" s="56"/>
      <c r="B615" s="56"/>
      <c r="K615" s="56"/>
      <c r="L615" s="56"/>
      <c r="O615" s="56"/>
    </row>
    <row r="616" spans="1:15" ht="13" x14ac:dyDescent="0.15">
      <c r="A616" s="56"/>
      <c r="B616" s="56"/>
      <c r="K616" s="56"/>
      <c r="L616" s="56"/>
      <c r="O616" s="56"/>
    </row>
    <row r="617" spans="1:15" ht="13" x14ac:dyDescent="0.15">
      <c r="A617" s="56"/>
      <c r="B617" s="56"/>
      <c r="K617" s="56"/>
      <c r="L617" s="56"/>
      <c r="O617" s="56"/>
    </row>
    <row r="618" spans="1:15" ht="13" x14ac:dyDescent="0.15">
      <c r="A618" s="56"/>
      <c r="B618" s="56"/>
      <c r="K618" s="56"/>
      <c r="L618" s="56"/>
      <c r="O618" s="56"/>
    </row>
    <row r="619" spans="1:15" ht="13" x14ac:dyDescent="0.15">
      <c r="A619" s="56"/>
      <c r="B619" s="56"/>
      <c r="K619" s="56"/>
      <c r="L619" s="56"/>
      <c r="O619" s="56"/>
    </row>
    <row r="620" spans="1:15" ht="13" x14ac:dyDescent="0.15">
      <c r="A620" s="56"/>
      <c r="B620" s="56"/>
      <c r="K620" s="56"/>
      <c r="L620" s="56"/>
      <c r="O620" s="56"/>
    </row>
    <row r="621" spans="1:15" ht="13" x14ac:dyDescent="0.15">
      <c r="A621" s="56"/>
      <c r="B621" s="56"/>
      <c r="K621" s="56"/>
      <c r="L621" s="56"/>
      <c r="O621" s="56"/>
    </row>
    <row r="622" spans="1:15" ht="13" x14ac:dyDescent="0.15">
      <c r="A622" s="56"/>
      <c r="B622" s="56"/>
      <c r="K622" s="56"/>
      <c r="L622" s="56"/>
      <c r="O622" s="56"/>
    </row>
    <row r="623" spans="1:15" ht="13" x14ac:dyDescent="0.15">
      <c r="A623" s="56"/>
      <c r="B623" s="56"/>
      <c r="K623" s="56"/>
      <c r="L623" s="56"/>
      <c r="O623" s="56"/>
    </row>
    <row r="624" spans="1:15" ht="13" x14ac:dyDescent="0.15">
      <c r="A624" s="56"/>
      <c r="B624" s="56"/>
      <c r="K624" s="56"/>
      <c r="L624" s="56"/>
      <c r="O624" s="56"/>
    </row>
    <row r="625" spans="1:15" ht="13" x14ac:dyDescent="0.15">
      <c r="A625" s="56"/>
      <c r="B625" s="56"/>
      <c r="K625" s="56"/>
      <c r="L625" s="56"/>
      <c r="O625" s="56"/>
    </row>
    <row r="626" spans="1:15" ht="13" x14ac:dyDescent="0.15">
      <c r="A626" s="56"/>
      <c r="B626" s="56"/>
      <c r="K626" s="56"/>
      <c r="L626" s="56"/>
      <c r="O626" s="56"/>
    </row>
    <row r="627" spans="1:15" ht="13" x14ac:dyDescent="0.15">
      <c r="A627" s="56"/>
      <c r="B627" s="56"/>
      <c r="K627" s="56"/>
      <c r="L627" s="56"/>
      <c r="O627" s="56"/>
    </row>
    <row r="628" spans="1:15" ht="13" x14ac:dyDescent="0.15">
      <c r="A628" s="56"/>
      <c r="B628" s="56"/>
      <c r="K628" s="56"/>
      <c r="L628" s="56"/>
      <c r="O628" s="56"/>
    </row>
    <row r="629" spans="1:15" ht="13" x14ac:dyDescent="0.15">
      <c r="A629" s="56"/>
      <c r="B629" s="56"/>
      <c r="K629" s="56"/>
      <c r="L629" s="56"/>
      <c r="O629" s="56"/>
    </row>
    <row r="630" spans="1:15" ht="13" x14ac:dyDescent="0.15">
      <c r="A630" s="56"/>
      <c r="B630" s="56"/>
      <c r="K630" s="56"/>
      <c r="L630" s="56"/>
      <c r="O630" s="56"/>
    </row>
    <row r="631" spans="1:15" ht="13" x14ac:dyDescent="0.15">
      <c r="A631" s="56"/>
      <c r="B631" s="56"/>
      <c r="K631" s="56"/>
      <c r="L631" s="56"/>
      <c r="O631" s="56"/>
    </row>
    <row r="632" spans="1:15" ht="13" x14ac:dyDescent="0.15">
      <c r="A632" s="56"/>
      <c r="B632" s="56"/>
      <c r="K632" s="56"/>
      <c r="L632" s="56"/>
      <c r="O632" s="56"/>
    </row>
    <row r="633" spans="1:15" ht="13" x14ac:dyDescent="0.15">
      <c r="A633" s="56"/>
      <c r="B633" s="56"/>
      <c r="K633" s="56"/>
      <c r="L633" s="56"/>
      <c r="O633" s="56"/>
    </row>
    <row r="634" spans="1:15" ht="13" x14ac:dyDescent="0.15">
      <c r="A634" s="56"/>
      <c r="B634" s="56"/>
      <c r="K634" s="56"/>
      <c r="L634" s="56"/>
      <c r="O634" s="56"/>
    </row>
    <row r="635" spans="1:15" ht="13" x14ac:dyDescent="0.15">
      <c r="A635" s="56"/>
      <c r="B635" s="56"/>
      <c r="K635" s="56"/>
      <c r="L635" s="56"/>
      <c r="O635" s="56"/>
    </row>
    <row r="636" spans="1:15" ht="13" x14ac:dyDescent="0.15">
      <c r="A636" s="56"/>
      <c r="B636" s="56"/>
      <c r="K636" s="56"/>
      <c r="L636" s="56"/>
      <c r="O636" s="56"/>
    </row>
    <row r="637" spans="1:15" ht="13" x14ac:dyDescent="0.15">
      <c r="A637" s="56"/>
      <c r="B637" s="56"/>
      <c r="K637" s="56"/>
      <c r="L637" s="56"/>
      <c r="O637" s="56"/>
    </row>
    <row r="638" spans="1:15" ht="13" x14ac:dyDescent="0.15">
      <c r="A638" s="56"/>
      <c r="B638" s="56"/>
      <c r="K638" s="56"/>
      <c r="L638" s="56"/>
      <c r="O638" s="56"/>
    </row>
    <row r="639" spans="1:15" ht="13" x14ac:dyDescent="0.15">
      <c r="A639" s="56"/>
      <c r="B639" s="56"/>
      <c r="K639" s="56"/>
      <c r="L639" s="56"/>
      <c r="O639" s="56"/>
    </row>
    <row r="640" spans="1:15" ht="13" x14ac:dyDescent="0.15">
      <c r="A640" s="56"/>
      <c r="B640" s="56"/>
      <c r="K640" s="56"/>
      <c r="L640" s="56"/>
      <c r="O640" s="56"/>
    </row>
    <row r="641" spans="1:15" ht="13" x14ac:dyDescent="0.15">
      <c r="A641" s="56"/>
      <c r="B641" s="56"/>
      <c r="K641" s="56"/>
      <c r="L641" s="56"/>
      <c r="O641" s="56"/>
    </row>
    <row r="642" spans="1:15" ht="13" x14ac:dyDescent="0.15">
      <c r="A642" s="56"/>
      <c r="B642" s="56"/>
      <c r="K642" s="56"/>
      <c r="L642" s="56"/>
      <c r="O642" s="56"/>
    </row>
    <row r="643" spans="1:15" ht="13" x14ac:dyDescent="0.15">
      <c r="A643" s="56"/>
      <c r="B643" s="56"/>
      <c r="K643" s="56"/>
      <c r="L643" s="56"/>
      <c r="O643" s="56"/>
    </row>
    <row r="644" spans="1:15" ht="13" x14ac:dyDescent="0.15">
      <c r="A644" s="56"/>
      <c r="B644" s="56"/>
      <c r="K644" s="56"/>
      <c r="L644" s="56"/>
      <c r="O644" s="56"/>
    </row>
    <row r="645" spans="1:15" ht="13" x14ac:dyDescent="0.15">
      <c r="A645" s="56"/>
      <c r="B645" s="56"/>
      <c r="K645" s="56"/>
      <c r="L645" s="56"/>
      <c r="O645" s="56"/>
    </row>
    <row r="646" spans="1:15" ht="13" x14ac:dyDescent="0.15">
      <c r="A646" s="56"/>
      <c r="B646" s="56"/>
      <c r="K646" s="56"/>
      <c r="L646" s="56"/>
      <c r="O646" s="56"/>
    </row>
    <row r="647" spans="1:15" ht="13" x14ac:dyDescent="0.15">
      <c r="A647" s="56"/>
      <c r="B647" s="56"/>
      <c r="K647" s="56"/>
      <c r="L647" s="56"/>
      <c r="O647" s="56"/>
    </row>
    <row r="648" spans="1:15" ht="13" x14ac:dyDescent="0.15">
      <c r="A648" s="56"/>
      <c r="B648" s="56"/>
      <c r="K648" s="56"/>
      <c r="L648" s="56"/>
      <c r="O648" s="56"/>
    </row>
    <row r="649" spans="1:15" ht="13" x14ac:dyDescent="0.15">
      <c r="A649" s="56"/>
      <c r="B649" s="56"/>
      <c r="K649" s="56"/>
      <c r="L649" s="56"/>
      <c r="O649" s="56"/>
    </row>
    <row r="650" spans="1:15" ht="13" x14ac:dyDescent="0.15">
      <c r="A650" s="56"/>
      <c r="B650" s="56"/>
      <c r="K650" s="56"/>
      <c r="L650" s="56"/>
      <c r="O650" s="56"/>
    </row>
    <row r="651" spans="1:15" ht="13" x14ac:dyDescent="0.15">
      <c r="A651" s="56"/>
      <c r="B651" s="56"/>
      <c r="K651" s="56"/>
      <c r="L651" s="56"/>
      <c r="O651" s="56"/>
    </row>
    <row r="652" spans="1:15" ht="13" x14ac:dyDescent="0.15">
      <c r="A652" s="56"/>
      <c r="B652" s="56"/>
      <c r="K652" s="56"/>
      <c r="L652" s="56"/>
      <c r="O652" s="56"/>
    </row>
    <row r="653" spans="1:15" ht="13" x14ac:dyDescent="0.15">
      <c r="A653" s="56"/>
      <c r="B653" s="56"/>
      <c r="K653" s="56"/>
      <c r="L653" s="56"/>
      <c r="O653" s="56"/>
    </row>
    <row r="654" spans="1:15" ht="13" x14ac:dyDescent="0.15">
      <c r="A654" s="56"/>
      <c r="B654" s="56"/>
      <c r="K654" s="56"/>
      <c r="L654" s="56"/>
      <c r="O654" s="56"/>
    </row>
    <row r="655" spans="1:15" ht="13" x14ac:dyDescent="0.15">
      <c r="A655" s="56"/>
      <c r="B655" s="56"/>
      <c r="K655" s="56"/>
      <c r="L655" s="56"/>
      <c r="O655" s="56"/>
    </row>
    <row r="656" spans="1:15" ht="13" x14ac:dyDescent="0.15">
      <c r="A656" s="56"/>
      <c r="B656" s="56"/>
      <c r="K656" s="56"/>
      <c r="L656" s="56"/>
      <c r="O656" s="56"/>
    </row>
    <row r="657" spans="1:15" ht="13" x14ac:dyDescent="0.15">
      <c r="A657" s="56"/>
      <c r="B657" s="56"/>
      <c r="K657" s="56"/>
      <c r="L657" s="56"/>
      <c r="O657" s="56"/>
    </row>
    <row r="658" spans="1:15" ht="13" x14ac:dyDescent="0.15">
      <c r="A658" s="56"/>
      <c r="B658" s="56"/>
      <c r="K658" s="56"/>
      <c r="L658" s="56"/>
      <c r="O658" s="56"/>
    </row>
    <row r="659" spans="1:15" ht="13" x14ac:dyDescent="0.15">
      <c r="A659" s="56"/>
      <c r="B659" s="56"/>
      <c r="K659" s="56"/>
      <c r="L659" s="56"/>
      <c r="O659" s="56"/>
    </row>
    <row r="660" spans="1:15" ht="13" x14ac:dyDescent="0.15">
      <c r="A660" s="56"/>
      <c r="B660" s="56"/>
      <c r="K660" s="56"/>
      <c r="L660" s="56"/>
      <c r="O660" s="56"/>
    </row>
    <row r="661" spans="1:15" ht="13" x14ac:dyDescent="0.15">
      <c r="A661" s="56"/>
      <c r="B661" s="56"/>
      <c r="K661" s="56"/>
      <c r="L661" s="56"/>
      <c r="O661" s="56"/>
    </row>
    <row r="662" spans="1:15" ht="13" x14ac:dyDescent="0.15">
      <c r="A662" s="56"/>
      <c r="B662" s="56"/>
      <c r="K662" s="56"/>
      <c r="L662" s="56"/>
      <c r="O662" s="56"/>
    </row>
    <row r="663" spans="1:15" ht="13" x14ac:dyDescent="0.15">
      <c r="A663" s="56"/>
      <c r="B663" s="56"/>
      <c r="K663" s="56"/>
      <c r="L663" s="56"/>
      <c r="O663" s="56"/>
    </row>
    <row r="664" spans="1:15" ht="13" x14ac:dyDescent="0.15">
      <c r="A664" s="56"/>
      <c r="B664" s="56"/>
      <c r="K664" s="56"/>
      <c r="L664" s="56"/>
      <c r="O664" s="56"/>
    </row>
    <row r="665" spans="1:15" ht="13" x14ac:dyDescent="0.15">
      <c r="A665" s="56"/>
      <c r="B665" s="56"/>
      <c r="K665" s="56"/>
      <c r="L665" s="56"/>
      <c r="O665" s="56"/>
    </row>
    <row r="666" spans="1:15" ht="13" x14ac:dyDescent="0.15">
      <c r="A666" s="56"/>
      <c r="B666" s="56"/>
      <c r="K666" s="56"/>
      <c r="L666" s="56"/>
      <c r="O666" s="56"/>
    </row>
    <row r="667" spans="1:15" ht="13" x14ac:dyDescent="0.15">
      <c r="A667" s="56"/>
      <c r="B667" s="56"/>
      <c r="K667" s="56"/>
      <c r="L667" s="56"/>
      <c r="O667" s="56"/>
    </row>
    <row r="668" spans="1:15" ht="13" x14ac:dyDescent="0.15">
      <c r="A668" s="56"/>
      <c r="B668" s="56"/>
      <c r="K668" s="56"/>
      <c r="L668" s="56"/>
      <c r="O668" s="56"/>
    </row>
    <row r="669" spans="1:15" ht="13" x14ac:dyDescent="0.15">
      <c r="A669" s="56"/>
      <c r="B669" s="56"/>
      <c r="K669" s="56"/>
      <c r="L669" s="56"/>
      <c r="O669" s="56"/>
    </row>
    <row r="670" spans="1:15" ht="13" x14ac:dyDescent="0.15">
      <c r="A670" s="56"/>
      <c r="B670" s="56"/>
      <c r="K670" s="56"/>
      <c r="L670" s="56"/>
      <c r="O670" s="56"/>
    </row>
    <row r="671" spans="1:15" ht="13" x14ac:dyDescent="0.15">
      <c r="A671" s="56"/>
      <c r="B671" s="56"/>
      <c r="K671" s="56"/>
      <c r="L671" s="56"/>
      <c r="O671" s="56"/>
    </row>
    <row r="672" spans="1:15" ht="13" x14ac:dyDescent="0.15">
      <c r="A672" s="56"/>
      <c r="B672" s="56"/>
      <c r="K672" s="56"/>
      <c r="L672" s="56"/>
      <c r="O672" s="56"/>
    </row>
    <row r="673" spans="1:15" ht="13" x14ac:dyDescent="0.15">
      <c r="A673" s="56"/>
      <c r="B673" s="56"/>
      <c r="K673" s="56"/>
      <c r="L673" s="56"/>
      <c r="O673" s="56"/>
    </row>
    <row r="674" spans="1:15" ht="13" x14ac:dyDescent="0.15">
      <c r="A674" s="56"/>
      <c r="B674" s="56"/>
      <c r="K674" s="56"/>
      <c r="L674" s="56"/>
      <c r="O674" s="56"/>
    </row>
    <row r="675" spans="1:15" ht="13" x14ac:dyDescent="0.15">
      <c r="A675" s="56"/>
      <c r="B675" s="56"/>
      <c r="K675" s="56"/>
      <c r="L675" s="56"/>
      <c r="O675" s="56"/>
    </row>
    <row r="676" spans="1:15" ht="13" x14ac:dyDescent="0.15">
      <c r="A676" s="56"/>
      <c r="B676" s="56"/>
      <c r="K676" s="56"/>
      <c r="L676" s="56"/>
      <c r="O676" s="56"/>
    </row>
    <row r="677" spans="1:15" ht="13" x14ac:dyDescent="0.15">
      <c r="A677" s="56"/>
      <c r="B677" s="56"/>
      <c r="K677" s="56"/>
      <c r="L677" s="56"/>
      <c r="O677" s="56"/>
    </row>
    <row r="678" spans="1:15" ht="13" x14ac:dyDescent="0.15">
      <c r="A678" s="56"/>
      <c r="B678" s="56"/>
      <c r="K678" s="56"/>
      <c r="L678" s="56"/>
      <c r="O678" s="56"/>
    </row>
    <row r="679" spans="1:15" ht="13" x14ac:dyDescent="0.15">
      <c r="A679" s="56"/>
      <c r="B679" s="56"/>
      <c r="K679" s="56"/>
      <c r="L679" s="56"/>
      <c r="O679" s="56"/>
    </row>
    <row r="680" spans="1:15" ht="13" x14ac:dyDescent="0.15">
      <c r="A680" s="56"/>
      <c r="B680" s="56"/>
      <c r="K680" s="56"/>
      <c r="L680" s="56"/>
      <c r="O680" s="56"/>
    </row>
    <row r="681" spans="1:15" ht="13" x14ac:dyDescent="0.15">
      <c r="A681" s="56"/>
      <c r="B681" s="56"/>
      <c r="K681" s="56"/>
      <c r="L681" s="56"/>
      <c r="O681" s="56"/>
    </row>
    <row r="682" spans="1:15" ht="13" x14ac:dyDescent="0.15">
      <c r="A682" s="56"/>
      <c r="B682" s="56"/>
      <c r="K682" s="56"/>
      <c r="L682" s="56"/>
      <c r="O682" s="56"/>
    </row>
    <row r="683" spans="1:15" ht="13" x14ac:dyDescent="0.15">
      <c r="A683" s="56"/>
      <c r="B683" s="56"/>
      <c r="K683" s="56"/>
      <c r="L683" s="56"/>
      <c r="O683" s="56"/>
    </row>
    <row r="684" spans="1:15" ht="13" x14ac:dyDescent="0.15">
      <c r="A684" s="56"/>
      <c r="B684" s="56"/>
      <c r="K684" s="56"/>
      <c r="L684" s="56"/>
      <c r="O684" s="56"/>
    </row>
    <row r="685" spans="1:15" ht="13" x14ac:dyDescent="0.15">
      <c r="A685" s="56"/>
      <c r="B685" s="56"/>
      <c r="K685" s="56"/>
      <c r="L685" s="56"/>
      <c r="O685" s="56"/>
    </row>
    <row r="686" spans="1:15" ht="13" x14ac:dyDescent="0.15">
      <c r="A686" s="56"/>
      <c r="B686" s="56"/>
      <c r="K686" s="56"/>
      <c r="L686" s="56"/>
      <c r="O686" s="56"/>
    </row>
    <row r="687" spans="1:15" ht="13" x14ac:dyDescent="0.15">
      <c r="A687" s="56"/>
      <c r="B687" s="56"/>
      <c r="K687" s="56"/>
      <c r="L687" s="56"/>
      <c r="O687" s="56"/>
    </row>
    <row r="688" spans="1:15" ht="13" x14ac:dyDescent="0.15">
      <c r="A688" s="56"/>
      <c r="B688" s="56"/>
      <c r="K688" s="56"/>
      <c r="L688" s="56"/>
      <c r="O688" s="56"/>
    </row>
    <row r="689" spans="1:15" ht="13" x14ac:dyDescent="0.15">
      <c r="A689" s="56"/>
      <c r="B689" s="56"/>
      <c r="K689" s="56"/>
      <c r="L689" s="56"/>
      <c r="O689" s="56"/>
    </row>
    <row r="690" spans="1:15" ht="13" x14ac:dyDescent="0.15">
      <c r="A690" s="56"/>
      <c r="B690" s="56"/>
      <c r="K690" s="56"/>
      <c r="L690" s="56"/>
      <c r="O690" s="56"/>
    </row>
    <row r="691" spans="1:15" ht="13" x14ac:dyDescent="0.15">
      <c r="A691" s="56"/>
      <c r="B691" s="56"/>
      <c r="K691" s="56"/>
      <c r="L691" s="56"/>
      <c r="O691" s="56"/>
    </row>
    <row r="692" spans="1:15" ht="13" x14ac:dyDescent="0.15">
      <c r="A692" s="56"/>
      <c r="B692" s="56"/>
      <c r="K692" s="56"/>
      <c r="L692" s="56"/>
      <c r="O692" s="56"/>
    </row>
    <row r="693" spans="1:15" ht="13" x14ac:dyDescent="0.15">
      <c r="A693" s="56"/>
      <c r="B693" s="56"/>
      <c r="K693" s="56"/>
      <c r="L693" s="56"/>
      <c r="O693" s="56"/>
    </row>
    <row r="694" spans="1:15" ht="13" x14ac:dyDescent="0.15">
      <c r="A694" s="56"/>
      <c r="B694" s="56"/>
      <c r="K694" s="56"/>
      <c r="L694" s="56"/>
      <c r="O694" s="56"/>
    </row>
    <row r="695" spans="1:15" ht="13" x14ac:dyDescent="0.15">
      <c r="A695" s="56"/>
      <c r="B695" s="56"/>
      <c r="K695" s="56"/>
      <c r="L695" s="56"/>
      <c r="O695" s="56"/>
    </row>
    <row r="696" spans="1:15" ht="13" x14ac:dyDescent="0.15">
      <c r="A696" s="56"/>
      <c r="B696" s="56"/>
      <c r="K696" s="56"/>
      <c r="L696" s="56"/>
      <c r="O696" s="56"/>
    </row>
    <row r="697" spans="1:15" ht="13" x14ac:dyDescent="0.15">
      <c r="A697" s="56"/>
      <c r="B697" s="56"/>
      <c r="K697" s="56"/>
      <c r="L697" s="56"/>
      <c r="O697" s="56"/>
    </row>
    <row r="698" spans="1:15" ht="13" x14ac:dyDescent="0.15">
      <c r="A698" s="56"/>
      <c r="B698" s="56"/>
      <c r="K698" s="56"/>
      <c r="L698" s="56"/>
      <c r="O698" s="56"/>
    </row>
    <row r="699" spans="1:15" ht="13" x14ac:dyDescent="0.15">
      <c r="A699" s="56"/>
      <c r="B699" s="56"/>
      <c r="K699" s="56"/>
      <c r="L699" s="56"/>
      <c r="O699" s="56"/>
    </row>
    <row r="700" spans="1:15" ht="13" x14ac:dyDescent="0.15">
      <c r="A700" s="56"/>
      <c r="B700" s="56"/>
      <c r="K700" s="56"/>
      <c r="L700" s="56"/>
      <c r="O700" s="56"/>
    </row>
    <row r="701" spans="1:15" ht="13" x14ac:dyDescent="0.15">
      <c r="A701" s="56"/>
      <c r="B701" s="56"/>
      <c r="K701" s="56"/>
      <c r="L701" s="56"/>
      <c r="O701" s="56"/>
    </row>
    <row r="702" spans="1:15" ht="13" x14ac:dyDescent="0.15">
      <c r="A702" s="56"/>
      <c r="B702" s="56"/>
      <c r="K702" s="56"/>
      <c r="L702" s="56"/>
      <c r="O702" s="56"/>
    </row>
    <row r="703" spans="1:15" ht="13" x14ac:dyDescent="0.15">
      <c r="A703" s="56"/>
      <c r="B703" s="56"/>
      <c r="K703" s="56"/>
      <c r="L703" s="56"/>
      <c r="O703" s="56"/>
    </row>
    <row r="704" spans="1:15" ht="13" x14ac:dyDescent="0.15">
      <c r="A704" s="56"/>
      <c r="B704" s="56"/>
      <c r="K704" s="56"/>
      <c r="L704" s="56"/>
      <c r="O704" s="56"/>
    </row>
    <row r="705" spans="1:15" ht="13" x14ac:dyDescent="0.15">
      <c r="A705" s="56"/>
      <c r="B705" s="56"/>
      <c r="K705" s="56"/>
      <c r="L705" s="56"/>
      <c r="O705" s="56"/>
    </row>
    <row r="706" spans="1:15" ht="13" x14ac:dyDescent="0.15">
      <c r="A706" s="56"/>
      <c r="B706" s="56"/>
      <c r="K706" s="56"/>
      <c r="L706" s="56"/>
      <c r="O706" s="56"/>
    </row>
    <row r="707" spans="1:15" ht="13" x14ac:dyDescent="0.15">
      <c r="A707" s="56"/>
      <c r="B707" s="56"/>
      <c r="K707" s="56"/>
      <c r="L707" s="56"/>
      <c r="O707" s="56"/>
    </row>
    <row r="708" spans="1:15" ht="13" x14ac:dyDescent="0.15">
      <c r="A708" s="56"/>
      <c r="B708" s="56"/>
      <c r="K708" s="56"/>
      <c r="L708" s="56"/>
      <c r="O708" s="56"/>
    </row>
    <row r="709" spans="1:15" ht="13" x14ac:dyDescent="0.15">
      <c r="A709" s="56"/>
      <c r="B709" s="56"/>
      <c r="K709" s="56"/>
      <c r="L709" s="56"/>
      <c r="O709" s="56"/>
    </row>
    <row r="710" spans="1:15" ht="13" x14ac:dyDescent="0.15">
      <c r="A710" s="56"/>
      <c r="B710" s="56"/>
      <c r="K710" s="56"/>
      <c r="L710" s="56"/>
      <c r="O710" s="56"/>
    </row>
    <row r="711" spans="1:15" ht="13" x14ac:dyDescent="0.15">
      <c r="A711" s="56"/>
      <c r="B711" s="56"/>
      <c r="K711" s="56"/>
      <c r="L711" s="56"/>
      <c r="O711" s="56"/>
    </row>
    <row r="712" spans="1:15" ht="13" x14ac:dyDescent="0.15">
      <c r="A712" s="56"/>
      <c r="B712" s="56"/>
      <c r="K712" s="56"/>
      <c r="L712" s="56"/>
      <c r="O712" s="56"/>
    </row>
    <row r="713" spans="1:15" ht="13" x14ac:dyDescent="0.15">
      <c r="A713" s="56"/>
      <c r="B713" s="56"/>
      <c r="K713" s="56"/>
      <c r="L713" s="56"/>
      <c r="O713" s="56"/>
    </row>
    <row r="714" spans="1:15" ht="13" x14ac:dyDescent="0.15">
      <c r="A714" s="56"/>
      <c r="B714" s="56"/>
      <c r="K714" s="56"/>
      <c r="L714" s="56"/>
      <c r="O714" s="56"/>
    </row>
    <row r="715" spans="1:15" ht="13" x14ac:dyDescent="0.15">
      <c r="A715" s="56"/>
      <c r="B715" s="56"/>
      <c r="K715" s="56"/>
      <c r="L715" s="56"/>
      <c r="O715" s="56"/>
    </row>
    <row r="716" spans="1:15" ht="13" x14ac:dyDescent="0.15">
      <c r="A716" s="56"/>
      <c r="B716" s="56"/>
      <c r="K716" s="56"/>
      <c r="L716" s="56"/>
      <c r="O716" s="56"/>
    </row>
    <row r="717" spans="1:15" ht="13" x14ac:dyDescent="0.15">
      <c r="A717" s="56"/>
      <c r="B717" s="56"/>
      <c r="K717" s="56"/>
      <c r="L717" s="56"/>
      <c r="O717" s="56"/>
    </row>
    <row r="718" spans="1:15" ht="13" x14ac:dyDescent="0.15">
      <c r="A718" s="56"/>
      <c r="B718" s="56"/>
      <c r="K718" s="56"/>
      <c r="L718" s="56"/>
      <c r="O718" s="56"/>
    </row>
    <row r="719" spans="1:15" ht="13" x14ac:dyDescent="0.15">
      <c r="A719" s="56"/>
      <c r="B719" s="56"/>
      <c r="K719" s="56"/>
      <c r="L719" s="56"/>
      <c r="O719" s="56"/>
    </row>
    <row r="720" spans="1:15" ht="13" x14ac:dyDescent="0.15">
      <c r="A720" s="56"/>
      <c r="B720" s="56"/>
      <c r="K720" s="56"/>
      <c r="L720" s="56"/>
      <c r="O720" s="56"/>
    </row>
    <row r="721" spans="1:15" ht="13" x14ac:dyDescent="0.15">
      <c r="A721" s="56"/>
      <c r="B721" s="56"/>
      <c r="K721" s="56"/>
      <c r="L721" s="56"/>
      <c r="O721" s="56"/>
    </row>
    <row r="722" spans="1:15" ht="13" x14ac:dyDescent="0.15">
      <c r="A722" s="56"/>
      <c r="B722" s="56"/>
      <c r="K722" s="56"/>
      <c r="L722" s="56"/>
      <c r="O722" s="56"/>
    </row>
    <row r="723" spans="1:15" ht="13" x14ac:dyDescent="0.15">
      <c r="A723" s="56"/>
      <c r="B723" s="56"/>
      <c r="K723" s="56"/>
      <c r="L723" s="56"/>
      <c r="O723" s="56"/>
    </row>
    <row r="724" spans="1:15" ht="13" x14ac:dyDescent="0.15">
      <c r="A724" s="56"/>
      <c r="B724" s="56"/>
      <c r="K724" s="56"/>
      <c r="L724" s="56"/>
      <c r="O724" s="56"/>
    </row>
    <row r="725" spans="1:15" ht="13" x14ac:dyDescent="0.15">
      <c r="A725" s="56"/>
      <c r="B725" s="56"/>
      <c r="K725" s="56"/>
      <c r="L725" s="56"/>
      <c r="O725" s="56"/>
    </row>
    <row r="726" spans="1:15" ht="13" x14ac:dyDescent="0.15">
      <c r="A726" s="56"/>
      <c r="B726" s="56"/>
      <c r="K726" s="56"/>
      <c r="L726" s="56"/>
      <c r="O726" s="56"/>
    </row>
    <row r="727" spans="1:15" ht="13" x14ac:dyDescent="0.15">
      <c r="A727" s="56"/>
      <c r="B727" s="56"/>
      <c r="K727" s="56"/>
      <c r="L727" s="56"/>
      <c r="O727" s="56"/>
    </row>
    <row r="728" spans="1:15" ht="13" x14ac:dyDescent="0.15">
      <c r="A728" s="56"/>
      <c r="B728" s="56"/>
      <c r="K728" s="56"/>
      <c r="L728" s="56"/>
      <c r="O728" s="56"/>
    </row>
    <row r="729" spans="1:15" ht="13" x14ac:dyDescent="0.15">
      <c r="A729" s="56"/>
      <c r="B729" s="56"/>
      <c r="K729" s="56"/>
      <c r="L729" s="56"/>
      <c r="O729" s="56"/>
    </row>
    <row r="730" spans="1:15" ht="13" x14ac:dyDescent="0.15">
      <c r="A730" s="56"/>
      <c r="B730" s="56"/>
      <c r="K730" s="56"/>
      <c r="L730" s="56"/>
      <c r="O730" s="56"/>
    </row>
    <row r="731" spans="1:15" ht="13" x14ac:dyDescent="0.15">
      <c r="A731" s="56"/>
      <c r="B731" s="56"/>
      <c r="K731" s="56"/>
      <c r="L731" s="56"/>
      <c r="O731" s="56"/>
    </row>
    <row r="732" spans="1:15" ht="13" x14ac:dyDescent="0.15">
      <c r="A732" s="56"/>
      <c r="B732" s="56"/>
      <c r="K732" s="56"/>
      <c r="L732" s="56"/>
      <c r="O732" s="56"/>
    </row>
    <row r="733" spans="1:15" ht="13" x14ac:dyDescent="0.15">
      <c r="A733" s="56"/>
      <c r="B733" s="56"/>
      <c r="K733" s="56"/>
      <c r="L733" s="56"/>
      <c r="O733" s="56"/>
    </row>
    <row r="734" spans="1:15" ht="13" x14ac:dyDescent="0.15">
      <c r="A734" s="56"/>
      <c r="B734" s="56"/>
      <c r="K734" s="56"/>
      <c r="L734" s="56"/>
      <c r="O734" s="56"/>
    </row>
    <row r="735" spans="1:15" ht="13" x14ac:dyDescent="0.15">
      <c r="A735" s="56"/>
      <c r="B735" s="56"/>
      <c r="K735" s="56"/>
      <c r="L735" s="56"/>
      <c r="O735" s="56"/>
    </row>
    <row r="736" spans="1:15" ht="13" x14ac:dyDescent="0.15">
      <c r="A736" s="56"/>
      <c r="B736" s="56"/>
      <c r="K736" s="56"/>
      <c r="L736" s="56"/>
      <c r="O736" s="56"/>
    </row>
    <row r="737" spans="1:15" ht="13" x14ac:dyDescent="0.15">
      <c r="A737" s="56"/>
      <c r="B737" s="56"/>
      <c r="K737" s="56"/>
      <c r="L737" s="56"/>
      <c r="O737" s="56"/>
    </row>
    <row r="738" spans="1:15" ht="13" x14ac:dyDescent="0.15">
      <c r="A738" s="56"/>
      <c r="B738" s="56"/>
      <c r="K738" s="56"/>
      <c r="L738" s="56"/>
      <c r="O738" s="56"/>
    </row>
    <row r="739" spans="1:15" ht="13" x14ac:dyDescent="0.15">
      <c r="A739" s="56"/>
      <c r="B739" s="56"/>
      <c r="K739" s="56"/>
      <c r="L739" s="56"/>
      <c r="O739" s="56"/>
    </row>
    <row r="740" spans="1:15" ht="13" x14ac:dyDescent="0.15">
      <c r="A740" s="56"/>
      <c r="B740" s="56"/>
      <c r="K740" s="56"/>
      <c r="L740" s="56"/>
      <c r="O740" s="56"/>
    </row>
    <row r="741" spans="1:15" ht="13" x14ac:dyDescent="0.15">
      <c r="A741" s="56"/>
      <c r="B741" s="56"/>
      <c r="K741" s="56"/>
      <c r="L741" s="56"/>
      <c r="O741" s="56"/>
    </row>
    <row r="742" spans="1:15" ht="13" x14ac:dyDescent="0.15">
      <c r="A742" s="56"/>
      <c r="B742" s="56"/>
      <c r="K742" s="56"/>
      <c r="L742" s="56"/>
      <c r="O742" s="56"/>
    </row>
    <row r="743" spans="1:15" ht="13" x14ac:dyDescent="0.15">
      <c r="A743" s="56"/>
      <c r="B743" s="56"/>
      <c r="K743" s="56"/>
      <c r="L743" s="56"/>
      <c r="O743" s="56"/>
    </row>
    <row r="744" spans="1:15" ht="13" x14ac:dyDescent="0.15">
      <c r="A744" s="56"/>
      <c r="B744" s="56"/>
      <c r="K744" s="56"/>
      <c r="L744" s="56"/>
      <c r="O744" s="56"/>
    </row>
    <row r="745" spans="1:15" ht="13" x14ac:dyDescent="0.15">
      <c r="A745" s="56"/>
      <c r="B745" s="56"/>
      <c r="K745" s="56"/>
      <c r="L745" s="56"/>
      <c r="O745" s="56"/>
    </row>
    <row r="746" spans="1:15" ht="13" x14ac:dyDescent="0.15">
      <c r="A746" s="56"/>
      <c r="B746" s="56"/>
      <c r="K746" s="56"/>
      <c r="L746" s="56"/>
      <c r="O746" s="56"/>
    </row>
    <row r="747" spans="1:15" ht="13" x14ac:dyDescent="0.15">
      <c r="A747" s="56"/>
      <c r="B747" s="56"/>
      <c r="K747" s="56"/>
      <c r="L747" s="56"/>
      <c r="O747" s="56"/>
    </row>
    <row r="748" spans="1:15" ht="13" x14ac:dyDescent="0.15">
      <c r="A748" s="56"/>
      <c r="B748" s="56"/>
      <c r="K748" s="56"/>
      <c r="L748" s="56"/>
      <c r="O748" s="56"/>
    </row>
    <row r="749" spans="1:15" ht="13" x14ac:dyDescent="0.15">
      <c r="A749" s="56"/>
      <c r="B749" s="56"/>
      <c r="K749" s="56"/>
      <c r="L749" s="56"/>
      <c r="O749" s="56"/>
    </row>
    <row r="750" spans="1:15" ht="13" x14ac:dyDescent="0.15">
      <c r="A750" s="56"/>
      <c r="B750" s="56"/>
      <c r="K750" s="56"/>
      <c r="L750" s="56"/>
      <c r="O750" s="56"/>
    </row>
    <row r="751" spans="1:15" ht="13" x14ac:dyDescent="0.15">
      <c r="A751" s="56"/>
      <c r="B751" s="56"/>
      <c r="K751" s="56"/>
      <c r="L751" s="56"/>
      <c r="O751" s="56"/>
    </row>
    <row r="752" spans="1:15" ht="13" x14ac:dyDescent="0.15">
      <c r="A752" s="56"/>
      <c r="B752" s="56"/>
      <c r="K752" s="56"/>
      <c r="L752" s="56"/>
      <c r="O752" s="56"/>
    </row>
    <row r="753" spans="1:15" ht="13" x14ac:dyDescent="0.15">
      <c r="A753" s="56"/>
      <c r="B753" s="56"/>
      <c r="K753" s="56"/>
      <c r="L753" s="56"/>
      <c r="O753" s="56"/>
    </row>
    <row r="754" spans="1:15" ht="13" x14ac:dyDescent="0.15">
      <c r="A754" s="56"/>
      <c r="B754" s="56"/>
      <c r="K754" s="56"/>
      <c r="L754" s="56"/>
      <c r="O754" s="56"/>
    </row>
    <row r="755" spans="1:15" ht="13" x14ac:dyDescent="0.15">
      <c r="A755" s="56"/>
      <c r="B755" s="56"/>
      <c r="K755" s="56"/>
      <c r="L755" s="56"/>
      <c r="O755" s="56"/>
    </row>
    <row r="756" spans="1:15" ht="13" x14ac:dyDescent="0.15">
      <c r="A756" s="56"/>
      <c r="B756" s="56"/>
      <c r="K756" s="56"/>
      <c r="L756" s="56"/>
      <c r="O756" s="56"/>
    </row>
    <row r="757" spans="1:15" ht="13" x14ac:dyDescent="0.15">
      <c r="A757" s="56"/>
      <c r="B757" s="56"/>
      <c r="K757" s="56"/>
      <c r="L757" s="56"/>
      <c r="O757" s="56"/>
    </row>
    <row r="758" spans="1:15" ht="13" x14ac:dyDescent="0.15">
      <c r="A758" s="56"/>
      <c r="B758" s="56"/>
      <c r="K758" s="56"/>
      <c r="L758" s="56"/>
      <c r="O758" s="56"/>
    </row>
    <row r="759" spans="1:15" ht="13" x14ac:dyDescent="0.15">
      <c r="A759" s="56"/>
      <c r="B759" s="56"/>
      <c r="K759" s="56"/>
      <c r="L759" s="56"/>
      <c r="O759" s="56"/>
    </row>
    <row r="760" spans="1:15" ht="13" x14ac:dyDescent="0.15">
      <c r="A760" s="56"/>
      <c r="B760" s="56"/>
      <c r="K760" s="56"/>
      <c r="L760" s="56"/>
      <c r="O760" s="56"/>
    </row>
    <row r="761" spans="1:15" ht="13" x14ac:dyDescent="0.15">
      <c r="A761" s="56"/>
      <c r="B761" s="56"/>
      <c r="K761" s="56"/>
      <c r="L761" s="56"/>
      <c r="O761" s="56"/>
    </row>
    <row r="762" spans="1:15" ht="13" x14ac:dyDescent="0.15">
      <c r="A762" s="56"/>
      <c r="B762" s="56"/>
      <c r="K762" s="56"/>
      <c r="L762" s="56"/>
      <c r="O762" s="56"/>
    </row>
    <row r="763" spans="1:15" ht="13" x14ac:dyDescent="0.15">
      <c r="A763" s="56"/>
      <c r="B763" s="56"/>
      <c r="K763" s="56"/>
      <c r="L763" s="56"/>
      <c r="O763" s="56"/>
    </row>
    <row r="764" spans="1:15" ht="13" x14ac:dyDescent="0.15">
      <c r="A764" s="56"/>
      <c r="B764" s="56"/>
      <c r="K764" s="56"/>
      <c r="L764" s="56"/>
      <c r="O764" s="56"/>
    </row>
    <row r="765" spans="1:15" ht="13" x14ac:dyDescent="0.15">
      <c r="A765" s="56"/>
      <c r="B765" s="56"/>
      <c r="K765" s="56"/>
      <c r="L765" s="56"/>
      <c r="O765" s="56"/>
    </row>
    <row r="766" spans="1:15" ht="13" x14ac:dyDescent="0.15">
      <c r="A766" s="56"/>
      <c r="B766" s="56"/>
      <c r="K766" s="56"/>
      <c r="L766" s="56"/>
      <c r="O766" s="56"/>
    </row>
    <row r="767" spans="1:15" ht="13" x14ac:dyDescent="0.15">
      <c r="A767" s="56"/>
      <c r="B767" s="56"/>
      <c r="K767" s="56"/>
      <c r="L767" s="56"/>
      <c r="O767" s="56"/>
    </row>
    <row r="768" spans="1:15" ht="13" x14ac:dyDescent="0.15">
      <c r="A768" s="56"/>
      <c r="B768" s="56"/>
      <c r="K768" s="56"/>
      <c r="L768" s="56"/>
      <c r="O768" s="56"/>
    </row>
    <row r="769" spans="1:15" ht="13" x14ac:dyDescent="0.15">
      <c r="A769" s="56"/>
      <c r="B769" s="56"/>
      <c r="K769" s="56"/>
      <c r="L769" s="56"/>
      <c r="O769" s="56"/>
    </row>
    <row r="770" spans="1:15" ht="13" x14ac:dyDescent="0.15">
      <c r="A770" s="56"/>
      <c r="B770" s="56"/>
      <c r="K770" s="56"/>
      <c r="L770" s="56"/>
      <c r="O770" s="56"/>
    </row>
    <row r="771" spans="1:15" ht="13" x14ac:dyDescent="0.15">
      <c r="A771" s="56"/>
      <c r="B771" s="56"/>
      <c r="K771" s="56"/>
      <c r="L771" s="56"/>
      <c r="O771" s="56"/>
    </row>
    <row r="772" spans="1:15" ht="13" x14ac:dyDescent="0.15">
      <c r="A772" s="56"/>
      <c r="B772" s="56"/>
      <c r="K772" s="56"/>
      <c r="L772" s="56"/>
      <c r="O772" s="56"/>
    </row>
    <row r="773" spans="1:15" ht="13" x14ac:dyDescent="0.15">
      <c r="A773" s="56"/>
      <c r="B773" s="56"/>
      <c r="K773" s="56"/>
      <c r="L773" s="56"/>
      <c r="O773" s="56"/>
    </row>
    <row r="774" spans="1:15" ht="13" x14ac:dyDescent="0.15">
      <c r="A774" s="56"/>
      <c r="B774" s="56"/>
      <c r="K774" s="56"/>
      <c r="L774" s="56"/>
      <c r="O774" s="56"/>
    </row>
    <row r="775" spans="1:15" ht="13" x14ac:dyDescent="0.15">
      <c r="A775" s="56"/>
      <c r="B775" s="56"/>
      <c r="K775" s="56"/>
      <c r="L775" s="56"/>
      <c r="O775" s="56"/>
    </row>
    <row r="776" spans="1:15" ht="13" x14ac:dyDescent="0.15">
      <c r="A776" s="56"/>
      <c r="B776" s="56"/>
      <c r="K776" s="56"/>
      <c r="L776" s="56"/>
      <c r="O776" s="56"/>
    </row>
    <row r="777" spans="1:15" ht="13" x14ac:dyDescent="0.15">
      <c r="A777" s="56"/>
      <c r="B777" s="56"/>
      <c r="K777" s="56"/>
      <c r="L777" s="56"/>
      <c r="O777" s="56"/>
    </row>
    <row r="778" spans="1:15" ht="13" x14ac:dyDescent="0.15">
      <c r="A778" s="56"/>
      <c r="B778" s="56"/>
      <c r="K778" s="56"/>
      <c r="L778" s="56"/>
      <c r="O778" s="56"/>
    </row>
    <row r="779" spans="1:15" ht="13" x14ac:dyDescent="0.15">
      <c r="A779" s="56"/>
      <c r="B779" s="56"/>
      <c r="K779" s="56"/>
      <c r="L779" s="56"/>
      <c r="O779" s="56"/>
    </row>
    <row r="780" spans="1:15" ht="13" x14ac:dyDescent="0.15">
      <c r="A780" s="56"/>
      <c r="B780" s="56"/>
      <c r="K780" s="56"/>
      <c r="L780" s="56"/>
      <c r="O780" s="56"/>
    </row>
    <row r="781" spans="1:15" ht="13" x14ac:dyDescent="0.15">
      <c r="A781" s="56"/>
      <c r="B781" s="56"/>
      <c r="K781" s="56"/>
      <c r="L781" s="56"/>
      <c r="O781" s="56"/>
    </row>
    <row r="782" spans="1:15" ht="13" x14ac:dyDescent="0.15">
      <c r="A782" s="56"/>
      <c r="B782" s="56"/>
      <c r="K782" s="56"/>
      <c r="L782" s="56"/>
      <c r="O782" s="56"/>
    </row>
    <row r="783" spans="1:15" ht="13" x14ac:dyDescent="0.15">
      <c r="A783" s="56"/>
      <c r="B783" s="56"/>
      <c r="K783" s="56"/>
      <c r="L783" s="56"/>
      <c r="O783" s="56"/>
    </row>
    <row r="784" spans="1:15" ht="13" x14ac:dyDescent="0.15">
      <c r="A784" s="56"/>
      <c r="B784" s="56"/>
      <c r="K784" s="56"/>
      <c r="L784" s="56"/>
      <c r="O784" s="56"/>
    </row>
    <row r="785" spans="1:15" ht="13" x14ac:dyDescent="0.15">
      <c r="A785" s="56"/>
      <c r="B785" s="56"/>
      <c r="K785" s="56"/>
      <c r="L785" s="56"/>
      <c r="O785" s="56"/>
    </row>
    <row r="786" spans="1:15" ht="13" x14ac:dyDescent="0.15">
      <c r="A786" s="56"/>
      <c r="B786" s="56"/>
      <c r="K786" s="56"/>
      <c r="L786" s="56"/>
      <c r="O786" s="56"/>
    </row>
    <row r="787" spans="1:15" ht="13" x14ac:dyDescent="0.15">
      <c r="A787" s="56"/>
      <c r="B787" s="56"/>
      <c r="K787" s="56"/>
      <c r="L787" s="56"/>
      <c r="O787" s="56"/>
    </row>
    <row r="788" spans="1:15" ht="13" x14ac:dyDescent="0.15">
      <c r="A788" s="56"/>
      <c r="B788" s="56"/>
      <c r="K788" s="56"/>
      <c r="L788" s="56"/>
      <c r="O788" s="56"/>
    </row>
    <row r="789" spans="1:15" ht="13" x14ac:dyDescent="0.15">
      <c r="A789" s="56"/>
      <c r="B789" s="56"/>
      <c r="K789" s="56"/>
      <c r="L789" s="56"/>
      <c r="O789" s="56"/>
    </row>
    <row r="790" spans="1:15" ht="13" x14ac:dyDescent="0.15">
      <c r="A790" s="56"/>
      <c r="B790" s="56"/>
      <c r="K790" s="56"/>
      <c r="L790" s="56"/>
      <c r="O790" s="56"/>
    </row>
    <row r="791" spans="1:15" ht="13" x14ac:dyDescent="0.15">
      <c r="A791" s="56"/>
      <c r="B791" s="56"/>
      <c r="K791" s="56"/>
      <c r="L791" s="56"/>
      <c r="O791" s="56"/>
    </row>
    <row r="792" spans="1:15" ht="13" x14ac:dyDescent="0.15">
      <c r="A792" s="56"/>
      <c r="B792" s="56"/>
      <c r="K792" s="56"/>
      <c r="L792" s="56"/>
      <c r="O792" s="56"/>
    </row>
    <row r="793" spans="1:15" ht="13" x14ac:dyDescent="0.15">
      <c r="A793" s="56"/>
      <c r="B793" s="56"/>
      <c r="K793" s="56"/>
      <c r="L793" s="56"/>
      <c r="O793" s="56"/>
    </row>
    <row r="794" spans="1:15" ht="13" x14ac:dyDescent="0.15">
      <c r="A794" s="56"/>
      <c r="B794" s="56"/>
      <c r="K794" s="56"/>
      <c r="L794" s="56"/>
      <c r="O794" s="56"/>
    </row>
    <row r="795" spans="1:15" ht="13" x14ac:dyDescent="0.15">
      <c r="A795" s="56"/>
      <c r="B795" s="56"/>
      <c r="K795" s="56"/>
      <c r="L795" s="56"/>
      <c r="O795" s="56"/>
    </row>
    <row r="796" spans="1:15" ht="13" x14ac:dyDescent="0.15">
      <c r="A796" s="56"/>
      <c r="B796" s="56"/>
      <c r="K796" s="56"/>
      <c r="L796" s="56"/>
      <c r="O796" s="56"/>
    </row>
    <row r="797" spans="1:15" ht="13" x14ac:dyDescent="0.15">
      <c r="A797" s="56"/>
      <c r="B797" s="56"/>
      <c r="K797" s="56"/>
      <c r="L797" s="56"/>
      <c r="O797" s="56"/>
    </row>
    <row r="798" spans="1:15" ht="13" x14ac:dyDescent="0.15">
      <c r="A798" s="56"/>
      <c r="B798" s="56"/>
      <c r="K798" s="56"/>
      <c r="L798" s="56"/>
      <c r="O798" s="56"/>
    </row>
    <row r="799" spans="1:15" ht="13" x14ac:dyDescent="0.15">
      <c r="A799" s="56"/>
      <c r="B799" s="56"/>
      <c r="K799" s="56"/>
      <c r="L799" s="56"/>
      <c r="O799" s="56"/>
    </row>
    <row r="800" spans="1:15" ht="13" x14ac:dyDescent="0.15">
      <c r="A800" s="56"/>
      <c r="B800" s="56"/>
      <c r="K800" s="56"/>
      <c r="L800" s="56"/>
      <c r="O800" s="56"/>
    </row>
    <row r="801" spans="1:15" ht="13" x14ac:dyDescent="0.15">
      <c r="A801" s="56"/>
      <c r="B801" s="56"/>
      <c r="K801" s="56"/>
      <c r="L801" s="56"/>
      <c r="O801" s="56"/>
    </row>
    <row r="802" spans="1:15" ht="13" x14ac:dyDescent="0.15">
      <c r="A802" s="56"/>
      <c r="B802" s="56"/>
      <c r="K802" s="56"/>
      <c r="L802" s="56"/>
      <c r="O802" s="56"/>
    </row>
    <row r="803" spans="1:15" ht="13" x14ac:dyDescent="0.15">
      <c r="A803" s="56"/>
      <c r="B803" s="56"/>
      <c r="K803" s="56"/>
      <c r="L803" s="56"/>
      <c r="O803" s="56"/>
    </row>
    <row r="804" spans="1:15" ht="13" x14ac:dyDescent="0.15">
      <c r="A804" s="56"/>
      <c r="B804" s="56"/>
      <c r="K804" s="56"/>
      <c r="L804" s="56"/>
      <c r="O804" s="56"/>
    </row>
    <row r="805" spans="1:15" ht="13" x14ac:dyDescent="0.15">
      <c r="A805" s="56"/>
      <c r="B805" s="56"/>
      <c r="K805" s="56"/>
      <c r="L805" s="56"/>
      <c r="O805" s="56"/>
    </row>
    <row r="806" spans="1:15" ht="13" x14ac:dyDescent="0.15">
      <c r="A806" s="56"/>
      <c r="B806" s="56"/>
      <c r="K806" s="56"/>
      <c r="L806" s="56"/>
      <c r="O806" s="56"/>
    </row>
    <row r="807" spans="1:15" ht="13" x14ac:dyDescent="0.15">
      <c r="A807" s="56"/>
      <c r="B807" s="56"/>
      <c r="K807" s="56"/>
      <c r="L807" s="56"/>
      <c r="O807" s="56"/>
    </row>
    <row r="808" spans="1:15" ht="13" x14ac:dyDescent="0.15">
      <c r="A808" s="56"/>
      <c r="B808" s="56"/>
      <c r="K808" s="56"/>
      <c r="L808" s="56"/>
      <c r="O808" s="56"/>
    </row>
    <row r="809" spans="1:15" ht="13" x14ac:dyDescent="0.15">
      <c r="A809" s="56"/>
      <c r="B809" s="56"/>
      <c r="K809" s="56"/>
      <c r="L809" s="56"/>
      <c r="O809" s="56"/>
    </row>
    <row r="810" spans="1:15" ht="13" x14ac:dyDescent="0.15">
      <c r="A810" s="56"/>
      <c r="B810" s="56"/>
      <c r="K810" s="56"/>
      <c r="L810" s="56"/>
      <c r="O810" s="56"/>
    </row>
    <row r="811" spans="1:15" ht="13" x14ac:dyDescent="0.15">
      <c r="A811" s="56"/>
      <c r="B811" s="56"/>
      <c r="K811" s="56"/>
      <c r="L811" s="56"/>
      <c r="O811" s="56"/>
    </row>
    <row r="812" spans="1:15" ht="13" x14ac:dyDescent="0.15">
      <c r="A812" s="56"/>
      <c r="B812" s="56"/>
      <c r="K812" s="56"/>
      <c r="L812" s="56"/>
      <c r="O812" s="56"/>
    </row>
    <row r="813" spans="1:15" ht="13" x14ac:dyDescent="0.15">
      <c r="A813" s="56"/>
      <c r="B813" s="56"/>
      <c r="K813" s="56"/>
      <c r="L813" s="56"/>
      <c r="O813" s="56"/>
    </row>
    <row r="814" spans="1:15" ht="13" x14ac:dyDescent="0.15">
      <c r="A814" s="56"/>
      <c r="B814" s="56"/>
      <c r="K814" s="56"/>
      <c r="L814" s="56"/>
      <c r="O814" s="56"/>
    </row>
    <row r="815" spans="1:15" ht="13" x14ac:dyDescent="0.15">
      <c r="A815" s="56"/>
      <c r="B815" s="56"/>
      <c r="K815" s="56"/>
      <c r="L815" s="56"/>
      <c r="O815" s="56"/>
    </row>
    <row r="816" spans="1:15" ht="13" x14ac:dyDescent="0.15">
      <c r="A816" s="56"/>
      <c r="B816" s="56"/>
      <c r="K816" s="56"/>
      <c r="L816" s="56"/>
      <c r="O816" s="56"/>
    </row>
    <row r="817" spans="1:15" ht="13" x14ac:dyDescent="0.15">
      <c r="A817" s="56"/>
      <c r="B817" s="56"/>
      <c r="K817" s="56"/>
      <c r="L817" s="56"/>
      <c r="O817" s="56"/>
    </row>
    <row r="818" spans="1:15" ht="13" x14ac:dyDescent="0.15">
      <c r="A818" s="56"/>
      <c r="B818" s="56"/>
      <c r="K818" s="56"/>
      <c r="L818" s="56"/>
      <c r="O818" s="56"/>
    </row>
    <row r="819" spans="1:15" ht="13" x14ac:dyDescent="0.15">
      <c r="A819" s="56"/>
      <c r="B819" s="56"/>
      <c r="K819" s="56"/>
      <c r="L819" s="56"/>
      <c r="O819" s="56"/>
    </row>
    <row r="820" spans="1:15" ht="13" x14ac:dyDescent="0.15">
      <c r="A820" s="56"/>
      <c r="B820" s="56"/>
      <c r="K820" s="56"/>
      <c r="L820" s="56"/>
      <c r="O820" s="56"/>
    </row>
    <row r="821" spans="1:15" ht="13" x14ac:dyDescent="0.15">
      <c r="A821" s="56"/>
      <c r="B821" s="56"/>
      <c r="K821" s="56"/>
      <c r="L821" s="56"/>
      <c r="O821" s="56"/>
    </row>
    <row r="822" spans="1:15" ht="13" x14ac:dyDescent="0.15">
      <c r="A822" s="56"/>
      <c r="B822" s="56"/>
      <c r="K822" s="56"/>
      <c r="L822" s="56"/>
      <c r="O822" s="56"/>
    </row>
    <row r="823" spans="1:15" ht="13" x14ac:dyDescent="0.15">
      <c r="A823" s="56"/>
      <c r="B823" s="56"/>
      <c r="K823" s="56"/>
      <c r="L823" s="56"/>
      <c r="O823" s="56"/>
    </row>
    <row r="824" spans="1:15" ht="13" x14ac:dyDescent="0.15">
      <c r="A824" s="56"/>
      <c r="B824" s="56"/>
      <c r="K824" s="56"/>
      <c r="L824" s="56"/>
      <c r="O824" s="56"/>
    </row>
    <row r="825" spans="1:15" ht="13" x14ac:dyDescent="0.15">
      <c r="A825" s="56"/>
      <c r="B825" s="56"/>
      <c r="K825" s="56"/>
      <c r="L825" s="56"/>
      <c r="O825" s="56"/>
    </row>
    <row r="826" spans="1:15" ht="13" x14ac:dyDescent="0.15">
      <c r="A826" s="56"/>
      <c r="B826" s="56"/>
      <c r="K826" s="56"/>
      <c r="L826" s="56"/>
      <c r="O826" s="56"/>
    </row>
    <row r="827" spans="1:15" ht="13" x14ac:dyDescent="0.15">
      <c r="A827" s="56"/>
      <c r="B827" s="56"/>
      <c r="K827" s="56"/>
      <c r="L827" s="56"/>
      <c r="O827" s="56"/>
    </row>
    <row r="828" spans="1:15" ht="13" x14ac:dyDescent="0.15">
      <c r="A828" s="56"/>
      <c r="B828" s="56"/>
      <c r="K828" s="56"/>
      <c r="L828" s="56"/>
      <c r="O828" s="56"/>
    </row>
    <row r="829" spans="1:15" ht="13" x14ac:dyDescent="0.15">
      <c r="A829" s="56"/>
      <c r="B829" s="56"/>
      <c r="K829" s="56"/>
      <c r="L829" s="56"/>
      <c r="O829" s="56"/>
    </row>
    <row r="830" spans="1:15" ht="13" x14ac:dyDescent="0.15">
      <c r="A830" s="56"/>
      <c r="B830" s="56"/>
      <c r="K830" s="56"/>
      <c r="L830" s="56"/>
      <c r="O830" s="56"/>
    </row>
    <row r="831" spans="1:15" ht="13" x14ac:dyDescent="0.15">
      <c r="A831" s="56"/>
      <c r="B831" s="56"/>
      <c r="K831" s="56"/>
      <c r="L831" s="56"/>
      <c r="O831" s="56"/>
    </row>
    <row r="832" spans="1:15" ht="13" x14ac:dyDescent="0.15">
      <c r="A832" s="56"/>
      <c r="B832" s="56"/>
      <c r="K832" s="56"/>
      <c r="L832" s="56"/>
      <c r="O832" s="56"/>
    </row>
    <row r="833" spans="1:15" ht="13" x14ac:dyDescent="0.15">
      <c r="A833" s="56"/>
      <c r="B833" s="56"/>
      <c r="K833" s="56"/>
      <c r="L833" s="56"/>
      <c r="O833" s="56"/>
    </row>
    <row r="834" spans="1:15" ht="13" x14ac:dyDescent="0.15">
      <c r="A834" s="56"/>
      <c r="B834" s="56"/>
      <c r="K834" s="56"/>
      <c r="L834" s="56"/>
      <c r="O834" s="56"/>
    </row>
    <row r="835" spans="1:15" ht="13" x14ac:dyDescent="0.15">
      <c r="A835" s="56"/>
      <c r="B835" s="56"/>
      <c r="K835" s="56"/>
      <c r="L835" s="56"/>
      <c r="O835" s="56"/>
    </row>
    <row r="836" spans="1:15" ht="13" x14ac:dyDescent="0.15">
      <c r="A836" s="56"/>
      <c r="B836" s="56"/>
      <c r="K836" s="56"/>
      <c r="L836" s="56"/>
      <c r="O836" s="56"/>
    </row>
    <row r="837" spans="1:15" ht="13" x14ac:dyDescent="0.15">
      <c r="A837" s="56"/>
      <c r="B837" s="56"/>
      <c r="K837" s="56"/>
      <c r="L837" s="56"/>
      <c r="O837" s="56"/>
    </row>
    <row r="838" spans="1:15" ht="13" x14ac:dyDescent="0.15">
      <c r="A838" s="56"/>
      <c r="B838" s="56"/>
      <c r="K838" s="56"/>
      <c r="L838" s="56"/>
      <c r="O838" s="56"/>
    </row>
    <row r="839" spans="1:15" ht="13" x14ac:dyDescent="0.15">
      <c r="A839" s="56"/>
      <c r="B839" s="56"/>
      <c r="K839" s="56"/>
      <c r="L839" s="56"/>
      <c r="O839" s="56"/>
    </row>
    <row r="840" spans="1:15" ht="13" x14ac:dyDescent="0.15">
      <c r="A840" s="56"/>
      <c r="B840" s="56"/>
      <c r="K840" s="56"/>
      <c r="L840" s="56"/>
      <c r="O840" s="56"/>
    </row>
    <row r="841" spans="1:15" ht="13" x14ac:dyDescent="0.15">
      <c r="A841" s="56"/>
      <c r="B841" s="56"/>
      <c r="K841" s="56"/>
      <c r="L841" s="56"/>
      <c r="O841" s="56"/>
    </row>
    <row r="842" spans="1:15" ht="13" x14ac:dyDescent="0.15">
      <c r="A842" s="56"/>
      <c r="B842" s="56"/>
      <c r="K842" s="56"/>
      <c r="L842" s="56"/>
      <c r="O842" s="56"/>
    </row>
    <row r="843" spans="1:15" ht="13" x14ac:dyDescent="0.15">
      <c r="A843" s="56"/>
      <c r="B843" s="56"/>
      <c r="K843" s="56"/>
      <c r="L843" s="56"/>
      <c r="O843" s="56"/>
    </row>
    <row r="844" spans="1:15" ht="13" x14ac:dyDescent="0.15">
      <c r="A844" s="56"/>
      <c r="B844" s="56"/>
      <c r="K844" s="56"/>
      <c r="L844" s="56"/>
      <c r="O844" s="56"/>
    </row>
    <row r="845" spans="1:15" ht="13" x14ac:dyDescent="0.15">
      <c r="A845" s="56"/>
      <c r="B845" s="56"/>
      <c r="K845" s="56"/>
      <c r="L845" s="56"/>
      <c r="O845" s="56"/>
    </row>
    <row r="846" spans="1:15" ht="13" x14ac:dyDescent="0.15">
      <c r="A846" s="56"/>
      <c r="B846" s="56"/>
      <c r="K846" s="56"/>
      <c r="L846" s="56"/>
      <c r="O846" s="56"/>
    </row>
    <row r="847" spans="1:15" ht="13" x14ac:dyDescent="0.15">
      <c r="A847" s="56"/>
      <c r="B847" s="56"/>
      <c r="K847" s="56"/>
      <c r="L847" s="56"/>
      <c r="O847" s="56"/>
    </row>
    <row r="848" spans="1:15" ht="13" x14ac:dyDescent="0.15">
      <c r="A848" s="56"/>
      <c r="B848" s="56"/>
      <c r="K848" s="56"/>
      <c r="L848" s="56"/>
      <c r="O848" s="56"/>
    </row>
    <row r="849" spans="1:15" ht="13" x14ac:dyDescent="0.15">
      <c r="A849" s="56"/>
      <c r="B849" s="56"/>
      <c r="K849" s="56"/>
      <c r="L849" s="56"/>
      <c r="O849" s="56"/>
    </row>
    <row r="850" spans="1:15" ht="13" x14ac:dyDescent="0.15">
      <c r="A850" s="56"/>
      <c r="B850" s="56"/>
      <c r="K850" s="56"/>
      <c r="L850" s="56"/>
      <c r="O850" s="56"/>
    </row>
    <row r="851" spans="1:15" ht="13" x14ac:dyDescent="0.15">
      <c r="A851" s="56"/>
      <c r="B851" s="56"/>
      <c r="K851" s="56"/>
      <c r="L851" s="56"/>
      <c r="O851" s="56"/>
    </row>
    <row r="852" spans="1:15" ht="13" x14ac:dyDescent="0.15">
      <c r="A852" s="56"/>
      <c r="B852" s="56"/>
      <c r="K852" s="56"/>
      <c r="L852" s="56"/>
      <c r="O852" s="56"/>
    </row>
    <row r="853" spans="1:15" ht="13" x14ac:dyDescent="0.15">
      <c r="A853" s="56"/>
      <c r="B853" s="56"/>
      <c r="K853" s="56"/>
      <c r="L853" s="56"/>
      <c r="O853" s="56"/>
    </row>
    <row r="854" spans="1:15" ht="13" x14ac:dyDescent="0.15">
      <c r="A854" s="56"/>
      <c r="B854" s="56"/>
      <c r="K854" s="56"/>
      <c r="L854" s="56"/>
      <c r="O854" s="56"/>
    </row>
    <row r="855" spans="1:15" ht="13" x14ac:dyDescent="0.15">
      <c r="A855" s="56"/>
      <c r="B855" s="56"/>
      <c r="K855" s="56"/>
      <c r="L855" s="56"/>
      <c r="O855" s="56"/>
    </row>
    <row r="856" spans="1:15" ht="13" x14ac:dyDescent="0.15">
      <c r="A856" s="56"/>
      <c r="B856" s="56"/>
      <c r="K856" s="56"/>
      <c r="L856" s="56"/>
      <c r="O856" s="56"/>
    </row>
    <row r="857" spans="1:15" ht="13" x14ac:dyDescent="0.15">
      <c r="A857" s="56"/>
      <c r="B857" s="56"/>
      <c r="K857" s="56"/>
      <c r="L857" s="56"/>
      <c r="O857" s="56"/>
    </row>
    <row r="858" spans="1:15" ht="13" x14ac:dyDescent="0.15">
      <c r="A858" s="56"/>
      <c r="B858" s="56"/>
      <c r="K858" s="56"/>
      <c r="L858" s="56"/>
      <c r="O858" s="56"/>
    </row>
    <row r="859" spans="1:15" ht="13" x14ac:dyDescent="0.15">
      <c r="A859" s="56"/>
      <c r="B859" s="56"/>
      <c r="K859" s="56"/>
      <c r="L859" s="56"/>
      <c r="O859" s="56"/>
    </row>
    <row r="860" spans="1:15" ht="13" x14ac:dyDescent="0.15">
      <c r="A860" s="56"/>
      <c r="B860" s="56"/>
      <c r="K860" s="56"/>
      <c r="L860" s="56"/>
      <c r="O860" s="56"/>
    </row>
    <row r="861" spans="1:15" ht="13" x14ac:dyDescent="0.15">
      <c r="A861" s="56"/>
      <c r="B861" s="56"/>
      <c r="K861" s="56"/>
      <c r="L861" s="56"/>
      <c r="O861" s="56"/>
    </row>
    <row r="862" spans="1:15" ht="13" x14ac:dyDescent="0.15">
      <c r="A862" s="56"/>
      <c r="B862" s="56"/>
      <c r="K862" s="56"/>
      <c r="L862" s="56"/>
      <c r="O862" s="56"/>
    </row>
    <row r="863" spans="1:15" ht="13" x14ac:dyDescent="0.15">
      <c r="A863" s="56"/>
      <c r="B863" s="56"/>
      <c r="K863" s="56"/>
      <c r="L863" s="56"/>
      <c r="O863" s="56"/>
    </row>
    <row r="864" spans="1:15" ht="13" x14ac:dyDescent="0.15">
      <c r="A864" s="56"/>
      <c r="B864" s="56"/>
      <c r="K864" s="56"/>
      <c r="L864" s="56"/>
      <c r="O864" s="56"/>
    </row>
    <row r="865" spans="1:15" ht="13" x14ac:dyDescent="0.15">
      <c r="A865" s="56"/>
      <c r="B865" s="56"/>
      <c r="K865" s="56"/>
      <c r="L865" s="56"/>
      <c r="O865" s="56"/>
    </row>
    <row r="866" spans="1:15" ht="13" x14ac:dyDescent="0.15">
      <c r="A866" s="56"/>
      <c r="B866" s="56"/>
      <c r="K866" s="56"/>
      <c r="L866" s="56"/>
      <c r="O866" s="56"/>
    </row>
    <row r="867" spans="1:15" ht="13" x14ac:dyDescent="0.15">
      <c r="A867" s="56"/>
      <c r="B867" s="56"/>
      <c r="K867" s="56"/>
      <c r="L867" s="56"/>
      <c r="O867" s="56"/>
    </row>
    <row r="868" spans="1:15" ht="13" x14ac:dyDescent="0.15">
      <c r="A868" s="56"/>
      <c r="B868" s="56"/>
      <c r="K868" s="56"/>
      <c r="L868" s="56"/>
      <c r="O868" s="56"/>
    </row>
    <row r="869" spans="1:15" ht="13" x14ac:dyDescent="0.15">
      <c r="A869" s="56"/>
      <c r="B869" s="56"/>
      <c r="K869" s="56"/>
      <c r="L869" s="56"/>
      <c r="O869" s="56"/>
    </row>
    <row r="870" spans="1:15" ht="13" x14ac:dyDescent="0.15">
      <c r="A870" s="56"/>
      <c r="B870" s="56"/>
      <c r="K870" s="56"/>
      <c r="L870" s="56"/>
      <c r="O870" s="56"/>
    </row>
    <row r="871" spans="1:15" ht="13" x14ac:dyDescent="0.15">
      <c r="A871" s="56"/>
      <c r="B871" s="56"/>
      <c r="K871" s="56"/>
      <c r="L871" s="56"/>
      <c r="O871" s="56"/>
    </row>
    <row r="872" spans="1:15" ht="13" x14ac:dyDescent="0.15">
      <c r="A872" s="56"/>
      <c r="B872" s="56"/>
      <c r="K872" s="56"/>
      <c r="L872" s="56"/>
      <c r="O872" s="56"/>
    </row>
    <row r="873" spans="1:15" ht="13" x14ac:dyDescent="0.15">
      <c r="A873" s="56"/>
      <c r="B873" s="56"/>
      <c r="K873" s="56"/>
      <c r="L873" s="56"/>
      <c r="O873" s="56"/>
    </row>
    <row r="874" spans="1:15" ht="13" x14ac:dyDescent="0.15">
      <c r="A874" s="56"/>
      <c r="B874" s="56"/>
      <c r="K874" s="56"/>
      <c r="L874" s="56"/>
      <c r="O874" s="56"/>
    </row>
    <row r="875" spans="1:15" ht="13" x14ac:dyDescent="0.15">
      <c r="A875" s="56"/>
      <c r="B875" s="56"/>
      <c r="K875" s="56"/>
      <c r="L875" s="56"/>
      <c r="O875" s="56"/>
    </row>
    <row r="876" spans="1:15" ht="13" x14ac:dyDescent="0.15">
      <c r="A876" s="56"/>
      <c r="B876" s="56"/>
      <c r="K876" s="56"/>
      <c r="L876" s="56"/>
      <c r="O876" s="56"/>
    </row>
    <row r="877" spans="1:15" ht="13" x14ac:dyDescent="0.15">
      <c r="A877" s="56"/>
      <c r="B877" s="56"/>
      <c r="K877" s="56"/>
      <c r="L877" s="56"/>
      <c r="O877" s="56"/>
    </row>
    <row r="878" spans="1:15" ht="13" x14ac:dyDescent="0.15">
      <c r="A878" s="56"/>
      <c r="B878" s="56"/>
      <c r="K878" s="56"/>
      <c r="L878" s="56"/>
      <c r="O878" s="56"/>
    </row>
    <row r="879" spans="1:15" ht="13" x14ac:dyDescent="0.15">
      <c r="A879" s="56"/>
      <c r="B879" s="56"/>
      <c r="K879" s="56"/>
      <c r="L879" s="56"/>
      <c r="O879" s="56"/>
    </row>
    <row r="880" spans="1:15" ht="13" x14ac:dyDescent="0.15">
      <c r="A880" s="56"/>
      <c r="B880" s="56"/>
      <c r="K880" s="56"/>
      <c r="L880" s="56"/>
      <c r="O880" s="56"/>
    </row>
    <row r="881" spans="1:15" ht="13" x14ac:dyDescent="0.15">
      <c r="A881" s="56"/>
      <c r="B881" s="56"/>
      <c r="K881" s="56"/>
      <c r="L881" s="56"/>
      <c r="O881" s="56"/>
    </row>
    <row r="882" spans="1:15" ht="13" x14ac:dyDescent="0.15">
      <c r="A882" s="56"/>
      <c r="B882" s="56"/>
      <c r="K882" s="56"/>
      <c r="L882" s="56"/>
      <c r="O882" s="56"/>
    </row>
    <row r="883" spans="1:15" ht="13" x14ac:dyDescent="0.15">
      <c r="A883" s="56"/>
      <c r="B883" s="56"/>
      <c r="K883" s="56"/>
      <c r="L883" s="56"/>
      <c r="O883" s="56"/>
    </row>
    <row r="884" spans="1:15" ht="13" x14ac:dyDescent="0.15">
      <c r="A884" s="56"/>
      <c r="B884" s="56"/>
      <c r="K884" s="56"/>
      <c r="L884" s="56"/>
      <c r="O884" s="56"/>
    </row>
    <row r="885" spans="1:15" ht="13" x14ac:dyDescent="0.15">
      <c r="A885" s="56"/>
      <c r="B885" s="56"/>
      <c r="K885" s="56"/>
      <c r="L885" s="56"/>
      <c r="O885" s="56"/>
    </row>
    <row r="886" spans="1:15" ht="13" x14ac:dyDescent="0.15">
      <c r="A886" s="56"/>
      <c r="B886" s="56"/>
      <c r="K886" s="56"/>
      <c r="L886" s="56"/>
      <c r="O886" s="56"/>
    </row>
    <row r="887" spans="1:15" ht="13" x14ac:dyDescent="0.15">
      <c r="A887" s="56"/>
      <c r="B887" s="56"/>
      <c r="K887" s="56"/>
      <c r="L887" s="56"/>
      <c r="O887" s="56"/>
    </row>
    <row r="888" spans="1:15" ht="13" x14ac:dyDescent="0.15">
      <c r="A888" s="56"/>
      <c r="B888" s="56"/>
      <c r="K888" s="56"/>
      <c r="L888" s="56"/>
      <c r="O888" s="56"/>
    </row>
    <row r="889" spans="1:15" ht="13" x14ac:dyDescent="0.15">
      <c r="A889" s="56"/>
      <c r="B889" s="56"/>
      <c r="K889" s="56"/>
      <c r="L889" s="56"/>
      <c r="O889" s="56"/>
    </row>
    <row r="890" spans="1:15" ht="13" x14ac:dyDescent="0.15">
      <c r="A890" s="56"/>
      <c r="B890" s="56"/>
      <c r="K890" s="56"/>
      <c r="L890" s="56"/>
      <c r="O890" s="56"/>
    </row>
    <row r="891" spans="1:15" ht="13" x14ac:dyDescent="0.15">
      <c r="A891" s="56"/>
      <c r="B891" s="56"/>
      <c r="K891" s="56"/>
      <c r="L891" s="56"/>
      <c r="O891" s="56"/>
    </row>
    <row r="892" spans="1:15" ht="13" x14ac:dyDescent="0.15">
      <c r="A892" s="56"/>
      <c r="B892" s="56"/>
      <c r="K892" s="56"/>
      <c r="L892" s="56"/>
      <c r="O892" s="56"/>
    </row>
    <row r="893" spans="1:15" ht="13" x14ac:dyDescent="0.15">
      <c r="A893" s="56"/>
      <c r="B893" s="56"/>
      <c r="K893" s="56"/>
      <c r="L893" s="56"/>
      <c r="O893" s="56"/>
    </row>
    <row r="894" spans="1:15" ht="13" x14ac:dyDescent="0.15">
      <c r="A894" s="56"/>
      <c r="B894" s="56"/>
      <c r="K894" s="56"/>
      <c r="L894" s="56"/>
      <c r="O894" s="56"/>
    </row>
    <row r="895" spans="1:15" ht="13" x14ac:dyDescent="0.15">
      <c r="A895" s="56"/>
      <c r="B895" s="56"/>
      <c r="K895" s="56"/>
      <c r="L895" s="56"/>
      <c r="O895" s="56"/>
    </row>
    <row r="896" spans="1:15" ht="13" x14ac:dyDescent="0.15">
      <c r="A896" s="56"/>
      <c r="B896" s="56"/>
      <c r="K896" s="56"/>
      <c r="L896" s="56"/>
      <c r="O896" s="56"/>
    </row>
    <row r="897" spans="1:15" ht="13" x14ac:dyDescent="0.15">
      <c r="A897" s="56"/>
      <c r="B897" s="56"/>
      <c r="K897" s="56"/>
      <c r="L897" s="56"/>
      <c r="O897" s="56"/>
    </row>
    <row r="898" spans="1:15" ht="13" x14ac:dyDescent="0.15">
      <c r="A898" s="56"/>
      <c r="B898" s="56"/>
      <c r="K898" s="56"/>
      <c r="L898" s="56"/>
      <c r="O898" s="56"/>
    </row>
    <row r="899" spans="1:15" ht="13" x14ac:dyDescent="0.15">
      <c r="A899" s="56"/>
      <c r="B899" s="56"/>
      <c r="K899" s="56"/>
      <c r="L899" s="56"/>
      <c r="O899" s="56"/>
    </row>
    <row r="900" spans="1:15" ht="13" x14ac:dyDescent="0.15">
      <c r="A900" s="56"/>
      <c r="B900" s="56"/>
      <c r="K900" s="56"/>
      <c r="L900" s="56"/>
      <c r="O900" s="56"/>
    </row>
    <row r="901" spans="1:15" ht="13" x14ac:dyDescent="0.15">
      <c r="A901" s="56"/>
      <c r="B901" s="56"/>
      <c r="K901" s="56"/>
      <c r="L901" s="56"/>
      <c r="O901" s="56"/>
    </row>
    <row r="902" spans="1:15" ht="13" x14ac:dyDescent="0.15">
      <c r="A902" s="56"/>
      <c r="B902" s="56"/>
      <c r="K902" s="56"/>
      <c r="L902" s="56"/>
      <c r="O902" s="56"/>
    </row>
    <row r="903" spans="1:15" ht="13" x14ac:dyDescent="0.15">
      <c r="A903" s="56"/>
      <c r="B903" s="56"/>
      <c r="K903" s="56"/>
      <c r="L903" s="56"/>
      <c r="O903" s="56"/>
    </row>
    <row r="904" spans="1:15" ht="13" x14ac:dyDescent="0.15">
      <c r="A904" s="56"/>
      <c r="B904" s="56"/>
      <c r="K904" s="56"/>
      <c r="L904" s="56"/>
      <c r="O904" s="56"/>
    </row>
    <row r="905" spans="1:15" ht="13" x14ac:dyDescent="0.15">
      <c r="A905" s="56"/>
      <c r="B905" s="56"/>
      <c r="K905" s="56"/>
      <c r="L905" s="56"/>
      <c r="O905" s="56"/>
    </row>
    <row r="906" spans="1:15" ht="13" x14ac:dyDescent="0.15">
      <c r="A906" s="56"/>
      <c r="B906" s="56"/>
      <c r="K906" s="56"/>
      <c r="L906" s="56"/>
      <c r="O906" s="56"/>
    </row>
    <row r="907" spans="1:15" ht="13" x14ac:dyDescent="0.15">
      <c r="A907" s="56"/>
      <c r="B907" s="56"/>
      <c r="K907" s="56"/>
      <c r="L907" s="56"/>
      <c r="O907" s="56"/>
    </row>
    <row r="908" spans="1:15" ht="13" x14ac:dyDescent="0.15">
      <c r="A908" s="56"/>
      <c r="B908" s="56"/>
      <c r="K908" s="56"/>
      <c r="L908" s="56"/>
      <c r="O908" s="56"/>
    </row>
    <row r="909" spans="1:15" ht="13" x14ac:dyDescent="0.15">
      <c r="A909" s="56"/>
      <c r="B909" s="56"/>
      <c r="K909" s="56"/>
      <c r="L909" s="56"/>
      <c r="O909" s="56"/>
    </row>
    <row r="910" spans="1:15" ht="13" x14ac:dyDescent="0.15">
      <c r="A910" s="56"/>
      <c r="B910" s="56"/>
      <c r="K910" s="56"/>
      <c r="L910" s="56"/>
      <c r="O910" s="56"/>
    </row>
    <row r="911" spans="1:15" ht="13" x14ac:dyDescent="0.15">
      <c r="A911" s="56"/>
      <c r="B911" s="56"/>
      <c r="K911" s="56"/>
      <c r="L911" s="56"/>
      <c r="O911" s="56"/>
    </row>
    <row r="912" spans="1:15" ht="13" x14ac:dyDescent="0.15">
      <c r="A912" s="56"/>
      <c r="B912" s="56"/>
      <c r="K912" s="56"/>
      <c r="L912" s="56"/>
      <c r="O912" s="56"/>
    </row>
    <row r="913" spans="1:15" ht="13" x14ac:dyDescent="0.15">
      <c r="A913" s="56"/>
      <c r="B913" s="56"/>
      <c r="K913" s="56"/>
      <c r="L913" s="56"/>
      <c r="O913" s="56"/>
    </row>
    <row r="914" spans="1:15" ht="13" x14ac:dyDescent="0.15">
      <c r="A914" s="56"/>
      <c r="B914" s="56"/>
      <c r="K914" s="56"/>
      <c r="L914" s="56"/>
      <c r="O914" s="56"/>
    </row>
    <row r="915" spans="1:15" ht="13" x14ac:dyDescent="0.15">
      <c r="A915" s="56"/>
      <c r="B915" s="56"/>
      <c r="K915" s="56"/>
      <c r="L915" s="56"/>
      <c r="O915" s="56"/>
    </row>
    <row r="916" spans="1:15" ht="13" x14ac:dyDescent="0.15">
      <c r="A916" s="56"/>
      <c r="B916" s="56"/>
      <c r="K916" s="56"/>
      <c r="L916" s="56"/>
      <c r="O916" s="56"/>
    </row>
    <row r="917" spans="1:15" ht="13" x14ac:dyDescent="0.15">
      <c r="A917" s="56"/>
      <c r="B917" s="56"/>
      <c r="K917" s="56"/>
      <c r="L917" s="56"/>
      <c r="O917" s="56"/>
    </row>
    <row r="918" spans="1:15" ht="13" x14ac:dyDescent="0.15">
      <c r="A918" s="56"/>
      <c r="B918" s="56"/>
      <c r="K918" s="56"/>
      <c r="L918" s="56"/>
      <c r="O918" s="56"/>
    </row>
    <row r="919" spans="1:15" ht="13" x14ac:dyDescent="0.15">
      <c r="A919" s="56"/>
      <c r="B919" s="56"/>
      <c r="K919" s="56"/>
      <c r="L919" s="56"/>
      <c r="O919" s="56"/>
    </row>
    <row r="920" spans="1:15" ht="13" x14ac:dyDescent="0.15">
      <c r="A920" s="56"/>
      <c r="B920" s="56"/>
      <c r="K920" s="56"/>
      <c r="L920" s="56"/>
      <c r="O920" s="56"/>
    </row>
    <row r="921" spans="1:15" ht="13" x14ac:dyDescent="0.15">
      <c r="A921" s="56"/>
      <c r="B921" s="56"/>
      <c r="K921" s="56"/>
      <c r="L921" s="56"/>
      <c r="O921" s="56"/>
    </row>
    <row r="922" spans="1:15" ht="13" x14ac:dyDescent="0.15">
      <c r="A922" s="56"/>
      <c r="B922" s="56"/>
      <c r="K922" s="56"/>
      <c r="L922" s="56"/>
      <c r="O922" s="56"/>
    </row>
    <row r="923" spans="1:15" ht="13" x14ac:dyDescent="0.15">
      <c r="A923" s="56"/>
      <c r="B923" s="56"/>
      <c r="K923" s="56"/>
      <c r="L923" s="56"/>
      <c r="O923" s="56"/>
    </row>
    <row r="924" spans="1:15" ht="13" x14ac:dyDescent="0.15">
      <c r="A924" s="56"/>
      <c r="B924" s="56"/>
      <c r="K924" s="56"/>
      <c r="L924" s="56"/>
      <c r="O924" s="56"/>
    </row>
    <row r="925" spans="1:15" ht="13" x14ac:dyDescent="0.15">
      <c r="A925" s="56"/>
      <c r="B925" s="56"/>
      <c r="K925" s="56"/>
      <c r="L925" s="56"/>
      <c r="O925" s="56"/>
    </row>
    <row r="926" spans="1:15" ht="13" x14ac:dyDescent="0.15">
      <c r="A926" s="56"/>
      <c r="B926" s="56"/>
      <c r="K926" s="56"/>
      <c r="L926" s="56"/>
      <c r="O926" s="56"/>
    </row>
    <row r="927" spans="1:15" ht="13" x14ac:dyDescent="0.15">
      <c r="A927" s="56"/>
      <c r="B927" s="56"/>
      <c r="K927" s="56"/>
      <c r="L927" s="56"/>
      <c r="O927" s="56"/>
    </row>
    <row r="928" spans="1:15" ht="13" x14ac:dyDescent="0.15">
      <c r="A928" s="56"/>
      <c r="B928" s="56"/>
      <c r="K928" s="56"/>
      <c r="L928" s="56"/>
      <c r="O928" s="56"/>
    </row>
    <row r="929" spans="1:15" ht="13" x14ac:dyDescent="0.15">
      <c r="A929" s="56"/>
      <c r="B929" s="56"/>
      <c r="K929" s="56"/>
      <c r="L929" s="56"/>
      <c r="O929" s="56"/>
    </row>
    <row r="930" spans="1:15" ht="13" x14ac:dyDescent="0.15">
      <c r="A930" s="56"/>
      <c r="B930" s="56"/>
      <c r="K930" s="56"/>
      <c r="L930" s="56"/>
      <c r="O930" s="56"/>
    </row>
    <row r="931" spans="1:15" ht="13" x14ac:dyDescent="0.15">
      <c r="A931" s="56"/>
      <c r="B931" s="56"/>
      <c r="K931" s="56"/>
      <c r="L931" s="56"/>
      <c r="O931" s="56"/>
    </row>
    <row r="932" spans="1:15" ht="13" x14ac:dyDescent="0.15">
      <c r="A932" s="56"/>
      <c r="B932" s="56"/>
      <c r="K932" s="56"/>
      <c r="L932" s="56"/>
      <c r="O932" s="56"/>
    </row>
    <row r="933" spans="1:15" ht="13" x14ac:dyDescent="0.15">
      <c r="A933" s="56"/>
      <c r="B933" s="56"/>
      <c r="K933" s="56"/>
      <c r="L933" s="56"/>
      <c r="O933" s="56"/>
    </row>
    <row r="934" spans="1:15" ht="13" x14ac:dyDescent="0.15">
      <c r="A934" s="56"/>
      <c r="B934" s="56"/>
      <c r="K934" s="56"/>
      <c r="L934" s="56"/>
      <c r="O934" s="56"/>
    </row>
    <row r="935" spans="1:15" ht="13" x14ac:dyDescent="0.15">
      <c r="A935" s="56"/>
      <c r="B935" s="56"/>
      <c r="K935" s="56"/>
      <c r="L935" s="56"/>
      <c r="O935" s="56"/>
    </row>
    <row r="936" spans="1:15" ht="13" x14ac:dyDescent="0.15">
      <c r="A936" s="56"/>
      <c r="B936" s="56"/>
      <c r="K936" s="56"/>
      <c r="L936" s="56"/>
      <c r="O936" s="56"/>
    </row>
    <row r="937" spans="1:15" ht="13" x14ac:dyDescent="0.15">
      <c r="A937" s="56"/>
      <c r="B937" s="56"/>
      <c r="K937" s="56"/>
      <c r="L937" s="56"/>
      <c r="O937" s="56"/>
    </row>
    <row r="938" spans="1:15" ht="13" x14ac:dyDescent="0.15">
      <c r="A938" s="56"/>
      <c r="B938" s="56"/>
      <c r="K938" s="56"/>
      <c r="L938" s="56"/>
      <c r="O938" s="56"/>
    </row>
    <row r="939" spans="1:15" ht="13" x14ac:dyDescent="0.15">
      <c r="A939" s="56"/>
      <c r="B939" s="56"/>
      <c r="K939" s="56"/>
      <c r="L939" s="56"/>
      <c r="O939" s="56"/>
    </row>
    <row r="940" spans="1:15" ht="13" x14ac:dyDescent="0.15">
      <c r="A940" s="56"/>
      <c r="B940" s="56"/>
      <c r="K940" s="56"/>
      <c r="L940" s="56"/>
      <c r="O940" s="56"/>
    </row>
    <row r="941" spans="1:15" ht="13" x14ac:dyDescent="0.15">
      <c r="A941" s="56"/>
      <c r="B941" s="56"/>
      <c r="K941" s="56"/>
      <c r="L941" s="56"/>
      <c r="O941" s="56"/>
    </row>
    <row r="942" spans="1:15" ht="13" x14ac:dyDescent="0.15">
      <c r="A942" s="56"/>
      <c r="B942" s="56"/>
      <c r="K942" s="56"/>
      <c r="L942" s="56"/>
      <c r="O942" s="56"/>
    </row>
    <row r="943" spans="1:15" ht="13" x14ac:dyDescent="0.15">
      <c r="A943" s="56"/>
      <c r="B943" s="56"/>
      <c r="K943" s="56"/>
      <c r="L943" s="56"/>
      <c r="O943" s="56"/>
    </row>
    <row r="944" spans="1:15" ht="13" x14ac:dyDescent="0.15">
      <c r="A944" s="56"/>
      <c r="B944" s="56"/>
      <c r="K944" s="56"/>
      <c r="L944" s="56"/>
      <c r="O944" s="56"/>
    </row>
    <row r="945" spans="1:15" ht="13" x14ac:dyDescent="0.15">
      <c r="A945" s="56"/>
      <c r="B945" s="56"/>
      <c r="K945" s="56"/>
      <c r="L945" s="56"/>
      <c r="O945" s="56"/>
    </row>
    <row r="946" spans="1:15" ht="13" x14ac:dyDescent="0.15">
      <c r="A946" s="56"/>
      <c r="B946" s="56"/>
      <c r="K946" s="56"/>
      <c r="L946" s="56"/>
      <c r="O946" s="56"/>
    </row>
    <row r="947" spans="1:15" ht="13" x14ac:dyDescent="0.15">
      <c r="A947" s="56"/>
      <c r="B947" s="56"/>
      <c r="K947" s="56"/>
      <c r="L947" s="56"/>
      <c r="O947" s="56"/>
    </row>
    <row r="948" spans="1:15" ht="13" x14ac:dyDescent="0.15">
      <c r="A948" s="56"/>
      <c r="B948" s="56"/>
      <c r="K948" s="56"/>
      <c r="L948" s="56"/>
      <c r="O948" s="56"/>
    </row>
    <row r="949" spans="1:15" ht="13" x14ac:dyDescent="0.15">
      <c r="A949" s="56"/>
      <c r="B949" s="56"/>
      <c r="K949" s="56"/>
      <c r="L949" s="56"/>
      <c r="O949" s="56"/>
    </row>
    <row r="950" spans="1:15" ht="13" x14ac:dyDescent="0.15">
      <c r="A950" s="56"/>
      <c r="B950" s="56"/>
      <c r="K950" s="56"/>
      <c r="L950" s="56"/>
      <c r="O950" s="56"/>
    </row>
    <row r="951" spans="1:15" ht="13" x14ac:dyDescent="0.15">
      <c r="A951" s="56"/>
      <c r="B951" s="56"/>
      <c r="K951" s="56"/>
      <c r="L951" s="56"/>
      <c r="O951" s="56"/>
    </row>
    <row r="952" spans="1:15" ht="13" x14ac:dyDescent="0.15">
      <c r="A952" s="56"/>
      <c r="B952" s="56"/>
      <c r="K952" s="56"/>
      <c r="L952" s="56"/>
      <c r="O952" s="56"/>
    </row>
    <row r="953" spans="1:15" ht="13" x14ac:dyDescent="0.15">
      <c r="A953" s="56"/>
      <c r="B953" s="56"/>
      <c r="K953" s="56"/>
      <c r="L953" s="56"/>
      <c r="O953" s="56"/>
    </row>
    <row r="954" spans="1:15" ht="13" x14ac:dyDescent="0.15">
      <c r="A954" s="56"/>
      <c r="B954" s="56"/>
      <c r="K954" s="56"/>
      <c r="L954" s="56"/>
      <c r="O954" s="56"/>
    </row>
    <row r="955" spans="1:15" ht="13" x14ac:dyDescent="0.15">
      <c r="A955" s="56"/>
      <c r="B955" s="56"/>
      <c r="K955" s="56"/>
      <c r="L955" s="56"/>
      <c r="O955" s="56"/>
    </row>
    <row r="956" spans="1:15" ht="13" x14ac:dyDescent="0.15">
      <c r="A956" s="56"/>
      <c r="B956" s="56"/>
      <c r="K956" s="56"/>
      <c r="L956" s="56"/>
      <c r="O956" s="56"/>
    </row>
    <row r="957" spans="1:15" ht="13" x14ac:dyDescent="0.15">
      <c r="A957" s="56"/>
      <c r="B957" s="56"/>
      <c r="K957" s="56"/>
      <c r="L957" s="56"/>
      <c r="O957" s="56"/>
    </row>
    <row r="958" spans="1:15" ht="13" x14ac:dyDescent="0.15">
      <c r="A958" s="56"/>
      <c r="B958" s="56"/>
      <c r="K958" s="56"/>
      <c r="L958" s="56"/>
      <c r="O958" s="56"/>
    </row>
    <row r="959" spans="1:15" ht="13" x14ac:dyDescent="0.15">
      <c r="A959" s="56"/>
      <c r="B959" s="56"/>
      <c r="K959" s="56"/>
      <c r="L959" s="56"/>
      <c r="O959" s="56"/>
    </row>
    <row r="960" spans="1:15" ht="13" x14ac:dyDescent="0.15">
      <c r="A960" s="56"/>
      <c r="B960" s="56"/>
      <c r="K960" s="56"/>
      <c r="L960" s="56"/>
      <c r="O960" s="56"/>
    </row>
    <row r="961" spans="1:15" ht="13" x14ac:dyDescent="0.15">
      <c r="A961" s="56"/>
      <c r="B961" s="56"/>
      <c r="K961" s="56"/>
      <c r="L961" s="56"/>
      <c r="O961" s="56"/>
    </row>
    <row r="962" spans="1:15" ht="13" x14ac:dyDescent="0.15">
      <c r="A962" s="56"/>
      <c r="B962" s="56"/>
      <c r="K962" s="56"/>
      <c r="L962" s="56"/>
      <c r="O962" s="56"/>
    </row>
    <row r="963" spans="1:15" ht="13" x14ac:dyDescent="0.15">
      <c r="A963" s="56"/>
      <c r="B963" s="56"/>
      <c r="K963" s="56"/>
      <c r="L963" s="56"/>
      <c r="O963" s="56"/>
    </row>
    <row r="964" spans="1:15" ht="13" x14ac:dyDescent="0.15">
      <c r="A964" s="56"/>
      <c r="B964" s="56"/>
      <c r="K964" s="56"/>
      <c r="L964" s="56"/>
      <c r="O964" s="56"/>
    </row>
    <row r="965" spans="1:15" ht="13" x14ac:dyDescent="0.15">
      <c r="A965" s="56"/>
      <c r="B965" s="56"/>
      <c r="K965" s="56"/>
      <c r="L965" s="56"/>
      <c r="O965" s="56"/>
    </row>
    <row r="966" spans="1:15" ht="13" x14ac:dyDescent="0.15">
      <c r="A966" s="56"/>
      <c r="B966" s="56"/>
      <c r="K966" s="56"/>
      <c r="L966" s="56"/>
      <c r="O966" s="56"/>
    </row>
    <row r="967" spans="1:15" ht="13" x14ac:dyDescent="0.15">
      <c r="A967" s="56"/>
      <c r="B967" s="56"/>
      <c r="K967" s="56"/>
      <c r="L967" s="56"/>
      <c r="O967" s="56"/>
    </row>
    <row r="968" spans="1:15" ht="13" x14ac:dyDescent="0.15">
      <c r="A968" s="56"/>
      <c r="B968" s="56"/>
      <c r="K968" s="56"/>
      <c r="L968" s="56"/>
      <c r="O968" s="56"/>
    </row>
    <row r="969" spans="1:15" ht="13" x14ac:dyDescent="0.15">
      <c r="A969" s="56"/>
      <c r="B969" s="56"/>
      <c r="K969" s="56"/>
      <c r="L969" s="56"/>
      <c r="O969" s="56"/>
    </row>
    <row r="970" spans="1:15" ht="13" x14ac:dyDescent="0.15">
      <c r="A970" s="56"/>
      <c r="B970" s="56"/>
      <c r="K970" s="56"/>
      <c r="L970" s="56"/>
      <c r="O970" s="56"/>
    </row>
    <row r="971" spans="1:15" ht="13" x14ac:dyDescent="0.15">
      <c r="A971" s="56"/>
      <c r="B971" s="56"/>
      <c r="K971" s="56"/>
      <c r="L971" s="56"/>
      <c r="O971" s="56"/>
    </row>
    <row r="972" spans="1:15" ht="13" x14ac:dyDescent="0.15">
      <c r="A972" s="56"/>
      <c r="B972" s="56"/>
      <c r="K972" s="56"/>
      <c r="L972" s="56"/>
      <c r="O972" s="56"/>
    </row>
    <row r="973" spans="1:15" ht="13" x14ac:dyDescent="0.15">
      <c r="A973" s="56"/>
      <c r="B973" s="56"/>
      <c r="K973" s="56"/>
      <c r="L973" s="56"/>
      <c r="O973" s="56"/>
    </row>
    <row r="974" spans="1:15" ht="13" x14ac:dyDescent="0.15">
      <c r="A974" s="56"/>
      <c r="B974" s="56"/>
      <c r="K974" s="56"/>
      <c r="L974" s="56"/>
      <c r="O974" s="56"/>
    </row>
    <row r="975" spans="1:15" ht="13" x14ac:dyDescent="0.15">
      <c r="A975" s="56"/>
      <c r="B975" s="56"/>
      <c r="K975" s="56"/>
      <c r="L975" s="56"/>
      <c r="O975" s="56"/>
    </row>
    <row r="976" spans="1:15" ht="13" x14ac:dyDescent="0.15">
      <c r="A976" s="56"/>
      <c r="B976" s="56"/>
      <c r="K976" s="56"/>
      <c r="L976" s="56"/>
      <c r="O976" s="56"/>
    </row>
    <row r="977" spans="1:15" ht="13" x14ac:dyDescent="0.15">
      <c r="A977" s="56"/>
      <c r="B977" s="56"/>
      <c r="K977" s="56"/>
      <c r="L977" s="56"/>
      <c r="O977" s="56"/>
    </row>
    <row r="978" spans="1:15" ht="13" x14ac:dyDescent="0.15">
      <c r="A978" s="56"/>
      <c r="B978" s="56"/>
      <c r="K978" s="56"/>
      <c r="L978" s="56"/>
      <c r="O978" s="56"/>
    </row>
    <row r="979" spans="1:15" ht="13" x14ac:dyDescent="0.15">
      <c r="A979" s="56"/>
      <c r="B979" s="56"/>
      <c r="K979" s="56"/>
      <c r="L979" s="56"/>
      <c r="O979" s="56"/>
    </row>
    <row r="980" spans="1:15" ht="13" x14ac:dyDescent="0.15">
      <c r="A980" s="56"/>
      <c r="B980" s="56"/>
      <c r="K980" s="56"/>
      <c r="L980" s="56"/>
      <c r="O980" s="56"/>
    </row>
    <row r="981" spans="1:15" ht="13" x14ac:dyDescent="0.15">
      <c r="A981" s="56"/>
      <c r="B981" s="56"/>
      <c r="K981" s="56"/>
      <c r="L981" s="56"/>
      <c r="O981" s="56"/>
    </row>
    <row r="982" spans="1:15" ht="13" x14ac:dyDescent="0.15">
      <c r="A982" s="56"/>
      <c r="B982" s="56"/>
      <c r="K982" s="56"/>
      <c r="L982" s="56"/>
      <c r="O982" s="56"/>
    </row>
    <row r="983" spans="1:15" ht="13" x14ac:dyDescent="0.15">
      <c r="A983" s="56"/>
      <c r="B983" s="56"/>
      <c r="K983" s="56"/>
      <c r="L983" s="56"/>
      <c r="O983" s="56"/>
    </row>
    <row r="984" spans="1:15" ht="13" x14ac:dyDescent="0.15">
      <c r="A984" s="56"/>
      <c r="B984" s="56"/>
      <c r="K984" s="56"/>
      <c r="L984" s="56"/>
      <c r="O984" s="56"/>
    </row>
    <row r="985" spans="1:15" ht="13" x14ac:dyDescent="0.15">
      <c r="A985" s="56"/>
      <c r="B985" s="56"/>
      <c r="K985" s="56"/>
      <c r="L985" s="56"/>
      <c r="O985" s="56"/>
    </row>
    <row r="986" spans="1:15" ht="13" x14ac:dyDescent="0.15">
      <c r="A986" s="56"/>
      <c r="B986" s="56"/>
      <c r="K986" s="56"/>
      <c r="L986" s="56"/>
      <c r="O986" s="56"/>
    </row>
    <row r="987" spans="1:15" ht="13" x14ac:dyDescent="0.15">
      <c r="A987" s="56"/>
      <c r="B987" s="56"/>
      <c r="K987" s="56"/>
      <c r="L987" s="56"/>
      <c r="O987" s="56"/>
    </row>
    <row r="988" spans="1:15" ht="13" x14ac:dyDescent="0.15">
      <c r="A988" s="56"/>
      <c r="B988" s="56"/>
      <c r="K988" s="56"/>
      <c r="L988" s="56"/>
      <c r="O988" s="56"/>
    </row>
    <row r="989" spans="1:15" ht="13" x14ac:dyDescent="0.15">
      <c r="A989" s="56"/>
      <c r="B989" s="56"/>
      <c r="K989" s="56"/>
      <c r="L989" s="56"/>
      <c r="O989" s="56"/>
    </row>
    <row r="990" spans="1:15" ht="13" x14ac:dyDescent="0.15">
      <c r="A990" s="56"/>
      <c r="B990" s="56"/>
      <c r="K990" s="56"/>
      <c r="L990" s="56"/>
      <c r="O990" s="56"/>
    </row>
    <row r="991" spans="1:15" ht="13" x14ac:dyDescent="0.15">
      <c r="A991" s="56"/>
      <c r="B991" s="56"/>
      <c r="K991" s="56"/>
      <c r="L991" s="56"/>
      <c r="O991" s="56"/>
    </row>
    <row r="992" spans="1:15" ht="13" x14ac:dyDescent="0.15">
      <c r="A992" s="56"/>
      <c r="B992" s="56"/>
      <c r="K992" s="56"/>
      <c r="L992" s="56"/>
      <c r="O992" s="56"/>
    </row>
    <row r="993" spans="1:15" ht="13" x14ac:dyDescent="0.15">
      <c r="A993" s="56"/>
      <c r="B993" s="56"/>
      <c r="K993" s="56"/>
      <c r="L993" s="56"/>
      <c r="O993" s="56"/>
    </row>
    <row r="994" spans="1:15" ht="13" x14ac:dyDescent="0.15">
      <c r="A994" s="56"/>
      <c r="B994" s="56"/>
      <c r="K994" s="56"/>
      <c r="L994" s="56"/>
      <c r="O994" s="56"/>
    </row>
  </sheetData>
  <hyperlinks>
    <hyperlink ref="M2" r:id="rId1" xr:uid="{00000000-0004-0000-0E00-000000000000}"/>
    <hyperlink ref="M4" r:id="rId2" xr:uid="{00000000-0004-0000-0E00-000001000000}"/>
    <hyperlink ref="M5" r:id="rId3" xr:uid="{00000000-0004-0000-0E00-000002000000}"/>
    <hyperlink ref="M6" r:id="rId4" xr:uid="{00000000-0004-0000-0E00-000003000000}"/>
    <hyperlink ref="M7" r:id="rId5" xr:uid="{00000000-0004-0000-0E00-000004000000}"/>
    <hyperlink ref="M9" r:id="rId6" xr:uid="{00000000-0004-0000-0E00-000005000000}"/>
    <hyperlink ref="M46" r:id="rId7" xr:uid="{00000000-0004-0000-0E00-000006000000}"/>
    <hyperlink ref="U47" r:id="rId8" xr:uid="{00000000-0004-0000-0E00-000007000000}"/>
    <hyperlink ref="M50" r:id="rId9" xr:uid="{00000000-0004-0000-0E00-000008000000}"/>
    <hyperlink ref="M51" r:id="rId10" xr:uid="{00000000-0004-0000-0E00-000009000000}"/>
  </hyperlinks>
  <pageMargins left="0.7" right="0.7" top="0.3" bottom="0.3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99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1640625" customWidth="1"/>
    <col min="2" max="2" width="20" customWidth="1"/>
    <col min="3" max="4" width="12.1640625" customWidth="1"/>
    <col min="5" max="5" width="57" customWidth="1"/>
    <col min="6" max="6" width="68.1640625" customWidth="1"/>
    <col min="7" max="7" width="27.1640625" customWidth="1"/>
    <col min="8" max="8" width="39.1640625" customWidth="1"/>
    <col min="9" max="9" width="46.1640625" customWidth="1"/>
    <col min="10" max="10" width="27.83203125" customWidth="1"/>
    <col min="11" max="11" width="22.6640625" customWidth="1"/>
    <col min="12" max="12" width="34.1640625" customWidth="1"/>
    <col min="13" max="13" width="28" customWidth="1"/>
    <col min="14" max="14" width="44.6640625" customWidth="1"/>
    <col min="15" max="15" width="17.6640625" customWidth="1"/>
    <col min="16" max="16" width="16.1640625" customWidth="1"/>
    <col min="17" max="17" width="21.83203125" customWidth="1"/>
    <col min="18" max="18" width="23.33203125" customWidth="1"/>
    <col min="19" max="19" width="22.6640625" customWidth="1"/>
    <col min="20" max="20" width="24.6640625" customWidth="1"/>
    <col min="21" max="21" width="34.1640625" customWidth="1"/>
    <col min="22" max="27" width="8.6640625" customWidth="1"/>
  </cols>
  <sheetData>
    <row r="1" spans="1:27" ht="15.75" customHeight="1" x14ac:dyDescent="0.2">
      <c r="A1" s="80" t="s">
        <v>36</v>
      </c>
      <c r="B1" s="80" t="s">
        <v>37</v>
      </c>
      <c r="C1" s="225" t="s">
        <v>38</v>
      </c>
      <c r="D1" s="80"/>
      <c r="E1" s="80" t="s">
        <v>39</v>
      </c>
      <c r="F1" s="80" t="s">
        <v>40</v>
      </c>
      <c r="G1" s="80" t="s">
        <v>41</v>
      </c>
      <c r="H1" s="80" t="s">
        <v>42</v>
      </c>
      <c r="I1" s="80" t="s">
        <v>43</v>
      </c>
      <c r="J1" s="80" t="s">
        <v>44</v>
      </c>
      <c r="K1" s="80" t="s">
        <v>45</v>
      </c>
      <c r="L1" s="80" t="s">
        <v>46</v>
      </c>
      <c r="M1" s="80" t="s">
        <v>47</v>
      </c>
      <c r="N1" s="80" t="s">
        <v>48</v>
      </c>
      <c r="O1" s="80" t="s">
        <v>800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 x14ac:dyDescent="0.2">
      <c r="A2" s="61">
        <v>20</v>
      </c>
      <c r="B2" s="61" t="s">
        <v>5187</v>
      </c>
      <c r="C2" s="201">
        <v>1</v>
      </c>
      <c r="D2" s="62" t="str">
        <f t="shared" ref="D2:D52" si="0">A2&amp;B2&amp;C2</f>
        <v>20151</v>
      </c>
      <c r="E2" s="63" t="s">
        <v>5188</v>
      </c>
      <c r="F2" s="63" t="s">
        <v>5189</v>
      </c>
      <c r="G2" s="63" t="s">
        <v>5190</v>
      </c>
      <c r="H2" s="63" t="s">
        <v>5191</v>
      </c>
      <c r="I2" s="63" t="s">
        <v>5192</v>
      </c>
      <c r="J2" s="63" t="s">
        <v>5193</v>
      </c>
      <c r="K2" s="62">
        <v>81336825490</v>
      </c>
      <c r="L2" s="62">
        <v>81328088123</v>
      </c>
      <c r="M2" s="65" t="s">
        <v>5194</v>
      </c>
      <c r="N2" s="63" t="s">
        <v>5195</v>
      </c>
      <c r="O2" s="6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2">
      <c r="A3" s="61">
        <v>20</v>
      </c>
      <c r="B3" s="61" t="s">
        <v>5187</v>
      </c>
      <c r="C3" s="201">
        <v>2</v>
      </c>
      <c r="D3" s="62" t="str">
        <f t="shared" si="0"/>
        <v>20152</v>
      </c>
      <c r="E3" s="63" t="s">
        <v>5196</v>
      </c>
      <c r="F3" s="63" t="s">
        <v>5197</v>
      </c>
      <c r="G3" s="63" t="s">
        <v>5198</v>
      </c>
      <c r="H3" s="63" t="s">
        <v>5199</v>
      </c>
      <c r="I3" s="63" t="s">
        <v>5200</v>
      </c>
      <c r="J3" s="63" t="s">
        <v>5201</v>
      </c>
      <c r="K3" s="62">
        <v>81336230003</v>
      </c>
      <c r="L3" s="62">
        <v>81216775339</v>
      </c>
      <c r="M3" s="65" t="s">
        <v>5202</v>
      </c>
      <c r="N3" s="63" t="s">
        <v>5203</v>
      </c>
      <c r="O3" s="6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2">
      <c r="A4" s="61">
        <v>20</v>
      </c>
      <c r="B4" s="61" t="s">
        <v>5187</v>
      </c>
      <c r="C4" s="201">
        <v>3</v>
      </c>
      <c r="D4" s="62" t="str">
        <f t="shared" si="0"/>
        <v>20153</v>
      </c>
      <c r="E4" s="63" t="s">
        <v>5204</v>
      </c>
      <c r="F4" s="63" t="s">
        <v>5205</v>
      </c>
      <c r="G4" s="63" t="s">
        <v>5206</v>
      </c>
      <c r="H4" s="63" t="s">
        <v>5207</v>
      </c>
      <c r="I4" s="63" t="s">
        <v>5208</v>
      </c>
      <c r="J4" s="63" t="s">
        <v>5209</v>
      </c>
      <c r="K4" s="62">
        <v>85748728987</v>
      </c>
      <c r="L4" s="62">
        <v>81515585073</v>
      </c>
      <c r="M4" s="65"/>
      <c r="N4" s="63"/>
      <c r="O4" s="61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2">
      <c r="A5" s="61">
        <v>20</v>
      </c>
      <c r="B5" s="61" t="s">
        <v>5187</v>
      </c>
      <c r="C5" s="201">
        <v>4</v>
      </c>
      <c r="D5" s="62" t="str">
        <f t="shared" si="0"/>
        <v>20154</v>
      </c>
      <c r="E5" s="63" t="s">
        <v>5210</v>
      </c>
      <c r="F5" s="63" t="s">
        <v>5211</v>
      </c>
      <c r="G5" s="63" t="s">
        <v>5206</v>
      </c>
      <c r="H5" s="63" t="s">
        <v>5212</v>
      </c>
      <c r="I5" s="63" t="s">
        <v>5213</v>
      </c>
      <c r="J5" s="63"/>
      <c r="K5" s="62">
        <v>85334333228</v>
      </c>
      <c r="L5" s="62"/>
      <c r="M5" s="65" t="s">
        <v>5214</v>
      </c>
      <c r="N5" s="63" t="s">
        <v>5215</v>
      </c>
      <c r="O5" s="61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2">
      <c r="A6" s="61">
        <v>20</v>
      </c>
      <c r="B6" s="61" t="s">
        <v>5187</v>
      </c>
      <c r="C6" s="201">
        <v>5</v>
      </c>
      <c r="D6" s="62" t="str">
        <f t="shared" si="0"/>
        <v>20155</v>
      </c>
      <c r="E6" s="63" t="s">
        <v>5216</v>
      </c>
      <c r="F6" s="63" t="s">
        <v>5217</v>
      </c>
      <c r="G6" s="63" t="s">
        <v>5198</v>
      </c>
      <c r="H6" s="63" t="s">
        <v>5218</v>
      </c>
      <c r="I6" s="63" t="s">
        <v>5219</v>
      </c>
      <c r="J6" s="63"/>
      <c r="K6" s="62">
        <v>81559553576</v>
      </c>
      <c r="L6" s="62"/>
      <c r="M6" s="65" t="s">
        <v>5220</v>
      </c>
      <c r="N6" s="63"/>
      <c r="O6" s="61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ht="15.75" customHeight="1" x14ac:dyDescent="0.2">
      <c r="A7" s="61">
        <v>20</v>
      </c>
      <c r="B7" s="61" t="s">
        <v>5187</v>
      </c>
      <c r="C7" s="201">
        <v>6</v>
      </c>
      <c r="D7" s="62" t="str">
        <f t="shared" si="0"/>
        <v>20156</v>
      </c>
      <c r="E7" s="63" t="s">
        <v>5221</v>
      </c>
      <c r="F7" s="63" t="s">
        <v>5222</v>
      </c>
      <c r="G7" s="63" t="s">
        <v>5206</v>
      </c>
      <c r="H7" s="63" t="s">
        <v>5223</v>
      </c>
      <c r="I7" s="63" t="s">
        <v>5224</v>
      </c>
      <c r="J7" s="63" t="s">
        <v>5225</v>
      </c>
      <c r="K7" s="62">
        <v>82244514449</v>
      </c>
      <c r="L7" s="62">
        <v>85708584515</v>
      </c>
      <c r="M7" s="65" t="s">
        <v>5226</v>
      </c>
      <c r="N7" s="63" t="s">
        <v>5227</v>
      </c>
      <c r="O7" s="6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15.75" customHeight="1" x14ac:dyDescent="0.2">
      <c r="A8" s="61">
        <v>20</v>
      </c>
      <c r="B8" s="61" t="s">
        <v>5187</v>
      </c>
      <c r="C8" s="201">
        <v>7</v>
      </c>
      <c r="D8" s="62" t="str">
        <f t="shared" si="0"/>
        <v>20157</v>
      </c>
      <c r="E8" s="63" t="s">
        <v>5228</v>
      </c>
      <c r="F8" s="63" t="s">
        <v>5229</v>
      </c>
      <c r="G8" s="63" t="s">
        <v>5198</v>
      </c>
      <c r="H8" s="63" t="s">
        <v>5230</v>
      </c>
      <c r="I8" s="63" t="s">
        <v>5231</v>
      </c>
      <c r="J8" s="63" t="s">
        <v>5232</v>
      </c>
      <c r="K8" s="62" t="s">
        <v>5233</v>
      </c>
      <c r="L8" s="62">
        <v>85755168335</v>
      </c>
      <c r="M8" s="65" t="s">
        <v>5234</v>
      </c>
      <c r="N8" s="63" t="s">
        <v>5235</v>
      </c>
      <c r="O8" s="61">
        <v>7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15.75" customHeight="1" x14ac:dyDescent="0.2">
      <c r="A9" s="61">
        <v>20</v>
      </c>
      <c r="B9" s="61" t="s">
        <v>5187</v>
      </c>
      <c r="C9" s="201">
        <v>8</v>
      </c>
      <c r="D9" s="62" t="str">
        <f t="shared" si="0"/>
        <v>20158</v>
      </c>
      <c r="E9" s="63" t="s">
        <v>5236</v>
      </c>
      <c r="F9" s="63" t="s">
        <v>5237</v>
      </c>
      <c r="G9" s="63" t="s">
        <v>5198</v>
      </c>
      <c r="H9" s="63" t="s">
        <v>5238</v>
      </c>
      <c r="I9" s="63" t="s">
        <v>5239</v>
      </c>
      <c r="J9" s="63" t="s">
        <v>5240</v>
      </c>
      <c r="K9" s="62" t="s">
        <v>5241</v>
      </c>
      <c r="L9" s="62" t="s">
        <v>5242</v>
      </c>
      <c r="M9" s="65" t="s">
        <v>5243</v>
      </c>
      <c r="N9" s="63" t="s">
        <v>5244</v>
      </c>
      <c r="O9" s="61">
        <v>15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 ht="15.75" customHeight="1" x14ac:dyDescent="0.2">
      <c r="A10" s="61">
        <v>21</v>
      </c>
      <c r="B10" s="61" t="s">
        <v>5187</v>
      </c>
      <c r="C10" s="201">
        <v>9</v>
      </c>
      <c r="D10" s="62" t="str">
        <f t="shared" si="0"/>
        <v>21159</v>
      </c>
      <c r="E10" s="63" t="s">
        <v>5245</v>
      </c>
      <c r="F10" s="63" t="s">
        <v>5246</v>
      </c>
      <c r="G10" s="63" t="s">
        <v>5206</v>
      </c>
      <c r="H10" s="63" t="s">
        <v>5247</v>
      </c>
      <c r="I10" s="63" t="s">
        <v>5248</v>
      </c>
      <c r="J10" s="63"/>
      <c r="K10" s="62">
        <v>82180989832</v>
      </c>
      <c r="L10" s="62"/>
      <c r="M10" s="65"/>
      <c r="N10" s="63"/>
      <c r="O10" s="6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ht="15.75" customHeight="1" x14ac:dyDescent="0.2">
      <c r="A11" s="61">
        <v>21</v>
      </c>
      <c r="B11" s="61" t="s">
        <v>5187</v>
      </c>
      <c r="C11" s="201">
        <v>10</v>
      </c>
      <c r="D11" s="62" t="str">
        <f t="shared" si="0"/>
        <v>211510</v>
      </c>
      <c r="E11" s="63" t="s">
        <v>5249</v>
      </c>
      <c r="F11" s="63" t="s">
        <v>5250</v>
      </c>
      <c r="G11" s="63" t="s">
        <v>5190</v>
      </c>
      <c r="H11" s="63" t="s">
        <v>5251</v>
      </c>
      <c r="I11" s="63" t="s">
        <v>5252</v>
      </c>
      <c r="J11" s="63"/>
      <c r="K11" s="62">
        <v>85655204423</v>
      </c>
      <c r="L11" s="62"/>
      <c r="M11" s="65" t="s">
        <v>5253</v>
      </c>
      <c r="N11" s="63" t="s">
        <v>5254</v>
      </c>
      <c r="O11" s="6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 customHeight="1" x14ac:dyDescent="0.2">
      <c r="A12" s="61">
        <v>21</v>
      </c>
      <c r="B12" s="61" t="s">
        <v>5187</v>
      </c>
      <c r="C12" s="201">
        <v>11</v>
      </c>
      <c r="D12" s="62" t="str">
        <f t="shared" si="0"/>
        <v>211511</v>
      </c>
      <c r="E12" s="63" t="s">
        <v>5255</v>
      </c>
      <c r="F12" s="63" t="s">
        <v>5256</v>
      </c>
      <c r="G12" s="63" t="s">
        <v>5257</v>
      </c>
      <c r="H12" s="63" t="s">
        <v>5258</v>
      </c>
      <c r="I12" s="63" t="s">
        <v>5259</v>
      </c>
      <c r="J12" s="63" t="s">
        <v>5260</v>
      </c>
      <c r="K12" s="62">
        <v>82334408995</v>
      </c>
      <c r="L12" s="62">
        <v>81359030006</v>
      </c>
      <c r="M12" s="65" t="s">
        <v>5261</v>
      </c>
      <c r="N12" s="63" t="s">
        <v>5262</v>
      </c>
      <c r="O12" s="61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 ht="15.75" customHeight="1" x14ac:dyDescent="0.2">
      <c r="A13" s="61">
        <v>21</v>
      </c>
      <c r="B13" s="61" t="s">
        <v>5187</v>
      </c>
      <c r="C13" s="201">
        <v>12</v>
      </c>
      <c r="D13" s="62" t="str">
        <f t="shared" si="0"/>
        <v>211512</v>
      </c>
      <c r="E13" s="63" t="s">
        <v>5263</v>
      </c>
      <c r="F13" s="63" t="s">
        <v>5264</v>
      </c>
      <c r="G13" s="63" t="s">
        <v>5257</v>
      </c>
      <c r="H13" s="63" t="s">
        <v>5265</v>
      </c>
      <c r="I13" s="63" t="s">
        <v>5266</v>
      </c>
      <c r="J13" s="63" t="s">
        <v>5267</v>
      </c>
      <c r="K13" s="62">
        <f>6282245527695</f>
        <v>6282245527695</v>
      </c>
      <c r="L13" s="62" t="s">
        <v>5268</v>
      </c>
      <c r="M13" s="65" t="s">
        <v>5269</v>
      </c>
      <c r="N13" s="63" t="s">
        <v>5270</v>
      </c>
      <c r="O13" s="62">
        <v>6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 ht="15.75" customHeight="1" x14ac:dyDescent="0.2">
      <c r="A14" s="61">
        <v>21</v>
      </c>
      <c r="B14" s="61" t="s">
        <v>5187</v>
      </c>
      <c r="C14" s="201">
        <v>13</v>
      </c>
      <c r="D14" s="62" t="str">
        <f t="shared" si="0"/>
        <v>211513</v>
      </c>
      <c r="E14" s="63" t="s">
        <v>5271</v>
      </c>
      <c r="F14" s="63" t="s">
        <v>5272</v>
      </c>
      <c r="G14" s="63" t="s">
        <v>5190</v>
      </c>
      <c r="H14" s="63" t="s">
        <v>5273</v>
      </c>
      <c r="I14" s="63" t="s">
        <v>5274</v>
      </c>
      <c r="J14" s="63" t="s">
        <v>5275</v>
      </c>
      <c r="K14" s="62">
        <v>89507995721</v>
      </c>
      <c r="L14" s="62">
        <v>895379919900</v>
      </c>
      <c r="M14" s="65"/>
      <c r="N14" s="63" t="s">
        <v>5276</v>
      </c>
      <c r="O14" s="6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.75" customHeight="1" x14ac:dyDescent="0.2">
      <c r="A15" s="61">
        <v>21</v>
      </c>
      <c r="B15" s="61" t="s">
        <v>5187</v>
      </c>
      <c r="C15" s="201">
        <v>14</v>
      </c>
      <c r="D15" s="62" t="str">
        <f t="shared" si="0"/>
        <v>211514</v>
      </c>
      <c r="E15" s="63" t="s">
        <v>5277</v>
      </c>
      <c r="F15" s="63" t="s">
        <v>5278</v>
      </c>
      <c r="G15" s="63" t="s">
        <v>5190</v>
      </c>
      <c r="H15" s="63" t="s">
        <v>5279</v>
      </c>
      <c r="I15" s="63" t="s">
        <v>5280</v>
      </c>
      <c r="J15" s="63" t="s">
        <v>5281</v>
      </c>
      <c r="K15" s="62">
        <v>87819223767</v>
      </c>
      <c r="L15" s="226" t="s">
        <v>5282</v>
      </c>
      <c r="M15" s="65" t="s">
        <v>5283</v>
      </c>
      <c r="N15" s="63" t="s">
        <v>5284</v>
      </c>
      <c r="O15" s="61">
        <v>5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 ht="15.75" customHeight="1" x14ac:dyDescent="0.2">
      <c r="A16" s="61">
        <v>22</v>
      </c>
      <c r="B16" s="61" t="s">
        <v>5187</v>
      </c>
      <c r="C16" s="201">
        <v>15</v>
      </c>
      <c r="D16" s="62" t="str">
        <f t="shared" si="0"/>
        <v>221515</v>
      </c>
      <c r="E16" s="63" t="s">
        <v>5285</v>
      </c>
      <c r="F16" s="63" t="s">
        <v>5286</v>
      </c>
      <c r="G16" s="63" t="s">
        <v>5190</v>
      </c>
      <c r="H16" s="63" t="s">
        <v>5287</v>
      </c>
      <c r="I16" s="63" t="s">
        <v>5288</v>
      </c>
      <c r="J16" s="63" t="s">
        <v>5289</v>
      </c>
      <c r="K16" s="62">
        <v>85942913127</v>
      </c>
      <c r="L16" s="62">
        <v>89529882257</v>
      </c>
      <c r="M16" s="65" t="s">
        <v>5290</v>
      </c>
      <c r="N16" s="63" t="s">
        <v>5291</v>
      </c>
      <c r="O16" s="61"/>
      <c r="P16" s="22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 ht="15.75" customHeight="1" x14ac:dyDescent="0.2">
      <c r="A17" s="61">
        <v>22</v>
      </c>
      <c r="B17" s="61" t="s">
        <v>5187</v>
      </c>
      <c r="C17" s="201">
        <v>16</v>
      </c>
      <c r="D17" s="62" t="str">
        <f t="shared" si="0"/>
        <v>221516</v>
      </c>
      <c r="E17" s="63" t="s">
        <v>5292</v>
      </c>
      <c r="F17" s="63" t="s">
        <v>5293</v>
      </c>
      <c r="G17" s="63" t="s">
        <v>5294</v>
      </c>
      <c r="H17" s="63" t="s">
        <v>5295</v>
      </c>
      <c r="I17" s="63" t="s">
        <v>5296</v>
      </c>
      <c r="J17" s="63"/>
      <c r="K17" s="62">
        <v>87766699439</v>
      </c>
      <c r="L17" s="62"/>
      <c r="M17" s="63"/>
      <c r="N17" s="63"/>
      <c r="O17" s="62">
        <v>4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ht="15.75" customHeight="1" x14ac:dyDescent="0.2">
      <c r="A18" s="61">
        <v>22</v>
      </c>
      <c r="B18" s="61" t="s">
        <v>5187</v>
      </c>
      <c r="C18" s="201">
        <v>17</v>
      </c>
      <c r="D18" s="62" t="str">
        <f t="shared" si="0"/>
        <v>221517</v>
      </c>
      <c r="E18" s="63" t="s">
        <v>5297</v>
      </c>
      <c r="F18" s="63" t="s">
        <v>5298</v>
      </c>
      <c r="G18" s="63" t="s">
        <v>5299</v>
      </c>
      <c r="H18" s="63" t="s">
        <v>5300</v>
      </c>
      <c r="I18" s="63" t="s">
        <v>5301</v>
      </c>
      <c r="J18" s="63" t="s">
        <v>4237</v>
      </c>
      <c r="K18" s="198" t="s">
        <v>5302</v>
      </c>
      <c r="L18" s="198" t="s">
        <v>5303</v>
      </c>
      <c r="M18" s="63"/>
      <c r="N18" s="63"/>
      <c r="O18" s="62">
        <v>6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 ht="15.75" customHeight="1" x14ac:dyDescent="0.2">
      <c r="A19" s="61">
        <v>22</v>
      </c>
      <c r="B19" s="61" t="s">
        <v>5187</v>
      </c>
      <c r="C19" s="201">
        <v>18</v>
      </c>
      <c r="D19" s="62" t="str">
        <f t="shared" si="0"/>
        <v>221518</v>
      </c>
      <c r="E19" s="63" t="s">
        <v>5304</v>
      </c>
      <c r="F19" s="63" t="s">
        <v>5305</v>
      </c>
      <c r="G19" s="63" t="s">
        <v>5294</v>
      </c>
      <c r="H19" s="63" t="s">
        <v>5306</v>
      </c>
      <c r="I19" s="63" t="s">
        <v>5307</v>
      </c>
      <c r="J19" s="63"/>
      <c r="K19" s="62" t="s">
        <v>5308</v>
      </c>
      <c r="L19" s="62"/>
      <c r="M19" s="63"/>
      <c r="N19" s="63"/>
      <c r="O19" s="62">
        <v>4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 ht="15.75" customHeight="1" x14ac:dyDescent="0.2">
      <c r="A20" s="61">
        <v>22</v>
      </c>
      <c r="B20" s="61" t="s">
        <v>5187</v>
      </c>
      <c r="C20" s="201">
        <v>19</v>
      </c>
      <c r="D20" s="62" t="str">
        <f t="shared" si="0"/>
        <v>221519</v>
      </c>
      <c r="E20" s="63" t="s">
        <v>5309</v>
      </c>
      <c r="F20" s="63" t="s">
        <v>5310</v>
      </c>
      <c r="G20" s="63" t="s">
        <v>5294</v>
      </c>
      <c r="H20" s="63" t="s">
        <v>5311</v>
      </c>
      <c r="I20" s="202">
        <v>1</v>
      </c>
      <c r="J20" s="63"/>
      <c r="K20" s="62" t="s">
        <v>5312</v>
      </c>
      <c r="L20" s="62"/>
      <c r="M20" s="63"/>
      <c r="N20" s="63"/>
      <c r="O20" s="62">
        <v>3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 customHeight="1" x14ac:dyDescent="0.2">
      <c r="A21" s="61">
        <v>22</v>
      </c>
      <c r="B21" s="61" t="s">
        <v>5187</v>
      </c>
      <c r="C21" s="201">
        <v>20</v>
      </c>
      <c r="D21" s="62" t="str">
        <f t="shared" si="0"/>
        <v>221520</v>
      </c>
      <c r="E21" s="63" t="s">
        <v>5313</v>
      </c>
      <c r="F21" s="63" t="s">
        <v>5314</v>
      </c>
      <c r="G21" s="63" t="s">
        <v>5294</v>
      </c>
      <c r="H21" s="63" t="s">
        <v>5315</v>
      </c>
      <c r="I21" s="63" t="s">
        <v>5316</v>
      </c>
      <c r="J21" s="63"/>
      <c r="K21" s="62" t="s">
        <v>5317</v>
      </c>
      <c r="L21" s="62"/>
      <c r="M21" s="63"/>
      <c r="N21" s="63"/>
      <c r="O21" s="62">
        <v>4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.75" customHeight="1" x14ac:dyDescent="0.2">
      <c r="A22" s="61">
        <v>22</v>
      </c>
      <c r="B22" s="61" t="s">
        <v>5187</v>
      </c>
      <c r="C22" s="201">
        <v>21</v>
      </c>
      <c r="D22" s="62" t="str">
        <f t="shared" si="0"/>
        <v>221521</v>
      </c>
      <c r="E22" s="63" t="s">
        <v>5318</v>
      </c>
      <c r="F22" s="63" t="s">
        <v>5319</v>
      </c>
      <c r="G22" s="63" t="s">
        <v>5299</v>
      </c>
      <c r="H22" s="63" t="s">
        <v>5320</v>
      </c>
      <c r="I22" s="63" t="s">
        <v>5321</v>
      </c>
      <c r="J22" s="63"/>
      <c r="K22" s="62" t="s">
        <v>5322</v>
      </c>
      <c r="L22" s="62"/>
      <c r="M22" s="63"/>
      <c r="N22" s="63"/>
      <c r="O22" s="62">
        <v>5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2">
      <c r="A23" s="61">
        <v>22</v>
      </c>
      <c r="B23" s="61" t="s">
        <v>5187</v>
      </c>
      <c r="C23" s="201">
        <v>22</v>
      </c>
      <c r="D23" s="62" t="str">
        <f t="shared" si="0"/>
        <v>221522</v>
      </c>
      <c r="E23" s="63" t="s">
        <v>5323</v>
      </c>
      <c r="F23" s="63" t="s">
        <v>5324</v>
      </c>
      <c r="G23" s="63" t="s">
        <v>5299</v>
      </c>
      <c r="H23" s="63" t="s">
        <v>5325</v>
      </c>
      <c r="I23" s="63" t="s">
        <v>3157</v>
      </c>
      <c r="J23" s="63"/>
      <c r="K23" s="62" t="s">
        <v>5326</v>
      </c>
      <c r="L23" s="62"/>
      <c r="M23" s="63"/>
      <c r="N23" s="63"/>
      <c r="O23" s="62">
        <v>2</v>
      </c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2">
      <c r="A24" s="61">
        <v>22</v>
      </c>
      <c r="B24" s="61" t="s">
        <v>5187</v>
      </c>
      <c r="C24" s="201">
        <v>23</v>
      </c>
      <c r="D24" s="62" t="str">
        <f t="shared" si="0"/>
        <v>221523</v>
      </c>
      <c r="E24" s="63" t="s">
        <v>5327</v>
      </c>
      <c r="F24" s="63" t="s">
        <v>5328</v>
      </c>
      <c r="G24" s="63" t="s">
        <v>5294</v>
      </c>
      <c r="H24" s="63" t="s">
        <v>5329</v>
      </c>
      <c r="I24" s="63" t="s">
        <v>5330</v>
      </c>
      <c r="J24" s="63"/>
      <c r="K24" s="62" t="s">
        <v>5331</v>
      </c>
      <c r="L24" s="62"/>
      <c r="M24" s="63"/>
      <c r="N24" s="63"/>
      <c r="O24" s="62">
        <v>4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2">
      <c r="A25" s="61">
        <v>22</v>
      </c>
      <c r="B25" s="61" t="s">
        <v>5187</v>
      </c>
      <c r="C25" s="201">
        <v>24</v>
      </c>
      <c r="D25" s="62" t="str">
        <f t="shared" si="0"/>
        <v>221524</v>
      </c>
      <c r="E25" s="63" t="s">
        <v>5332</v>
      </c>
      <c r="F25" s="63" t="s">
        <v>5333</v>
      </c>
      <c r="G25" s="63" t="s">
        <v>5294</v>
      </c>
      <c r="H25" s="63" t="s">
        <v>5334</v>
      </c>
      <c r="I25" s="63" t="s">
        <v>5335</v>
      </c>
      <c r="J25" s="63"/>
      <c r="K25" s="62" t="s">
        <v>5336</v>
      </c>
      <c r="L25" s="62"/>
      <c r="M25" s="63"/>
      <c r="N25" s="63"/>
      <c r="O25" s="62">
        <v>19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2">
      <c r="A26" s="61">
        <v>22</v>
      </c>
      <c r="B26" s="61" t="s">
        <v>5187</v>
      </c>
      <c r="C26" s="201">
        <v>25</v>
      </c>
      <c r="D26" s="62" t="str">
        <f t="shared" si="0"/>
        <v>221525</v>
      </c>
      <c r="E26" s="63" t="s">
        <v>5337</v>
      </c>
      <c r="F26" s="63" t="s">
        <v>5338</v>
      </c>
      <c r="G26" s="63" t="s">
        <v>5299</v>
      </c>
      <c r="H26" s="63" t="s">
        <v>5339</v>
      </c>
      <c r="I26" s="63" t="s">
        <v>5340</v>
      </c>
      <c r="J26" s="63" t="s">
        <v>5341</v>
      </c>
      <c r="K26" s="62" t="s">
        <v>5342</v>
      </c>
      <c r="L26" s="62">
        <v>83155878013</v>
      </c>
      <c r="M26" s="63"/>
      <c r="N26" s="151" t="s">
        <v>5343</v>
      </c>
      <c r="O26" s="62">
        <v>5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2">
      <c r="A27" s="61">
        <v>22</v>
      </c>
      <c r="B27" s="61" t="s">
        <v>5187</v>
      </c>
      <c r="C27" s="201">
        <v>26</v>
      </c>
      <c r="D27" s="62" t="str">
        <f t="shared" si="0"/>
        <v>221526</v>
      </c>
      <c r="E27" s="63" t="s">
        <v>5344</v>
      </c>
      <c r="F27" s="63" t="s">
        <v>5345</v>
      </c>
      <c r="G27" s="63" t="s">
        <v>5294</v>
      </c>
      <c r="H27" s="63" t="s">
        <v>5346</v>
      </c>
      <c r="I27" s="63" t="s">
        <v>5347</v>
      </c>
      <c r="J27" s="63"/>
      <c r="K27" s="62" t="s">
        <v>5348</v>
      </c>
      <c r="L27" s="62"/>
      <c r="M27" s="63"/>
      <c r="N27" s="63"/>
      <c r="O27" s="6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2">
      <c r="A28" s="61">
        <v>22</v>
      </c>
      <c r="B28" s="61" t="s">
        <v>5187</v>
      </c>
      <c r="C28" s="201">
        <v>27</v>
      </c>
      <c r="D28" s="62" t="str">
        <f t="shared" si="0"/>
        <v>221527</v>
      </c>
      <c r="E28" s="63" t="s">
        <v>5349</v>
      </c>
      <c r="F28" s="63" t="s">
        <v>5350</v>
      </c>
      <c r="G28" s="63" t="s">
        <v>5299</v>
      </c>
      <c r="H28" s="63" t="s">
        <v>5351</v>
      </c>
      <c r="I28" s="63" t="s">
        <v>5352</v>
      </c>
      <c r="J28" s="63"/>
      <c r="K28" s="62" t="s">
        <v>5353</v>
      </c>
      <c r="L28" s="62"/>
      <c r="M28" s="63"/>
      <c r="N28" s="63"/>
      <c r="O28" s="62">
        <v>9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2">
      <c r="A29" s="61">
        <v>22</v>
      </c>
      <c r="B29" s="61" t="s">
        <v>5187</v>
      </c>
      <c r="C29" s="201">
        <v>28</v>
      </c>
      <c r="D29" s="62" t="str">
        <f t="shared" si="0"/>
        <v>221528</v>
      </c>
      <c r="E29" s="63" t="s">
        <v>5354</v>
      </c>
      <c r="F29" s="63" t="s">
        <v>5355</v>
      </c>
      <c r="G29" s="63" t="s">
        <v>5299</v>
      </c>
      <c r="H29" s="63" t="s">
        <v>5356</v>
      </c>
      <c r="I29" s="63" t="s">
        <v>5357</v>
      </c>
      <c r="J29" s="63"/>
      <c r="K29" s="62" t="s">
        <v>5358</v>
      </c>
      <c r="L29" s="62"/>
      <c r="M29" s="63"/>
      <c r="N29" s="63"/>
      <c r="O29" s="62">
        <v>2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2">
      <c r="A30" s="61">
        <v>22</v>
      </c>
      <c r="B30" s="61" t="s">
        <v>5187</v>
      </c>
      <c r="C30" s="201">
        <v>29</v>
      </c>
      <c r="D30" s="62" t="str">
        <f t="shared" si="0"/>
        <v>221529</v>
      </c>
      <c r="E30" s="63" t="s">
        <v>5359</v>
      </c>
      <c r="F30" s="63" t="s">
        <v>5360</v>
      </c>
      <c r="G30" s="63" t="s">
        <v>5294</v>
      </c>
      <c r="H30" s="63" t="s">
        <v>5361</v>
      </c>
      <c r="I30" s="63" t="s">
        <v>5362</v>
      </c>
      <c r="J30" s="63"/>
      <c r="K30" s="62" t="s">
        <v>5363</v>
      </c>
      <c r="L30" s="62"/>
      <c r="M30" s="63"/>
      <c r="N30" s="63"/>
      <c r="O30" s="62">
        <v>4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2">
      <c r="A31" s="61">
        <v>23</v>
      </c>
      <c r="B31" s="61" t="s">
        <v>5187</v>
      </c>
      <c r="C31" s="201">
        <v>30</v>
      </c>
      <c r="D31" s="62" t="str">
        <f t="shared" si="0"/>
        <v>231530</v>
      </c>
      <c r="E31" s="63" t="s">
        <v>5364</v>
      </c>
      <c r="F31" s="63" t="s">
        <v>5365</v>
      </c>
      <c r="G31" s="63" t="s">
        <v>5299</v>
      </c>
      <c r="H31" s="63" t="s">
        <v>5366</v>
      </c>
      <c r="I31" s="63" t="s">
        <v>5367</v>
      </c>
      <c r="J31" s="63"/>
      <c r="K31" s="62" t="s">
        <v>5368</v>
      </c>
      <c r="L31" s="62"/>
      <c r="M31" s="63"/>
      <c r="N31" s="63"/>
      <c r="O31" s="62">
        <v>2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2">
      <c r="A32" s="61">
        <v>23</v>
      </c>
      <c r="B32" s="61" t="s">
        <v>5187</v>
      </c>
      <c r="C32" s="201">
        <v>31</v>
      </c>
      <c r="D32" s="62" t="str">
        <f t="shared" si="0"/>
        <v>231531</v>
      </c>
      <c r="E32" s="63" t="s">
        <v>5369</v>
      </c>
      <c r="F32" s="63" t="s">
        <v>5370</v>
      </c>
      <c r="G32" s="63" t="s">
        <v>5294</v>
      </c>
      <c r="H32" s="63" t="s">
        <v>5371</v>
      </c>
      <c r="I32" s="63" t="s">
        <v>5372</v>
      </c>
      <c r="J32" s="63"/>
      <c r="K32" s="62" t="s">
        <v>5373</v>
      </c>
      <c r="L32" s="62"/>
      <c r="M32" s="63"/>
      <c r="N32" s="63"/>
      <c r="O32" s="62">
        <v>1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15.75" customHeight="1" x14ac:dyDescent="0.2">
      <c r="A33" s="61">
        <v>23</v>
      </c>
      <c r="B33" s="61" t="s">
        <v>5187</v>
      </c>
      <c r="C33" s="201">
        <v>32</v>
      </c>
      <c r="D33" s="62" t="str">
        <f t="shared" si="0"/>
        <v>231532</v>
      </c>
      <c r="E33" s="63" t="s">
        <v>5374</v>
      </c>
      <c r="F33" s="63" t="s">
        <v>5375</v>
      </c>
      <c r="G33" s="63" t="s">
        <v>5299</v>
      </c>
      <c r="H33" s="63" t="s">
        <v>5376</v>
      </c>
      <c r="I33" s="63" t="s">
        <v>5377</v>
      </c>
      <c r="J33" s="63"/>
      <c r="K33" s="62" t="s">
        <v>5378</v>
      </c>
      <c r="L33" s="62"/>
      <c r="M33" s="63"/>
      <c r="N33" s="63"/>
      <c r="O33" s="62">
        <v>7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2">
      <c r="A34" s="61">
        <v>23</v>
      </c>
      <c r="B34" s="61" t="s">
        <v>5187</v>
      </c>
      <c r="C34" s="201">
        <v>33</v>
      </c>
      <c r="D34" s="62" t="str">
        <f t="shared" si="0"/>
        <v>231533</v>
      </c>
      <c r="E34" s="63" t="s">
        <v>5379</v>
      </c>
      <c r="F34" s="63" t="s">
        <v>5380</v>
      </c>
      <c r="G34" s="63" t="s">
        <v>5294</v>
      </c>
      <c r="H34" s="63" t="s">
        <v>5381</v>
      </c>
      <c r="I34" s="63" t="s">
        <v>5382</v>
      </c>
      <c r="J34" s="63"/>
      <c r="K34" s="62" t="s">
        <v>5383</v>
      </c>
      <c r="L34" s="62"/>
      <c r="M34" s="63"/>
      <c r="N34" s="63"/>
      <c r="O34" s="62">
        <v>10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2">
      <c r="A35" s="61">
        <v>23</v>
      </c>
      <c r="B35" s="61" t="s">
        <v>5187</v>
      </c>
      <c r="C35" s="201">
        <v>34</v>
      </c>
      <c r="D35" s="62" t="str">
        <f t="shared" si="0"/>
        <v>231534</v>
      </c>
      <c r="E35" s="63" t="s">
        <v>5384</v>
      </c>
      <c r="F35" s="63" t="s">
        <v>5385</v>
      </c>
      <c r="G35" s="63" t="s">
        <v>5299</v>
      </c>
      <c r="H35" s="63" t="s">
        <v>5386</v>
      </c>
      <c r="I35" s="63" t="s">
        <v>5387</v>
      </c>
      <c r="J35" s="63"/>
      <c r="K35" s="62" t="s">
        <v>5388</v>
      </c>
      <c r="L35" s="62"/>
      <c r="M35" s="63"/>
      <c r="N35" s="63"/>
      <c r="O35" s="62">
        <v>2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2">
      <c r="A36" s="61">
        <v>23</v>
      </c>
      <c r="B36" s="61" t="s">
        <v>5187</v>
      </c>
      <c r="C36" s="201">
        <v>35</v>
      </c>
      <c r="D36" s="62" t="str">
        <f t="shared" si="0"/>
        <v>231535</v>
      </c>
      <c r="E36" s="63" t="s">
        <v>4806</v>
      </c>
      <c r="F36" s="63" t="s">
        <v>5389</v>
      </c>
      <c r="G36" s="63" t="s">
        <v>5294</v>
      </c>
      <c r="H36" s="63" t="s">
        <v>5390</v>
      </c>
      <c r="I36" s="63" t="s">
        <v>5391</v>
      </c>
      <c r="J36" s="63"/>
      <c r="K36" s="62" t="s">
        <v>1127</v>
      </c>
      <c r="L36" s="62"/>
      <c r="M36" s="63"/>
      <c r="N36" s="63"/>
      <c r="O36" s="62">
        <v>7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2">
      <c r="A37" s="61">
        <v>23</v>
      </c>
      <c r="B37" s="61" t="s">
        <v>5187</v>
      </c>
      <c r="C37" s="201">
        <v>36</v>
      </c>
      <c r="D37" s="62" t="str">
        <f t="shared" si="0"/>
        <v>231536</v>
      </c>
      <c r="E37" s="63" t="s">
        <v>5392</v>
      </c>
      <c r="F37" s="63" t="s">
        <v>5393</v>
      </c>
      <c r="G37" s="63" t="s">
        <v>5294</v>
      </c>
      <c r="H37" s="63" t="s">
        <v>5394</v>
      </c>
      <c r="I37" s="63" t="s">
        <v>5395</v>
      </c>
      <c r="J37" s="63"/>
      <c r="K37" s="62" t="s">
        <v>5396</v>
      </c>
      <c r="L37" s="62"/>
      <c r="M37" s="63"/>
      <c r="N37" s="63" t="s">
        <v>5397</v>
      </c>
      <c r="O37" s="62">
        <v>3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2">
      <c r="A38" s="61">
        <v>23</v>
      </c>
      <c r="B38" s="61" t="s">
        <v>5187</v>
      </c>
      <c r="C38" s="201">
        <v>37</v>
      </c>
      <c r="D38" s="62" t="str">
        <f t="shared" si="0"/>
        <v>231537</v>
      </c>
      <c r="E38" s="63" t="s">
        <v>5398</v>
      </c>
      <c r="F38" s="63" t="s">
        <v>5399</v>
      </c>
      <c r="G38" s="63" t="s">
        <v>5294</v>
      </c>
      <c r="H38" s="63" t="s">
        <v>5400</v>
      </c>
      <c r="I38" s="63" t="s">
        <v>5401</v>
      </c>
      <c r="J38" s="63"/>
      <c r="K38" s="62" t="s">
        <v>5402</v>
      </c>
      <c r="L38" s="62"/>
      <c r="M38" s="63"/>
      <c r="N38" s="63" t="s">
        <v>5403</v>
      </c>
      <c r="O38" s="62">
        <v>6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2">
      <c r="A39" s="61">
        <v>23</v>
      </c>
      <c r="B39" s="61" t="s">
        <v>5187</v>
      </c>
      <c r="C39" s="201">
        <v>38</v>
      </c>
      <c r="D39" s="62" t="str">
        <f t="shared" si="0"/>
        <v>231538</v>
      </c>
      <c r="E39" s="63" t="s">
        <v>5404</v>
      </c>
      <c r="F39" s="63" t="s">
        <v>5405</v>
      </c>
      <c r="G39" s="63" t="s">
        <v>5294</v>
      </c>
      <c r="H39" s="63" t="s">
        <v>5406</v>
      </c>
      <c r="I39" s="63" t="s">
        <v>5407</v>
      </c>
      <c r="J39" s="63"/>
      <c r="K39" s="62" t="s">
        <v>5408</v>
      </c>
      <c r="L39" s="62"/>
      <c r="M39" s="63"/>
      <c r="N39" s="63" t="s">
        <v>5409</v>
      </c>
      <c r="O39" s="62">
        <v>3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2">
      <c r="A40" s="61">
        <v>23</v>
      </c>
      <c r="B40" s="61" t="s">
        <v>5187</v>
      </c>
      <c r="C40" s="201">
        <v>39</v>
      </c>
      <c r="D40" s="62" t="str">
        <f t="shared" si="0"/>
        <v>231539</v>
      </c>
      <c r="E40" s="63" t="s">
        <v>5410</v>
      </c>
      <c r="F40" s="63" t="s">
        <v>5411</v>
      </c>
      <c r="G40" s="63" t="s">
        <v>5299</v>
      </c>
      <c r="H40" s="63" t="s">
        <v>5412</v>
      </c>
      <c r="I40" s="63" t="s">
        <v>5413</v>
      </c>
      <c r="J40" s="63"/>
      <c r="K40" s="62" t="s">
        <v>5414</v>
      </c>
      <c r="L40" s="62"/>
      <c r="M40" s="63"/>
      <c r="N40" s="63" t="s">
        <v>5415</v>
      </c>
      <c r="O40" s="62">
        <v>50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2">
      <c r="A41" s="61">
        <v>23</v>
      </c>
      <c r="B41" s="61" t="s">
        <v>5187</v>
      </c>
      <c r="C41" s="201">
        <v>40</v>
      </c>
      <c r="D41" s="62" t="str">
        <f t="shared" si="0"/>
        <v>231540</v>
      </c>
      <c r="E41" s="63" t="s">
        <v>5416</v>
      </c>
      <c r="F41" s="63" t="s">
        <v>5417</v>
      </c>
      <c r="G41" s="63" t="s">
        <v>5198</v>
      </c>
      <c r="H41" s="63" t="s">
        <v>5418</v>
      </c>
      <c r="I41" s="63" t="s">
        <v>5419</v>
      </c>
      <c r="J41" s="63"/>
      <c r="K41" s="62" t="s">
        <v>5420</v>
      </c>
      <c r="L41" s="62"/>
      <c r="M41" s="63"/>
      <c r="N41" s="63" t="s">
        <v>5421</v>
      </c>
      <c r="O41" s="62">
        <v>7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2">
      <c r="A42" s="61">
        <v>23</v>
      </c>
      <c r="B42" s="61" t="s">
        <v>5187</v>
      </c>
      <c r="C42" s="201">
        <v>41</v>
      </c>
      <c r="D42" s="62" t="str">
        <f t="shared" si="0"/>
        <v>231541</v>
      </c>
      <c r="E42" s="63" t="s">
        <v>5422</v>
      </c>
      <c r="F42" s="63" t="s">
        <v>5423</v>
      </c>
      <c r="G42" s="63" t="s">
        <v>5299</v>
      </c>
      <c r="H42" s="63" t="s">
        <v>5424</v>
      </c>
      <c r="I42" s="63" t="s">
        <v>5425</v>
      </c>
      <c r="J42" s="63"/>
      <c r="K42" s="62">
        <v>81233556552</v>
      </c>
      <c r="L42" s="62"/>
      <c r="M42" s="63"/>
      <c r="N42" s="63" t="s">
        <v>5426</v>
      </c>
      <c r="O42" s="62">
        <v>6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 customHeight="1" x14ac:dyDescent="0.2">
      <c r="A43" s="61">
        <v>24</v>
      </c>
      <c r="B43" s="61" t="s">
        <v>5187</v>
      </c>
      <c r="C43" s="201">
        <v>42</v>
      </c>
      <c r="D43" s="62" t="str">
        <f t="shared" si="0"/>
        <v>241542</v>
      </c>
      <c r="E43" s="63" t="s">
        <v>5427</v>
      </c>
      <c r="F43" s="63" t="s">
        <v>5428</v>
      </c>
      <c r="G43" s="63" t="s">
        <v>5299</v>
      </c>
      <c r="H43" s="63" t="s">
        <v>5429</v>
      </c>
      <c r="I43" s="63" t="s">
        <v>5430</v>
      </c>
      <c r="J43" s="63"/>
      <c r="K43" s="62">
        <v>85857233245</v>
      </c>
      <c r="L43" s="62"/>
      <c r="M43" s="63"/>
      <c r="N43" s="63" t="s">
        <v>5431</v>
      </c>
      <c r="O43" s="62">
        <v>5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5.75" customHeight="1" x14ac:dyDescent="0.2">
      <c r="A44" s="61">
        <v>24</v>
      </c>
      <c r="B44" s="61" t="s">
        <v>5187</v>
      </c>
      <c r="C44" s="201">
        <v>43</v>
      </c>
      <c r="D44" s="62" t="str">
        <f t="shared" si="0"/>
        <v>241543</v>
      </c>
      <c r="E44" s="63" t="s">
        <v>5432</v>
      </c>
      <c r="F44" s="63" t="s">
        <v>5433</v>
      </c>
      <c r="G44" s="63" t="s">
        <v>5198</v>
      </c>
      <c r="H44" s="63" t="s">
        <v>5434</v>
      </c>
      <c r="I44" s="63" t="s">
        <v>5435</v>
      </c>
      <c r="J44" s="63"/>
      <c r="K44" s="62">
        <v>85730684459</v>
      </c>
      <c r="L44" s="62"/>
      <c r="M44" s="63"/>
      <c r="N44" s="63" t="s">
        <v>5436</v>
      </c>
      <c r="O44" s="62">
        <v>16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5.75" customHeight="1" x14ac:dyDescent="0.2">
      <c r="A45" s="61">
        <v>24</v>
      </c>
      <c r="B45" s="61" t="s">
        <v>5187</v>
      </c>
      <c r="C45" s="201">
        <v>44</v>
      </c>
      <c r="D45" s="62" t="str">
        <f t="shared" si="0"/>
        <v>241544</v>
      </c>
      <c r="E45" s="63" t="s">
        <v>5437</v>
      </c>
      <c r="F45" s="63" t="s">
        <v>5438</v>
      </c>
      <c r="G45" s="63" t="s">
        <v>5299</v>
      </c>
      <c r="H45" s="63" t="s">
        <v>5439</v>
      </c>
      <c r="I45" s="63" t="s">
        <v>5440</v>
      </c>
      <c r="J45" s="63"/>
      <c r="K45" s="62">
        <v>89673446134</v>
      </c>
      <c r="L45" s="62"/>
      <c r="M45" s="63"/>
      <c r="N45" s="63" t="s">
        <v>5441</v>
      </c>
      <c r="O45" s="62">
        <v>3</v>
      </c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5.75" customHeight="1" x14ac:dyDescent="0.2">
      <c r="A46" s="61">
        <v>24</v>
      </c>
      <c r="B46" s="61" t="s">
        <v>5187</v>
      </c>
      <c r="C46" s="201">
        <v>45</v>
      </c>
      <c r="D46" s="62" t="str">
        <f t="shared" si="0"/>
        <v>241545</v>
      </c>
      <c r="E46" s="63" t="s">
        <v>5442</v>
      </c>
      <c r="F46" s="63" t="s">
        <v>5443</v>
      </c>
      <c r="G46" s="63" t="s">
        <v>5299</v>
      </c>
      <c r="H46" s="63" t="s">
        <v>5444</v>
      </c>
      <c r="I46" s="63" t="s">
        <v>5445</v>
      </c>
      <c r="J46" s="63"/>
      <c r="K46" s="62">
        <v>85733833819</v>
      </c>
      <c r="L46" s="62"/>
      <c r="M46" s="63"/>
      <c r="N46" s="63" t="s">
        <v>5446</v>
      </c>
      <c r="O46" s="62">
        <v>5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5.75" customHeight="1" x14ac:dyDescent="0.2">
      <c r="A47" s="61">
        <v>24</v>
      </c>
      <c r="B47" s="61">
        <v>15</v>
      </c>
      <c r="C47" s="201">
        <v>46</v>
      </c>
      <c r="D47" s="62" t="str">
        <f t="shared" si="0"/>
        <v>241546</v>
      </c>
      <c r="E47" s="54" t="s">
        <v>5447</v>
      </c>
      <c r="F47" s="54" t="s">
        <v>5448</v>
      </c>
      <c r="G47" s="54" t="s">
        <v>5299</v>
      </c>
      <c r="H47" s="54" t="s">
        <v>5449</v>
      </c>
      <c r="I47" s="54" t="s">
        <v>5450</v>
      </c>
      <c r="J47" s="54"/>
      <c r="K47" s="93" t="s">
        <v>5451</v>
      </c>
      <c r="L47" s="54"/>
      <c r="M47" s="154"/>
      <c r="N47" s="54" t="s">
        <v>5452</v>
      </c>
      <c r="O47" s="96">
        <v>4</v>
      </c>
      <c r="R47" s="43"/>
      <c r="T47" s="44"/>
      <c r="V47" s="43"/>
      <c r="W47" s="43"/>
      <c r="X47" s="43"/>
      <c r="Y47" s="43"/>
      <c r="Z47" s="43"/>
      <c r="AA47" s="43"/>
    </row>
    <row r="48" spans="1:27" ht="15.75" customHeight="1" x14ac:dyDescent="0.2">
      <c r="A48" s="61">
        <v>25</v>
      </c>
      <c r="B48" s="61">
        <v>15</v>
      </c>
      <c r="C48" s="201">
        <v>47</v>
      </c>
      <c r="D48" s="62" t="str">
        <f t="shared" si="0"/>
        <v>251547</v>
      </c>
      <c r="E48" s="43" t="s">
        <v>5453</v>
      </c>
      <c r="F48" s="43" t="s">
        <v>5454</v>
      </c>
      <c r="G48" s="43" t="s">
        <v>5294</v>
      </c>
      <c r="H48" s="43" t="s">
        <v>5455</v>
      </c>
      <c r="I48" s="43" t="s">
        <v>5456</v>
      </c>
      <c r="J48" s="43" t="s">
        <v>5457</v>
      </c>
      <c r="K48" s="43" t="s">
        <v>5458</v>
      </c>
      <c r="L48" s="43"/>
      <c r="M48" s="78" t="s">
        <v>5459</v>
      </c>
      <c r="N48" s="43" t="s">
        <v>5458</v>
      </c>
      <c r="O48" s="43"/>
      <c r="P48" s="43" t="s">
        <v>2917</v>
      </c>
      <c r="Q48" s="43" t="s">
        <v>5460</v>
      </c>
      <c r="R48" s="43" t="s">
        <v>5461</v>
      </c>
      <c r="S48" s="55" t="s">
        <v>5462</v>
      </c>
      <c r="T48" s="55" t="s">
        <v>5462</v>
      </c>
      <c r="U48" s="43" t="s">
        <v>5463</v>
      </c>
      <c r="V48" s="43"/>
      <c r="W48" s="43"/>
      <c r="X48" s="43"/>
      <c r="Y48" s="43"/>
      <c r="Z48" s="43"/>
      <c r="AA48" s="43"/>
    </row>
    <row r="49" spans="1:27" ht="15.75" customHeight="1" x14ac:dyDescent="0.2">
      <c r="A49" s="61">
        <v>25</v>
      </c>
      <c r="B49" s="61">
        <v>15</v>
      </c>
      <c r="C49" s="201">
        <v>48</v>
      </c>
      <c r="D49" s="62" t="str">
        <f t="shared" si="0"/>
        <v>251548</v>
      </c>
      <c r="E49" s="43" t="s">
        <v>5464</v>
      </c>
      <c r="F49" s="43" t="s">
        <v>5465</v>
      </c>
      <c r="G49" s="43" t="s">
        <v>5299</v>
      </c>
      <c r="H49" s="43" t="s">
        <v>5466</v>
      </c>
      <c r="I49" s="43" t="s">
        <v>5467</v>
      </c>
      <c r="J49" s="43" t="s">
        <v>5468</v>
      </c>
      <c r="K49" s="43" t="s">
        <v>5469</v>
      </c>
      <c r="L49" s="43" t="s">
        <v>5469</v>
      </c>
      <c r="M49" s="78" t="s">
        <v>5470</v>
      </c>
      <c r="N49" s="43" t="s">
        <v>5469</v>
      </c>
      <c r="O49" s="43" t="s">
        <v>5471</v>
      </c>
      <c r="P49" s="44">
        <v>7</v>
      </c>
      <c r="Q49" s="43" t="s">
        <v>5472</v>
      </c>
      <c r="R49" s="43" t="s">
        <v>5473</v>
      </c>
      <c r="S49" s="43" t="s">
        <v>5474</v>
      </c>
      <c r="T49" s="43" t="s">
        <v>5474</v>
      </c>
      <c r="U49" s="43" t="s">
        <v>5475</v>
      </c>
      <c r="V49" s="43"/>
      <c r="W49" s="43"/>
      <c r="X49" s="43"/>
      <c r="Y49" s="43"/>
      <c r="Z49" s="43"/>
      <c r="AA49" s="43"/>
    </row>
    <row r="50" spans="1:27" ht="15.75" customHeight="1" x14ac:dyDescent="0.2">
      <c r="A50" s="61">
        <v>25</v>
      </c>
      <c r="B50" s="61">
        <v>15</v>
      </c>
      <c r="C50" s="201">
        <v>49</v>
      </c>
      <c r="D50" s="62" t="str">
        <f t="shared" si="0"/>
        <v>251549</v>
      </c>
      <c r="E50" s="43" t="s">
        <v>5476</v>
      </c>
      <c r="F50" s="43" t="s">
        <v>5477</v>
      </c>
      <c r="G50" s="43" t="s">
        <v>5198</v>
      </c>
      <c r="H50" s="43" t="s">
        <v>5478</v>
      </c>
      <c r="I50" s="43" t="s">
        <v>5479</v>
      </c>
      <c r="J50" s="43" t="s">
        <v>5480</v>
      </c>
      <c r="K50" s="43" t="s">
        <v>5481</v>
      </c>
      <c r="L50" s="43" t="s">
        <v>5482</v>
      </c>
      <c r="M50" s="43" t="s">
        <v>5482</v>
      </c>
      <c r="N50" s="43" t="s">
        <v>5482</v>
      </c>
      <c r="O50" s="43" t="s">
        <v>5482</v>
      </c>
      <c r="P50" s="43" t="s">
        <v>5483</v>
      </c>
      <c r="Q50" s="43" t="s">
        <v>5484</v>
      </c>
      <c r="R50" s="43" t="s">
        <v>5485</v>
      </c>
      <c r="S50" s="55" t="s">
        <v>5486</v>
      </c>
      <c r="T50" s="55" t="s">
        <v>5486</v>
      </c>
      <c r="U50" s="43" t="s">
        <v>5487</v>
      </c>
      <c r="V50" s="43"/>
      <c r="W50" s="43"/>
      <c r="X50" s="43"/>
      <c r="Y50" s="43"/>
      <c r="Z50" s="43"/>
      <c r="AA50" s="43"/>
    </row>
    <row r="51" spans="1:27" ht="15.75" customHeight="1" x14ac:dyDescent="0.2">
      <c r="A51" s="61">
        <v>25</v>
      </c>
      <c r="B51" s="61">
        <v>15</v>
      </c>
      <c r="C51" s="201">
        <v>50</v>
      </c>
      <c r="D51" s="62" t="str">
        <f t="shared" si="0"/>
        <v>251550</v>
      </c>
      <c r="E51" s="43" t="s">
        <v>5488</v>
      </c>
      <c r="F51" s="43" t="s">
        <v>5489</v>
      </c>
      <c r="G51" s="43" t="s">
        <v>5299</v>
      </c>
      <c r="H51" s="43" t="s">
        <v>5490</v>
      </c>
      <c r="I51" s="43" t="s">
        <v>5491</v>
      </c>
      <c r="J51" s="43" t="s">
        <v>5492</v>
      </c>
      <c r="K51" s="43" t="s">
        <v>5493</v>
      </c>
      <c r="L51" s="43"/>
      <c r="M51" s="43"/>
      <c r="N51" s="43" t="s">
        <v>5494</v>
      </c>
      <c r="O51" s="43"/>
      <c r="P51" s="44">
        <v>2</v>
      </c>
      <c r="Q51" s="43" t="s">
        <v>5495</v>
      </c>
      <c r="R51" s="43" t="s">
        <v>5496</v>
      </c>
      <c r="S51" s="55" t="s">
        <v>5497</v>
      </c>
      <c r="T51" s="55" t="s">
        <v>5497</v>
      </c>
      <c r="U51" s="43" t="s">
        <v>5498</v>
      </c>
      <c r="V51" s="43"/>
      <c r="W51" s="43"/>
      <c r="X51" s="43"/>
      <c r="Y51" s="43"/>
      <c r="Z51" s="43"/>
      <c r="AA51" s="43"/>
    </row>
    <row r="52" spans="1:27" ht="15.75" customHeight="1" x14ac:dyDescent="0.2">
      <c r="A52" s="61">
        <v>25</v>
      </c>
      <c r="B52" s="61">
        <v>15</v>
      </c>
      <c r="C52" s="201">
        <v>51</v>
      </c>
      <c r="D52" s="62" t="str">
        <f t="shared" si="0"/>
        <v>251551</v>
      </c>
      <c r="E52" s="43" t="s">
        <v>5499</v>
      </c>
      <c r="F52" s="43" t="s">
        <v>5500</v>
      </c>
      <c r="G52" s="43" t="s">
        <v>5294</v>
      </c>
      <c r="H52" s="43" t="s">
        <v>5501</v>
      </c>
      <c r="I52" s="43" t="s">
        <v>5502</v>
      </c>
      <c r="J52" s="43" t="s">
        <v>5502</v>
      </c>
      <c r="K52" s="43" t="s">
        <v>5503</v>
      </c>
      <c r="L52" s="43"/>
      <c r="M52" s="78" t="s">
        <v>5504</v>
      </c>
      <c r="N52" s="43" t="s">
        <v>5505</v>
      </c>
      <c r="O52" s="43"/>
      <c r="P52" s="43" t="s">
        <v>2051</v>
      </c>
      <c r="Q52" s="43" t="s">
        <v>5506</v>
      </c>
      <c r="R52" s="43" t="s">
        <v>5507</v>
      </c>
      <c r="S52" s="55" t="s">
        <v>5508</v>
      </c>
      <c r="T52" s="55" t="s">
        <v>5509</v>
      </c>
      <c r="U52" s="43" t="s">
        <v>5510</v>
      </c>
      <c r="V52" s="43"/>
      <c r="W52" s="43"/>
      <c r="X52" s="43"/>
      <c r="Y52" s="43"/>
      <c r="Z52" s="43"/>
      <c r="AA52" s="43"/>
    </row>
    <row r="53" spans="1:27" ht="15.75" customHeight="1" x14ac:dyDescent="0.15">
      <c r="A53" s="56"/>
      <c r="B53" s="56"/>
      <c r="C53" s="228"/>
      <c r="D53" s="23"/>
      <c r="E53" s="23"/>
      <c r="F53" s="23"/>
      <c r="G53" s="23"/>
      <c r="H53" s="23"/>
      <c r="I53" s="23"/>
      <c r="J53" s="23"/>
      <c r="K53" s="56"/>
      <c r="L53" s="56"/>
      <c r="M53" s="23"/>
      <c r="N53" s="23"/>
      <c r="O53" s="56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ht="15.75" customHeight="1" x14ac:dyDescent="0.15">
      <c r="A54" s="56"/>
      <c r="B54" s="56"/>
      <c r="C54" s="228"/>
      <c r="D54" s="23"/>
      <c r="E54" s="23"/>
      <c r="F54" s="23"/>
      <c r="G54" s="23"/>
      <c r="H54" s="23"/>
      <c r="I54" s="23"/>
      <c r="J54" s="23"/>
      <c r="K54" s="56"/>
      <c r="L54" s="56"/>
      <c r="M54" s="23"/>
      <c r="N54" s="23"/>
      <c r="O54" s="56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 customHeight="1" x14ac:dyDescent="0.15">
      <c r="A55" s="56"/>
      <c r="B55" s="56"/>
      <c r="C55" s="228"/>
      <c r="D55" s="23"/>
      <c r="E55" s="23"/>
      <c r="F55" s="23"/>
      <c r="G55" s="23"/>
      <c r="H55" s="23"/>
      <c r="I55" s="23"/>
      <c r="J55" s="23"/>
      <c r="K55" s="56"/>
      <c r="L55" s="56"/>
      <c r="M55" s="23"/>
      <c r="N55" s="23"/>
      <c r="O55" s="56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ht="15.75" customHeight="1" x14ac:dyDescent="0.15">
      <c r="A56" s="56"/>
      <c r="B56" s="56"/>
      <c r="C56" s="228"/>
      <c r="D56" s="23"/>
      <c r="E56" s="23"/>
      <c r="F56" s="23"/>
      <c r="G56" s="23"/>
      <c r="H56" s="23"/>
      <c r="I56" s="23"/>
      <c r="J56" s="23"/>
      <c r="K56" s="56"/>
      <c r="L56" s="56"/>
      <c r="M56" s="23"/>
      <c r="N56" s="23"/>
      <c r="O56" s="56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ht="15.75" customHeight="1" x14ac:dyDescent="0.15">
      <c r="A57" s="56"/>
      <c r="B57" s="56"/>
      <c r="C57" s="228"/>
      <c r="D57" s="23"/>
      <c r="E57" s="23"/>
      <c r="F57" s="23"/>
      <c r="G57" s="23"/>
      <c r="H57" s="23"/>
      <c r="I57" s="23"/>
      <c r="J57" s="23"/>
      <c r="K57" s="56"/>
      <c r="L57" s="56"/>
      <c r="M57" s="23"/>
      <c r="N57" s="23"/>
      <c r="O57" s="56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ht="15.75" customHeight="1" x14ac:dyDescent="0.15">
      <c r="A58" s="56"/>
      <c r="B58" s="56"/>
      <c r="C58" s="228"/>
      <c r="D58" s="23"/>
      <c r="E58" s="23"/>
      <c r="F58" s="23"/>
      <c r="G58" s="23"/>
      <c r="H58" s="23"/>
      <c r="I58" s="23"/>
      <c r="J58" s="23"/>
      <c r="K58" s="56"/>
      <c r="L58" s="56"/>
      <c r="M58" s="23"/>
      <c r="N58" s="23"/>
      <c r="O58" s="56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ht="15.75" customHeight="1" x14ac:dyDescent="0.15">
      <c r="A59" s="56"/>
      <c r="B59" s="56"/>
      <c r="C59" s="228"/>
      <c r="D59" s="23"/>
      <c r="E59" s="23"/>
      <c r="F59" s="23"/>
      <c r="G59" s="23"/>
      <c r="H59" s="23"/>
      <c r="I59" s="23"/>
      <c r="J59" s="23"/>
      <c r="K59" s="56"/>
      <c r="L59" s="56"/>
      <c r="M59" s="23"/>
      <c r="N59" s="23"/>
      <c r="O59" s="56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ht="15.75" customHeight="1" x14ac:dyDescent="0.15">
      <c r="A60" s="56"/>
      <c r="B60" s="56"/>
      <c r="C60" s="228"/>
      <c r="D60" s="23"/>
      <c r="E60" s="23"/>
      <c r="F60" s="23"/>
      <c r="G60" s="23"/>
      <c r="H60" s="23"/>
      <c r="I60" s="23"/>
      <c r="J60" s="23"/>
      <c r="K60" s="56"/>
      <c r="L60" s="56"/>
      <c r="M60" s="23"/>
      <c r="N60" s="23"/>
      <c r="O60" s="56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ht="15.75" customHeight="1" x14ac:dyDescent="0.15">
      <c r="A61" s="56"/>
      <c r="B61" s="56"/>
      <c r="C61" s="228"/>
      <c r="D61" s="23"/>
      <c r="E61" s="23"/>
      <c r="F61" s="23"/>
      <c r="G61" s="23"/>
      <c r="H61" s="23"/>
      <c r="I61" s="23"/>
      <c r="J61" s="23"/>
      <c r="K61" s="56"/>
      <c r="L61" s="56"/>
      <c r="M61" s="23"/>
      <c r="N61" s="23"/>
      <c r="O61" s="56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ht="15.75" customHeight="1" x14ac:dyDescent="0.15">
      <c r="A62" s="56"/>
      <c r="B62" s="56"/>
      <c r="C62" s="228"/>
      <c r="D62" s="23"/>
      <c r="E62" s="23"/>
      <c r="F62" s="23"/>
      <c r="G62" s="23"/>
      <c r="H62" s="23"/>
      <c r="I62" s="23"/>
      <c r="J62" s="23"/>
      <c r="K62" s="56"/>
      <c r="L62" s="56"/>
      <c r="M62" s="23"/>
      <c r="N62" s="23"/>
      <c r="O62" s="56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ht="15.75" customHeight="1" x14ac:dyDescent="0.15">
      <c r="A63" s="56"/>
      <c r="B63" s="56"/>
      <c r="C63" s="228"/>
      <c r="D63" s="23"/>
      <c r="E63" s="23"/>
      <c r="F63" s="23"/>
      <c r="G63" s="23"/>
      <c r="H63" s="23"/>
      <c r="I63" s="23"/>
      <c r="J63" s="23"/>
      <c r="K63" s="56"/>
      <c r="L63" s="56"/>
      <c r="M63" s="23"/>
      <c r="N63" s="23"/>
      <c r="O63" s="5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ht="15.75" customHeight="1" x14ac:dyDescent="0.15">
      <c r="A64" s="56"/>
      <c r="B64" s="56"/>
      <c r="C64" s="228"/>
      <c r="D64" s="23"/>
      <c r="E64" s="23"/>
      <c r="F64" s="23"/>
      <c r="G64" s="23"/>
      <c r="H64" s="23"/>
      <c r="I64" s="23"/>
      <c r="J64" s="23"/>
      <c r="K64" s="56"/>
      <c r="L64" s="56"/>
      <c r="M64" s="23"/>
      <c r="N64" s="23"/>
      <c r="O64" s="56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ht="15.75" customHeight="1" x14ac:dyDescent="0.15">
      <c r="A65" s="56"/>
      <c r="B65" s="56"/>
      <c r="C65" s="228"/>
      <c r="D65" s="23"/>
      <c r="E65" s="23"/>
      <c r="F65" s="23"/>
      <c r="G65" s="23"/>
      <c r="H65" s="23"/>
      <c r="I65" s="23"/>
      <c r="J65" s="23"/>
      <c r="K65" s="56"/>
      <c r="L65" s="56"/>
      <c r="M65" s="23"/>
      <c r="N65" s="23"/>
      <c r="O65" s="56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ht="15.75" customHeight="1" x14ac:dyDescent="0.15">
      <c r="A66" s="56"/>
      <c r="B66" s="56"/>
      <c r="C66" s="228"/>
      <c r="D66" s="23"/>
      <c r="E66" s="23"/>
      <c r="F66" s="23"/>
      <c r="G66" s="23"/>
      <c r="H66" s="23"/>
      <c r="I66" s="23"/>
      <c r="J66" s="23"/>
      <c r="K66" s="56"/>
      <c r="L66" s="56"/>
      <c r="M66" s="23"/>
      <c r="N66" s="23"/>
      <c r="O66" s="56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 customHeight="1" x14ac:dyDescent="0.15">
      <c r="A67" s="56"/>
      <c r="B67" s="56"/>
      <c r="C67" s="228"/>
      <c r="D67" s="23"/>
      <c r="E67" s="23"/>
      <c r="F67" s="23"/>
      <c r="G67" s="23"/>
      <c r="H67" s="23"/>
      <c r="I67" s="23"/>
      <c r="J67" s="23"/>
      <c r="K67" s="56"/>
      <c r="L67" s="56"/>
      <c r="M67" s="23"/>
      <c r="N67" s="23"/>
      <c r="O67" s="56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15.75" customHeight="1" x14ac:dyDescent="0.15">
      <c r="A68" s="56"/>
      <c r="B68" s="56"/>
      <c r="C68" s="228"/>
      <c r="D68" s="23"/>
      <c r="E68" s="23"/>
      <c r="F68" s="23"/>
      <c r="G68" s="23"/>
      <c r="H68" s="23"/>
      <c r="I68" s="23"/>
      <c r="J68" s="23"/>
      <c r="K68" s="56"/>
      <c r="L68" s="56"/>
      <c r="M68" s="23"/>
      <c r="N68" s="23"/>
      <c r="O68" s="56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15.75" customHeight="1" x14ac:dyDescent="0.15">
      <c r="A69" s="56"/>
      <c r="B69" s="56"/>
      <c r="C69" s="228"/>
      <c r="D69" s="23"/>
      <c r="E69" s="23"/>
      <c r="F69" s="23"/>
      <c r="G69" s="23"/>
      <c r="H69" s="23"/>
      <c r="I69" s="23"/>
      <c r="J69" s="23"/>
      <c r="K69" s="56"/>
      <c r="L69" s="56"/>
      <c r="M69" s="23"/>
      <c r="N69" s="23"/>
      <c r="O69" s="56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15.75" customHeight="1" x14ac:dyDescent="0.15">
      <c r="A70" s="56"/>
      <c r="B70" s="56"/>
      <c r="C70" s="228"/>
      <c r="D70" s="23"/>
      <c r="E70" s="23"/>
      <c r="F70" s="23"/>
      <c r="G70" s="23"/>
      <c r="H70" s="23"/>
      <c r="I70" s="23"/>
      <c r="J70" s="23"/>
      <c r="K70" s="56"/>
      <c r="L70" s="56"/>
      <c r="M70" s="23"/>
      <c r="N70" s="23"/>
      <c r="O70" s="56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15.75" customHeight="1" x14ac:dyDescent="0.15">
      <c r="A71" s="56"/>
      <c r="B71" s="56"/>
      <c r="C71" s="228"/>
      <c r="D71" s="23"/>
      <c r="E71" s="23"/>
      <c r="F71" s="23"/>
      <c r="G71" s="23"/>
      <c r="H71" s="23"/>
      <c r="I71" s="23"/>
      <c r="J71" s="23"/>
      <c r="K71" s="56"/>
      <c r="L71" s="56"/>
      <c r="M71" s="23"/>
      <c r="N71" s="23"/>
      <c r="O71" s="56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5.75" customHeight="1" x14ac:dyDescent="0.15">
      <c r="A72" s="56"/>
      <c r="B72" s="56"/>
      <c r="C72" s="228"/>
      <c r="D72" s="23"/>
      <c r="E72" s="23"/>
      <c r="F72" s="23"/>
      <c r="G72" s="23"/>
      <c r="H72" s="23"/>
      <c r="I72" s="23"/>
      <c r="J72" s="23"/>
      <c r="K72" s="56"/>
      <c r="L72" s="56"/>
      <c r="M72" s="23"/>
      <c r="N72" s="23"/>
      <c r="O72" s="56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5.75" customHeight="1" x14ac:dyDescent="0.15">
      <c r="A73" s="56"/>
      <c r="B73" s="56"/>
      <c r="C73" s="228"/>
      <c r="D73" s="23"/>
      <c r="E73" s="23"/>
      <c r="F73" s="23"/>
      <c r="G73" s="23"/>
      <c r="H73" s="23"/>
      <c r="I73" s="23"/>
      <c r="J73" s="23"/>
      <c r="K73" s="56"/>
      <c r="L73" s="56"/>
      <c r="M73" s="23"/>
      <c r="N73" s="23"/>
      <c r="O73" s="56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ht="15.75" customHeight="1" x14ac:dyDescent="0.15">
      <c r="A74" s="56"/>
      <c r="B74" s="56"/>
      <c r="C74" s="228"/>
      <c r="D74" s="23"/>
      <c r="E74" s="23"/>
      <c r="F74" s="23"/>
      <c r="G74" s="23"/>
      <c r="H74" s="23"/>
      <c r="I74" s="23"/>
      <c r="J74" s="23"/>
      <c r="K74" s="56"/>
      <c r="L74" s="56"/>
      <c r="M74" s="23"/>
      <c r="N74" s="23"/>
      <c r="O74" s="56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ht="15.75" customHeight="1" x14ac:dyDescent="0.15">
      <c r="A75" s="56"/>
      <c r="B75" s="56"/>
      <c r="C75" s="228"/>
      <c r="D75" s="23"/>
      <c r="E75" s="23"/>
      <c r="F75" s="23"/>
      <c r="G75" s="23"/>
      <c r="H75" s="23"/>
      <c r="I75" s="23"/>
      <c r="J75" s="23"/>
      <c r="K75" s="56"/>
      <c r="L75" s="56"/>
      <c r="M75" s="23"/>
      <c r="N75" s="23"/>
      <c r="O75" s="56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ht="15.75" customHeight="1" x14ac:dyDescent="0.15">
      <c r="A76" s="56"/>
      <c r="B76" s="56"/>
      <c r="C76" s="228"/>
      <c r="D76" s="23"/>
      <c r="E76" s="23"/>
      <c r="F76" s="23"/>
      <c r="G76" s="23"/>
      <c r="H76" s="23"/>
      <c r="I76" s="23"/>
      <c r="J76" s="23"/>
      <c r="K76" s="56"/>
      <c r="L76" s="56"/>
      <c r="M76" s="23"/>
      <c r="N76" s="23"/>
      <c r="O76" s="56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ht="15.75" customHeight="1" x14ac:dyDescent="0.15">
      <c r="A77" s="56"/>
      <c r="B77" s="56"/>
      <c r="C77" s="228"/>
      <c r="D77" s="23"/>
      <c r="E77" s="23"/>
      <c r="F77" s="23"/>
      <c r="G77" s="23"/>
      <c r="H77" s="23"/>
      <c r="I77" s="23"/>
      <c r="J77" s="23"/>
      <c r="K77" s="56"/>
      <c r="L77" s="56"/>
      <c r="M77" s="23"/>
      <c r="N77" s="23"/>
      <c r="O77" s="5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ht="15.75" customHeight="1" x14ac:dyDescent="0.15">
      <c r="A78" s="56"/>
      <c r="B78" s="56"/>
      <c r="C78" s="228"/>
      <c r="D78" s="23"/>
      <c r="E78" s="23"/>
      <c r="F78" s="23"/>
      <c r="G78" s="23"/>
      <c r="H78" s="23"/>
      <c r="I78" s="23"/>
      <c r="J78" s="23"/>
      <c r="K78" s="56"/>
      <c r="L78" s="56"/>
      <c r="M78" s="23"/>
      <c r="N78" s="23"/>
      <c r="O78" s="56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 customHeight="1" x14ac:dyDescent="0.15">
      <c r="A79" s="56"/>
      <c r="B79" s="56"/>
      <c r="C79" s="228"/>
      <c r="D79" s="23"/>
      <c r="E79" s="23"/>
      <c r="F79" s="23"/>
      <c r="G79" s="23"/>
      <c r="H79" s="23"/>
      <c r="I79" s="23"/>
      <c r="J79" s="23"/>
      <c r="K79" s="56"/>
      <c r="L79" s="56"/>
      <c r="M79" s="23"/>
      <c r="N79" s="23"/>
      <c r="O79" s="56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ht="15.75" customHeight="1" x14ac:dyDescent="0.15">
      <c r="A80" s="56"/>
      <c r="B80" s="56"/>
      <c r="C80" s="228"/>
      <c r="D80" s="23"/>
      <c r="E80" s="23"/>
      <c r="F80" s="23"/>
      <c r="G80" s="23"/>
      <c r="H80" s="23"/>
      <c r="I80" s="23"/>
      <c r="J80" s="23"/>
      <c r="K80" s="56"/>
      <c r="L80" s="56"/>
      <c r="M80" s="23"/>
      <c r="N80" s="23"/>
      <c r="O80" s="56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ht="15.75" customHeight="1" x14ac:dyDescent="0.15">
      <c r="A81" s="56"/>
      <c r="B81" s="56"/>
      <c r="C81" s="228"/>
      <c r="D81" s="23"/>
      <c r="E81" s="23"/>
      <c r="F81" s="23"/>
      <c r="G81" s="23"/>
      <c r="H81" s="23"/>
      <c r="I81" s="23"/>
      <c r="J81" s="23"/>
      <c r="K81" s="56"/>
      <c r="L81" s="56"/>
      <c r="M81" s="23"/>
      <c r="N81" s="23"/>
      <c r="O81" s="56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ht="15.75" customHeight="1" x14ac:dyDescent="0.15">
      <c r="A82" s="56"/>
      <c r="B82" s="56"/>
      <c r="C82" s="228"/>
      <c r="D82" s="23"/>
      <c r="E82" s="23"/>
      <c r="F82" s="23"/>
      <c r="G82" s="23"/>
      <c r="H82" s="23"/>
      <c r="I82" s="23"/>
      <c r="J82" s="23"/>
      <c r="K82" s="56"/>
      <c r="L82" s="56"/>
      <c r="M82" s="23"/>
      <c r="N82" s="23"/>
      <c r="O82" s="56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ht="15.75" customHeight="1" x14ac:dyDescent="0.15">
      <c r="A83" s="56"/>
      <c r="B83" s="56"/>
      <c r="C83" s="228"/>
      <c r="D83" s="23"/>
      <c r="E83" s="23"/>
      <c r="F83" s="23"/>
      <c r="G83" s="23"/>
      <c r="H83" s="23"/>
      <c r="I83" s="23"/>
      <c r="J83" s="23"/>
      <c r="K83" s="56"/>
      <c r="L83" s="56"/>
      <c r="M83" s="23"/>
      <c r="N83" s="23"/>
      <c r="O83" s="56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ht="15.75" customHeight="1" x14ac:dyDescent="0.15">
      <c r="A84" s="56"/>
      <c r="B84" s="56"/>
      <c r="C84" s="228"/>
      <c r="D84" s="23"/>
      <c r="E84" s="23"/>
      <c r="F84" s="23"/>
      <c r="G84" s="23"/>
      <c r="H84" s="23"/>
      <c r="I84" s="23"/>
      <c r="J84" s="23"/>
      <c r="K84" s="56"/>
      <c r="L84" s="56"/>
      <c r="M84" s="23"/>
      <c r="N84" s="23"/>
      <c r="O84" s="56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ht="15.75" customHeight="1" x14ac:dyDescent="0.15">
      <c r="A85" s="56"/>
      <c r="B85" s="56"/>
      <c r="C85" s="228"/>
      <c r="D85" s="23"/>
      <c r="E85" s="23"/>
      <c r="F85" s="23"/>
      <c r="G85" s="23"/>
      <c r="H85" s="23"/>
      <c r="I85" s="23"/>
      <c r="J85" s="23"/>
      <c r="K85" s="56"/>
      <c r="L85" s="56"/>
      <c r="M85" s="23"/>
      <c r="N85" s="23"/>
      <c r="O85" s="56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ht="15.75" customHeight="1" x14ac:dyDescent="0.15">
      <c r="A86" s="56"/>
      <c r="B86" s="56"/>
      <c r="C86" s="228"/>
      <c r="D86" s="23"/>
      <c r="E86" s="23"/>
      <c r="F86" s="23"/>
      <c r="G86" s="23"/>
      <c r="H86" s="23"/>
      <c r="I86" s="23"/>
      <c r="J86" s="23"/>
      <c r="K86" s="56"/>
      <c r="L86" s="56"/>
      <c r="M86" s="23"/>
      <c r="N86" s="23"/>
      <c r="O86" s="56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ht="15.75" customHeight="1" x14ac:dyDescent="0.15">
      <c r="A87" s="56"/>
      <c r="B87" s="56"/>
      <c r="C87" s="228"/>
      <c r="D87" s="23"/>
      <c r="E87" s="23"/>
      <c r="F87" s="23"/>
      <c r="G87" s="23"/>
      <c r="H87" s="23"/>
      <c r="I87" s="23"/>
      <c r="J87" s="23"/>
      <c r="K87" s="56"/>
      <c r="L87" s="56"/>
      <c r="M87" s="23"/>
      <c r="N87" s="23"/>
      <c r="O87" s="56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ht="15.75" customHeight="1" x14ac:dyDescent="0.15">
      <c r="A88" s="56"/>
      <c r="B88" s="56"/>
      <c r="C88" s="228"/>
      <c r="D88" s="23"/>
      <c r="E88" s="23"/>
      <c r="F88" s="23"/>
      <c r="G88" s="23"/>
      <c r="H88" s="23"/>
      <c r="I88" s="23"/>
      <c r="J88" s="23"/>
      <c r="K88" s="56"/>
      <c r="L88" s="56"/>
      <c r="M88" s="23"/>
      <c r="N88" s="23"/>
      <c r="O88" s="56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ht="15.75" customHeight="1" x14ac:dyDescent="0.15">
      <c r="A89" s="56"/>
      <c r="B89" s="56"/>
      <c r="C89" s="228"/>
      <c r="D89" s="23"/>
      <c r="E89" s="23"/>
      <c r="F89" s="23"/>
      <c r="G89" s="23"/>
      <c r="H89" s="23"/>
      <c r="I89" s="23"/>
      <c r="J89" s="23"/>
      <c r="K89" s="56"/>
      <c r="L89" s="56"/>
      <c r="M89" s="23"/>
      <c r="N89" s="23"/>
      <c r="O89" s="56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ht="15.75" customHeight="1" x14ac:dyDescent="0.15">
      <c r="A90" s="56"/>
      <c r="B90" s="56"/>
      <c r="C90" s="228"/>
      <c r="D90" s="23"/>
      <c r="E90" s="23"/>
      <c r="F90" s="23"/>
      <c r="G90" s="23"/>
      <c r="H90" s="23"/>
      <c r="I90" s="23"/>
      <c r="J90" s="23"/>
      <c r="K90" s="56"/>
      <c r="L90" s="56"/>
      <c r="M90" s="23"/>
      <c r="N90" s="23"/>
      <c r="O90" s="56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 customHeight="1" x14ac:dyDescent="0.15">
      <c r="A91" s="56"/>
      <c r="B91" s="56"/>
      <c r="C91" s="228"/>
      <c r="D91" s="23"/>
      <c r="E91" s="23"/>
      <c r="F91" s="23"/>
      <c r="G91" s="23"/>
      <c r="H91" s="23"/>
      <c r="I91" s="23"/>
      <c r="J91" s="23"/>
      <c r="K91" s="56"/>
      <c r="L91" s="56"/>
      <c r="M91" s="23"/>
      <c r="N91" s="23"/>
      <c r="O91" s="56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ht="15.75" customHeight="1" x14ac:dyDescent="0.15">
      <c r="A92" s="56"/>
      <c r="B92" s="56"/>
      <c r="C92" s="228"/>
      <c r="D92" s="23"/>
      <c r="E92" s="23"/>
      <c r="F92" s="23"/>
      <c r="G92" s="23"/>
      <c r="H92" s="23"/>
      <c r="I92" s="23"/>
      <c r="J92" s="23"/>
      <c r="K92" s="56"/>
      <c r="L92" s="56"/>
      <c r="M92" s="23"/>
      <c r="N92" s="23"/>
      <c r="O92" s="56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ht="15.75" customHeight="1" x14ac:dyDescent="0.15">
      <c r="A93" s="56"/>
      <c r="B93" s="56"/>
      <c r="C93" s="228"/>
      <c r="D93" s="23"/>
      <c r="E93" s="23"/>
      <c r="F93" s="23"/>
      <c r="G93" s="23"/>
      <c r="H93" s="23"/>
      <c r="I93" s="23"/>
      <c r="J93" s="23"/>
      <c r="K93" s="56"/>
      <c r="L93" s="56"/>
      <c r="M93" s="23"/>
      <c r="N93" s="23"/>
      <c r="O93" s="56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ht="15.75" customHeight="1" x14ac:dyDescent="0.15">
      <c r="A94" s="56"/>
      <c r="B94" s="56"/>
      <c r="C94" s="228"/>
      <c r="D94" s="23"/>
      <c r="E94" s="23"/>
      <c r="F94" s="23"/>
      <c r="G94" s="23"/>
      <c r="H94" s="23"/>
      <c r="I94" s="23"/>
      <c r="J94" s="23"/>
      <c r="K94" s="56"/>
      <c r="L94" s="56"/>
      <c r="M94" s="23"/>
      <c r="N94" s="23"/>
      <c r="O94" s="5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ht="15.75" customHeight="1" x14ac:dyDescent="0.15">
      <c r="A95" s="56"/>
      <c r="B95" s="56"/>
      <c r="C95" s="228"/>
      <c r="D95" s="23"/>
      <c r="E95" s="23"/>
      <c r="F95" s="23"/>
      <c r="G95" s="23"/>
      <c r="H95" s="23"/>
      <c r="I95" s="23"/>
      <c r="J95" s="23"/>
      <c r="K95" s="56"/>
      <c r="L95" s="56"/>
      <c r="M95" s="23"/>
      <c r="N95" s="23"/>
      <c r="O95" s="56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ht="15.75" customHeight="1" x14ac:dyDescent="0.15">
      <c r="A96" s="56"/>
      <c r="B96" s="56"/>
      <c r="C96" s="228"/>
      <c r="D96" s="23"/>
      <c r="E96" s="23"/>
      <c r="F96" s="23"/>
      <c r="G96" s="23"/>
      <c r="H96" s="23"/>
      <c r="I96" s="23"/>
      <c r="J96" s="23"/>
      <c r="K96" s="56"/>
      <c r="L96" s="56"/>
      <c r="M96" s="23"/>
      <c r="N96" s="23"/>
      <c r="O96" s="56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15.75" customHeight="1" x14ac:dyDescent="0.15">
      <c r="A97" s="56"/>
      <c r="B97" s="56"/>
      <c r="C97" s="228"/>
      <c r="D97" s="23"/>
      <c r="E97" s="23"/>
      <c r="F97" s="23"/>
      <c r="G97" s="23"/>
      <c r="H97" s="23"/>
      <c r="I97" s="23"/>
      <c r="J97" s="23"/>
      <c r="K97" s="56"/>
      <c r="L97" s="56"/>
      <c r="M97" s="23"/>
      <c r="N97" s="23"/>
      <c r="O97" s="56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15.75" customHeight="1" x14ac:dyDescent="0.15">
      <c r="A98" s="56"/>
      <c r="B98" s="56"/>
      <c r="C98" s="228"/>
      <c r="D98" s="23"/>
      <c r="E98" s="23"/>
      <c r="F98" s="23"/>
      <c r="G98" s="23"/>
      <c r="H98" s="23"/>
      <c r="I98" s="23"/>
      <c r="J98" s="23"/>
      <c r="K98" s="56"/>
      <c r="L98" s="56"/>
      <c r="M98" s="23"/>
      <c r="N98" s="23"/>
      <c r="O98" s="56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5.75" customHeight="1" x14ac:dyDescent="0.15">
      <c r="A99" s="56"/>
      <c r="B99" s="56"/>
      <c r="C99" s="228"/>
      <c r="D99" s="23"/>
      <c r="E99" s="23"/>
      <c r="F99" s="23"/>
      <c r="G99" s="23"/>
      <c r="H99" s="23"/>
      <c r="I99" s="23"/>
      <c r="J99" s="23"/>
      <c r="K99" s="56"/>
      <c r="L99" s="56"/>
      <c r="M99" s="23"/>
      <c r="N99" s="23"/>
      <c r="O99" s="56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ht="15.75" customHeight="1" x14ac:dyDescent="0.15">
      <c r="A100" s="56"/>
      <c r="B100" s="56"/>
      <c r="C100" s="228"/>
      <c r="D100" s="23"/>
      <c r="E100" s="23"/>
      <c r="F100" s="23"/>
      <c r="G100" s="23"/>
      <c r="H100" s="23"/>
      <c r="I100" s="23"/>
      <c r="J100" s="23"/>
      <c r="K100" s="56"/>
      <c r="L100" s="56"/>
      <c r="M100" s="23"/>
      <c r="N100" s="23"/>
      <c r="O100" s="56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ht="15.75" customHeight="1" x14ac:dyDescent="0.15">
      <c r="A101" s="56"/>
      <c r="B101" s="56"/>
      <c r="C101" s="228"/>
      <c r="D101" s="23"/>
      <c r="E101" s="23"/>
      <c r="F101" s="23"/>
      <c r="G101" s="23"/>
      <c r="H101" s="23"/>
      <c r="I101" s="23"/>
      <c r="J101" s="23"/>
      <c r="K101" s="56"/>
      <c r="L101" s="56"/>
      <c r="M101" s="23"/>
      <c r="N101" s="23"/>
      <c r="O101" s="56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ht="15.75" customHeight="1" x14ac:dyDescent="0.15">
      <c r="A102" s="56"/>
      <c r="B102" s="56"/>
      <c r="C102" s="228"/>
      <c r="D102" s="23"/>
      <c r="E102" s="23"/>
      <c r="F102" s="23"/>
      <c r="G102" s="23"/>
      <c r="H102" s="23"/>
      <c r="I102" s="23"/>
      <c r="J102" s="23"/>
      <c r="K102" s="56"/>
      <c r="L102" s="56"/>
      <c r="M102" s="23"/>
      <c r="N102" s="23"/>
      <c r="O102" s="56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 customHeight="1" x14ac:dyDescent="0.15">
      <c r="A103" s="56"/>
      <c r="B103" s="56"/>
      <c r="C103" s="228"/>
      <c r="D103" s="23"/>
      <c r="E103" s="23"/>
      <c r="F103" s="23"/>
      <c r="G103" s="23"/>
      <c r="H103" s="23"/>
      <c r="I103" s="23"/>
      <c r="J103" s="23"/>
      <c r="K103" s="56"/>
      <c r="L103" s="56"/>
      <c r="M103" s="23"/>
      <c r="N103" s="23"/>
      <c r="O103" s="56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ht="15.75" customHeight="1" x14ac:dyDescent="0.15">
      <c r="A104" s="56"/>
      <c r="B104" s="56"/>
      <c r="C104" s="228"/>
      <c r="D104" s="23"/>
      <c r="E104" s="23"/>
      <c r="F104" s="23"/>
      <c r="G104" s="23"/>
      <c r="H104" s="23"/>
      <c r="I104" s="23"/>
      <c r="J104" s="23"/>
      <c r="K104" s="56"/>
      <c r="L104" s="56"/>
      <c r="M104" s="23"/>
      <c r="N104" s="23"/>
      <c r="O104" s="56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ht="15.75" customHeight="1" x14ac:dyDescent="0.15">
      <c r="A105" s="56"/>
      <c r="B105" s="56"/>
      <c r="C105" s="228"/>
      <c r="D105" s="23"/>
      <c r="E105" s="23"/>
      <c r="F105" s="23"/>
      <c r="G105" s="23"/>
      <c r="H105" s="23"/>
      <c r="I105" s="23"/>
      <c r="J105" s="23"/>
      <c r="K105" s="56"/>
      <c r="L105" s="56"/>
      <c r="M105" s="23"/>
      <c r="N105" s="23"/>
      <c r="O105" s="5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ht="15.75" customHeight="1" x14ac:dyDescent="0.15">
      <c r="A106" s="56"/>
      <c r="B106" s="56"/>
      <c r="C106" s="228"/>
      <c r="D106" s="23"/>
      <c r="E106" s="23"/>
      <c r="F106" s="23"/>
      <c r="G106" s="23"/>
      <c r="H106" s="23"/>
      <c r="I106" s="23"/>
      <c r="J106" s="23"/>
      <c r="K106" s="56"/>
      <c r="L106" s="56"/>
      <c r="M106" s="23"/>
      <c r="N106" s="23"/>
      <c r="O106" s="56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ht="15.75" customHeight="1" x14ac:dyDescent="0.15">
      <c r="A107" s="56"/>
      <c r="B107" s="56"/>
      <c r="C107" s="228"/>
      <c r="D107" s="23"/>
      <c r="E107" s="23"/>
      <c r="F107" s="23"/>
      <c r="G107" s="23"/>
      <c r="H107" s="23"/>
      <c r="I107" s="23"/>
      <c r="J107" s="23"/>
      <c r="K107" s="56"/>
      <c r="L107" s="56"/>
      <c r="M107" s="23"/>
      <c r="N107" s="23"/>
      <c r="O107" s="56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ht="15.75" customHeight="1" x14ac:dyDescent="0.15">
      <c r="A108" s="56"/>
      <c r="B108" s="56"/>
      <c r="C108" s="228"/>
      <c r="D108" s="23"/>
      <c r="E108" s="23"/>
      <c r="F108" s="23"/>
      <c r="G108" s="23"/>
      <c r="H108" s="23"/>
      <c r="I108" s="23"/>
      <c r="J108" s="23"/>
      <c r="K108" s="56"/>
      <c r="L108" s="56"/>
      <c r="M108" s="23"/>
      <c r="N108" s="23"/>
      <c r="O108" s="56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ht="15.75" customHeight="1" x14ac:dyDescent="0.15">
      <c r="A109" s="56"/>
      <c r="B109" s="56"/>
      <c r="C109" s="228"/>
      <c r="D109" s="23"/>
      <c r="E109" s="23"/>
      <c r="F109" s="23"/>
      <c r="G109" s="23"/>
      <c r="H109" s="23"/>
      <c r="I109" s="23"/>
      <c r="J109" s="23"/>
      <c r="K109" s="56"/>
      <c r="L109" s="56"/>
      <c r="M109" s="23"/>
      <c r="N109" s="23"/>
      <c r="O109" s="56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ht="15.75" customHeight="1" x14ac:dyDescent="0.15">
      <c r="A110" s="56"/>
      <c r="B110" s="56"/>
      <c r="C110" s="228"/>
      <c r="D110" s="23"/>
      <c r="E110" s="23"/>
      <c r="F110" s="23"/>
      <c r="G110" s="23"/>
      <c r="H110" s="23"/>
      <c r="I110" s="23"/>
      <c r="J110" s="23"/>
      <c r="K110" s="56"/>
      <c r="L110" s="56"/>
      <c r="M110" s="23"/>
      <c r="N110" s="23"/>
      <c r="O110" s="56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ht="15.75" customHeight="1" x14ac:dyDescent="0.15">
      <c r="A111" s="56"/>
      <c r="B111" s="56"/>
      <c r="C111" s="228"/>
      <c r="D111" s="23"/>
      <c r="E111" s="23"/>
      <c r="F111" s="23"/>
      <c r="G111" s="23"/>
      <c r="H111" s="23"/>
      <c r="I111" s="23"/>
      <c r="J111" s="23"/>
      <c r="K111" s="56"/>
      <c r="L111" s="56"/>
      <c r="M111" s="23"/>
      <c r="N111" s="23"/>
      <c r="O111" s="56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ht="15.75" customHeight="1" x14ac:dyDescent="0.15">
      <c r="A112" s="56"/>
      <c r="B112" s="56"/>
      <c r="C112" s="228"/>
      <c r="D112" s="23"/>
      <c r="E112" s="23"/>
      <c r="F112" s="23"/>
      <c r="G112" s="23"/>
      <c r="H112" s="23"/>
      <c r="I112" s="23"/>
      <c r="J112" s="23"/>
      <c r="K112" s="56"/>
      <c r="L112" s="56"/>
      <c r="M112" s="23"/>
      <c r="N112" s="23"/>
      <c r="O112" s="56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ht="15.75" customHeight="1" x14ac:dyDescent="0.15">
      <c r="A113" s="56"/>
      <c r="B113" s="56"/>
      <c r="C113" s="228"/>
      <c r="D113" s="23"/>
      <c r="E113" s="23"/>
      <c r="F113" s="23"/>
      <c r="G113" s="23"/>
      <c r="H113" s="23"/>
      <c r="I113" s="23"/>
      <c r="J113" s="23"/>
      <c r="K113" s="56"/>
      <c r="L113" s="56"/>
      <c r="M113" s="23"/>
      <c r="N113" s="23"/>
      <c r="O113" s="56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ht="15.75" customHeight="1" x14ac:dyDescent="0.15">
      <c r="A114" s="56"/>
      <c r="B114" s="56"/>
      <c r="C114" s="228"/>
      <c r="D114" s="23"/>
      <c r="E114" s="23"/>
      <c r="F114" s="23"/>
      <c r="G114" s="23"/>
      <c r="H114" s="23"/>
      <c r="I114" s="23"/>
      <c r="J114" s="23"/>
      <c r="K114" s="56"/>
      <c r="L114" s="56"/>
      <c r="M114" s="23"/>
      <c r="N114" s="23"/>
      <c r="O114" s="56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ht="15.75" customHeight="1" x14ac:dyDescent="0.15">
      <c r="A115" s="56"/>
      <c r="B115" s="56"/>
      <c r="C115" s="228"/>
      <c r="D115" s="23"/>
      <c r="E115" s="23"/>
      <c r="F115" s="23"/>
      <c r="G115" s="23"/>
      <c r="H115" s="23"/>
      <c r="I115" s="23"/>
      <c r="J115" s="23"/>
      <c r="K115" s="56"/>
      <c r="L115" s="56"/>
      <c r="M115" s="23"/>
      <c r="N115" s="23"/>
      <c r="O115" s="56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ht="15.75" customHeight="1" x14ac:dyDescent="0.15">
      <c r="A116" s="56"/>
      <c r="B116" s="56"/>
      <c r="C116" s="228"/>
      <c r="D116" s="23"/>
      <c r="E116" s="23"/>
      <c r="F116" s="23"/>
      <c r="G116" s="23"/>
      <c r="H116" s="23"/>
      <c r="I116" s="23"/>
      <c r="J116" s="23"/>
      <c r="K116" s="56"/>
      <c r="L116" s="56"/>
      <c r="M116" s="23"/>
      <c r="N116" s="23"/>
      <c r="O116" s="56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ht="15.75" customHeight="1" x14ac:dyDescent="0.15">
      <c r="A117" s="56"/>
      <c r="B117" s="56"/>
      <c r="C117" s="228"/>
      <c r="D117" s="23"/>
      <c r="E117" s="23"/>
      <c r="F117" s="23"/>
      <c r="G117" s="23"/>
      <c r="H117" s="23"/>
      <c r="I117" s="23"/>
      <c r="J117" s="23"/>
      <c r="K117" s="56"/>
      <c r="L117" s="56"/>
      <c r="M117" s="23"/>
      <c r="N117" s="23"/>
      <c r="O117" s="56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ht="15.75" customHeight="1" x14ac:dyDescent="0.15">
      <c r="A118" s="56"/>
      <c r="B118" s="56"/>
      <c r="C118" s="228"/>
      <c r="D118" s="23"/>
      <c r="E118" s="23"/>
      <c r="F118" s="23"/>
      <c r="G118" s="23"/>
      <c r="H118" s="23"/>
      <c r="I118" s="23"/>
      <c r="J118" s="23"/>
      <c r="K118" s="56"/>
      <c r="L118" s="56"/>
      <c r="M118" s="23"/>
      <c r="N118" s="23"/>
      <c r="O118" s="56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ht="15.75" customHeight="1" x14ac:dyDescent="0.15">
      <c r="A119" s="56"/>
      <c r="B119" s="56"/>
      <c r="C119" s="228"/>
      <c r="D119" s="23"/>
      <c r="E119" s="23"/>
      <c r="F119" s="23"/>
      <c r="G119" s="23"/>
      <c r="H119" s="23"/>
      <c r="I119" s="23"/>
      <c r="J119" s="23"/>
      <c r="K119" s="56"/>
      <c r="L119" s="56"/>
      <c r="M119" s="23"/>
      <c r="N119" s="23"/>
      <c r="O119" s="56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ht="15.75" customHeight="1" x14ac:dyDescent="0.15">
      <c r="A120" s="56"/>
      <c r="B120" s="56"/>
      <c r="C120" s="228"/>
      <c r="D120" s="23"/>
      <c r="E120" s="23"/>
      <c r="F120" s="23"/>
      <c r="G120" s="23"/>
      <c r="H120" s="23"/>
      <c r="I120" s="23"/>
      <c r="J120" s="23"/>
      <c r="K120" s="56"/>
      <c r="L120" s="56"/>
      <c r="M120" s="23"/>
      <c r="N120" s="23"/>
      <c r="O120" s="5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ht="15.75" customHeight="1" x14ac:dyDescent="0.15">
      <c r="A121" s="56"/>
      <c r="B121" s="56"/>
      <c r="C121" s="228"/>
      <c r="D121" s="23"/>
      <c r="E121" s="23"/>
      <c r="F121" s="23"/>
      <c r="G121" s="23"/>
      <c r="H121" s="23"/>
      <c r="I121" s="23"/>
      <c r="J121" s="23"/>
      <c r="K121" s="56"/>
      <c r="L121" s="56"/>
      <c r="M121" s="23"/>
      <c r="N121" s="23"/>
      <c r="O121" s="5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ht="15.75" customHeight="1" x14ac:dyDescent="0.15">
      <c r="A122" s="56"/>
      <c r="B122" s="56"/>
      <c r="C122" s="228"/>
      <c r="D122" s="23"/>
      <c r="E122" s="23"/>
      <c r="F122" s="23"/>
      <c r="G122" s="23"/>
      <c r="H122" s="23"/>
      <c r="I122" s="23"/>
      <c r="J122" s="23"/>
      <c r="K122" s="56"/>
      <c r="L122" s="56"/>
      <c r="M122" s="23"/>
      <c r="N122" s="23"/>
      <c r="O122" s="56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ht="15.75" customHeight="1" x14ac:dyDescent="0.15">
      <c r="A123" s="56"/>
      <c r="B123" s="56"/>
      <c r="C123" s="228"/>
      <c r="D123" s="23"/>
      <c r="E123" s="23"/>
      <c r="F123" s="23"/>
      <c r="G123" s="23"/>
      <c r="H123" s="23"/>
      <c r="I123" s="23"/>
      <c r="J123" s="23"/>
      <c r="K123" s="56"/>
      <c r="L123" s="56"/>
      <c r="M123" s="23"/>
      <c r="N123" s="23"/>
      <c r="O123" s="56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ht="15.75" customHeight="1" x14ac:dyDescent="0.15">
      <c r="A124" s="56"/>
      <c r="B124" s="56"/>
      <c r="C124" s="228"/>
      <c r="D124" s="23"/>
      <c r="E124" s="23"/>
      <c r="F124" s="23"/>
      <c r="G124" s="23"/>
      <c r="H124" s="23"/>
      <c r="I124" s="23"/>
      <c r="J124" s="23"/>
      <c r="K124" s="56"/>
      <c r="L124" s="56"/>
      <c r="M124" s="23"/>
      <c r="N124" s="23"/>
      <c r="O124" s="56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ht="15.75" customHeight="1" x14ac:dyDescent="0.15">
      <c r="A125" s="56"/>
      <c r="B125" s="56"/>
      <c r="C125" s="228"/>
      <c r="D125" s="23"/>
      <c r="E125" s="23"/>
      <c r="F125" s="23"/>
      <c r="G125" s="23"/>
      <c r="H125" s="23"/>
      <c r="I125" s="23"/>
      <c r="J125" s="23"/>
      <c r="K125" s="56"/>
      <c r="L125" s="56"/>
      <c r="M125" s="23"/>
      <c r="N125" s="23"/>
      <c r="O125" s="56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ht="15.75" customHeight="1" x14ac:dyDescent="0.15">
      <c r="A126" s="56"/>
      <c r="B126" s="56"/>
      <c r="C126" s="228"/>
      <c r="D126" s="23"/>
      <c r="E126" s="23"/>
      <c r="F126" s="23"/>
      <c r="G126" s="23"/>
      <c r="H126" s="23"/>
      <c r="I126" s="23"/>
      <c r="J126" s="23"/>
      <c r="K126" s="56"/>
      <c r="L126" s="56"/>
      <c r="M126" s="23"/>
      <c r="N126" s="23"/>
      <c r="O126" s="56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ht="15.75" customHeight="1" x14ac:dyDescent="0.15">
      <c r="A127" s="56"/>
      <c r="B127" s="56"/>
      <c r="C127" s="228"/>
      <c r="D127" s="23"/>
      <c r="E127" s="23"/>
      <c r="F127" s="23"/>
      <c r="G127" s="23"/>
      <c r="H127" s="23"/>
      <c r="I127" s="23"/>
      <c r="J127" s="23"/>
      <c r="K127" s="56"/>
      <c r="L127" s="56"/>
      <c r="M127" s="23"/>
      <c r="N127" s="23"/>
      <c r="O127" s="56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ht="15.75" customHeight="1" x14ac:dyDescent="0.15">
      <c r="A128" s="56"/>
      <c r="B128" s="56"/>
      <c r="C128" s="228"/>
      <c r="D128" s="23"/>
      <c r="E128" s="23"/>
      <c r="F128" s="23"/>
      <c r="G128" s="23"/>
      <c r="H128" s="23"/>
      <c r="I128" s="23"/>
      <c r="J128" s="23"/>
      <c r="K128" s="56"/>
      <c r="L128" s="56"/>
      <c r="M128" s="23"/>
      <c r="N128" s="23"/>
      <c r="O128" s="56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ht="15.75" customHeight="1" x14ac:dyDescent="0.15">
      <c r="A129" s="56"/>
      <c r="B129" s="56"/>
      <c r="C129" s="228"/>
      <c r="D129" s="23"/>
      <c r="E129" s="23"/>
      <c r="F129" s="23"/>
      <c r="G129" s="23"/>
      <c r="H129" s="23"/>
      <c r="I129" s="23"/>
      <c r="J129" s="23"/>
      <c r="K129" s="56"/>
      <c r="L129" s="56"/>
      <c r="M129" s="23"/>
      <c r="N129" s="23"/>
      <c r="O129" s="56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ht="15.75" customHeight="1" x14ac:dyDescent="0.15">
      <c r="A130" s="56"/>
      <c r="B130" s="56"/>
      <c r="C130" s="228"/>
      <c r="D130" s="23"/>
      <c r="E130" s="23"/>
      <c r="F130" s="23"/>
      <c r="G130" s="23"/>
      <c r="H130" s="23"/>
      <c r="I130" s="23"/>
      <c r="J130" s="23"/>
      <c r="K130" s="56"/>
      <c r="L130" s="56"/>
      <c r="M130" s="23"/>
      <c r="N130" s="23"/>
      <c r="O130" s="56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ht="15.75" customHeight="1" x14ac:dyDescent="0.15">
      <c r="A131" s="56"/>
      <c r="B131" s="56"/>
      <c r="C131" s="228"/>
      <c r="D131" s="23"/>
      <c r="E131" s="23"/>
      <c r="F131" s="23"/>
      <c r="G131" s="23"/>
      <c r="H131" s="23"/>
      <c r="I131" s="23"/>
      <c r="J131" s="23"/>
      <c r="K131" s="56"/>
      <c r="L131" s="56"/>
      <c r="M131" s="23"/>
      <c r="N131" s="23"/>
      <c r="O131" s="56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ht="15.75" customHeight="1" x14ac:dyDescent="0.15">
      <c r="A132" s="56"/>
      <c r="B132" s="56"/>
      <c r="C132" s="228"/>
      <c r="D132" s="23"/>
      <c r="E132" s="23"/>
      <c r="F132" s="23"/>
      <c r="G132" s="23"/>
      <c r="H132" s="23"/>
      <c r="I132" s="23"/>
      <c r="J132" s="23"/>
      <c r="K132" s="56"/>
      <c r="L132" s="56"/>
      <c r="M132" s="23"/>
      <c r="N132" s="23"/>
      <c r="O132" s="56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ht="15.75" customHeight="1" x14ac:dyDescent="0.15">
      <c r="A133" s="56"/>
      <c r="B133" s="56"/>
      <c r="C133" s="228"/>
      <c r="D133" s="23"/>
      <c r="E133" s="23"/>
      <c r="F133" s="23"/>
      <c r="G133" s="23"/>
      <c r="H133" s="23"/>
      <c r="I133" s="23"/>
      <c r="J133" s="23"/>
      <c r="K133" s="56"/>
      <c r="L133" s="56"/>
      <c r="M133" s="23"/>
      <c r="N133" s="23"/>
      <c r="O133" s="56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ht="15.75" customHeight="1" x14ac:dyDescent="0.15">
      <c r="A134" s="56"/>
      <c r="B134" s="56"/>
      <c r="C134" s="228"/>
      <c r="D134" s="23"/>
      <c r="E134" s="23"/>
      <c r="F134" s="23"/>
      <c r="G134" s="23"/>
      <c r="H134" s="23"/>
      <c r="I134" s="23"/>
      <c r="J134" s="23"/>
      <c r="K134" s="56"/>
      <c r="L134" s="56"/>
      <c r="M134" s="23"/>
      <c r="N134" s="23"/>
      <c r="O134" s="56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ht="15.75" customHeight="1" x14ac:dyDescent="0.15">
      <c r="A135" s="56"/>
      <c r="B135" s="56"/>
      <c r="C135" s="228"/>
      <c r="D135" s="23"/>
      <c r="E135" s="23"/>
      <c r="F135" s="23"/>
      <c r="G135" s="23"/>
      <c r="H135" s="23"/>
      <c r="I135" s="23"/>
      <c r="J135" s="23"/>
      <c r="K135" s="56"/>
      <c r="L135" s="56"/>
      <c r="M135" s="23"/>
      <c r="N135" s="23"/>
      <c r="O135" s="56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ht="15.75" customHeight="1" x14ac:dyDescent="0.15">
      <c r="A136" s="56"/>
      <c r="B136" s="56"/>
      <c r="C136" s="228"/>
      <c r="D136" s="23"/>
      <c r="E136" s="23"/>
      <c r="F136" s="23"/>
      <c r="G136" s="23"/>
      <c r="H136" s="23"/>
      <c r="I136" s="23"/>
      <c r="J136" s="23"/>
      <c r="K136" s="56"/>
      <c r="L136" s="56"/>
      <c r="M136" s="23"/>
      <c r="N136" s="23"/>
      <c r="O136" s="56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ht="15.75" customHeight="1" x14ac:dyDescent="0.15">
      <c r="A137" s="56"/>
      <c r="B137" s="56"/>
      <c r="C137" s="228"/>
      <c r="D137" s="23"/>
      <c r="E137" s="23"/>
      <c r="F137" s="23"/>
      <c r="G137" s="23"/>
      <c r="H137" s="23"/>
      <c r="I137" s="23"/>
      <c r="J137" s="23"/>
      <c r="K137" s="56"/>
      <c r="L137" s="56"/>
      <c r="M137" s="23"/>
      <c r="N137" s="23"/>
      <c r="O137" s="56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ht="15.75" customHeight="1" x14ac:dyDescent="0.15">
      <c r="A138" s="56"/>
      <c r="B138" s="56"/>
      <c r="C138" s="228"/>
      <c r="D138" s="23"/>
      <c r="E138" s="23"/>
      <c r="F138" s="23"/>
      <c r="G138" s="23"/>
      <c r="H138" s="23"/>
      <c r="I138" s="23"/>
      <c r="J138" s="23"/>
      <c r="K138" s="56"/>
      <c r="L138" s="56"/>
      <c r="M138" s="23"/>
      <c r="N138" s="23"/>
      <c r="O138" s="56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ht="15.75" customHeight="1" x14ac:dyDescent="0.15">
      <c r="A139" s="56"/>
      <c r="B139" s="56"/>
      <c r="C139" s="228"/>
      <c r="D139" s="23"/>
      <c r="E139" s="23"/>
      <c r="F139" s="23"/>
      <c r="G139" s="23"/>
      <c r="H139" s="23"/>
      <c r="I139" s="23"/>
      <c r="J139" s="23"/>
      <c r="K139" s="56"/>
      <c r="L139" s="56"/>
      <c r="M139" s="23"/>
      <c r="N139" s="23"/>
      <c r="O139" s="56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ht="15.75" customHeight="1" x14ac:dyDescent="0.15">
      <c r="A140" s="56"/>
      <c r="B140" s="56"/>
      <c r="C140" s="228"/>
      <c r="D140" s="23"/>
      <c r="E140" s="23"/>
      <c r="F140" s="23"/>
      <c r="G140" s="23"/>
      <c r="H140" s="23"/>
      <c r="I140" s="23"/>
      <c r="J140" s="23"/>
      <c r="K140" s="56"/>
      <c r="L140" s="56"/>
      <c r="M140" s="23"/>
      <c r="N140" s="23"/>
      <c r="O140" s="56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ht="15.75" customHeight="1" x14ac:dyDescent="0.15">
      <c r="A141" s="56"/>
      <c r="B141" s="56"/>
      <c r="C141" s="228"/>
      <c r="D141" s="23"/>
      <c r="E141" s="23"/>
      <c r="F141" s="23"/>
      <c r="G141" s="23"/>
      <c r="H141" s="23"/>
      <c r="I141" s="23"/>
      <c r="J141" s="23"/>
      <c r="K141" s="56"/>
      <c r="L141" s="56"/>
      <c r="M141" s="23"/>
      <c r="N141" s="23"/>
      <c r="O141" s="56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ht="15.75" customHeight="1" x14ac:dyDescent="0.15">
      <c r="A142" s="56"/>
      <c r="B142" s="56"/>
      <c r="C142" s="228"/>
      <c r="D142" s="23"/>
      <c r="E142" s="23"/>
      <c r="F142" s="23"/>
      <c r="G142" s="23"/>
      <c r="H142" s="23"/>
      <c r="I142" s="23"/>
      <c r="J142" s="23"/>
      <c r="K142" s="56"/>
      <c r="L142" s="56"/>
      <c r="M142" s="23"/>
      <c r="N142" s="23"/>
      <c r="O142" s="56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ht="15.75" customHeight="1" x14ac:dyDescent="0.15">
      <c r="A143" s="56"/>
      <c r="B143" s="56"/>
      <c r="C143" s="228"/>
      <c r="D143" s="23"/>
      <c r="E143" s="23"/>
      <c r="F143" s="23"/>
      <c r="G143" s="23"/>
      <c r="H143" s="23"/>
      <c r="I143" s="23"/>
      <c r="J143" s="23"/>
      <c r="K143" s="56"/>
      <c r="L143" s="56"/>
      <c r="M143" s="23"/>
      <c r="N143" s="23"/>
      <c r="O143" s="56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ht="15.75" customHeight="1" x14ac:dyDescent="0.15">
      <c r="A144" s="56"/>
      <c r="B144" s="56"/>
      <c r="C144" s="228"/>
      <c r="D144" s="23"/>
      <c r="E144" s="23"/>
      <c r="F144" s="23"/>
      <c r="G144" s="23"/>
      <c r="H144" s="23"/>
      <c r="I144" s="23"/>
      <c r="J144" s="23"/>
      <c r="K144" s="56"/>
      <c r="L144" s="56"/>
      <c r="M144" s="23"/>
      <c r="N144" s="23"/>
      <c r="O144" s="56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ht="15.75" customHeight="1" x14ac:dyDescent="0.15">
      <c r="A145" s="56"/>
      <c r="B145" s="56"/>
      <c r="C145" s="228"/>
      <c r="D145" s="23"/>
      <c r="E145" s="23"/>
      <c r="F145" s="23"/>
      <c r="G145" s="23"/>
      <c r="H145" s="23"/>
      <c r="I145" s="23"/>
      <c r="J145" s="23"/>
      <c r="K145" s="56"/>
      <c r="L145" s="56"/>
      <c r="M145" s="23"/>
      <c r="N145" s="23"/>
      <c r="O145" s="56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ht="15.75" customHeight="1" x14ac:dyDescent="0.15">
      <c r="A146" s="56"/>
      <c r="B146" s="56"/>
      <c r="C146" s="228"/>
      <c r="D146" s="23"/>
      <c r="E146" s="23"/>
      <c r="F146" s="23"/>
      <c r="G146" s="23"/>
      <c r="H146" s="23"/>
      <c r="I146" s="23"/>
      <c r="J146" s="23"/>
      <c r="K146" s="56"/>
      <c r="L146" s="56"/>
      <c r="M146" s="23"/>
      <c r="N146" s="23"/>
      <c r="O146" s="56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ht="15.75" customHeight="1" x14ac:dyDescent="0.15">
      <c r="A147" s="56"/>
      <c r="B147" s="56"/>
      <c r="C147" s="228"/>
      <c r="D147" s="23"/>
      <c r="E147" s="23"/>
      <c r="F147" s="23"/>
      <c r="G147" s="23"/>
      <c r="H147" s="23"/>
      <c r="I147" s="23"/>
      <c r="J147" s="23"/>
      <c r="K147" s="56"/>
      <c r="L147" s="56"/>
      <c r="M147" s="23"/>
      <c r="N147" s="23"/>
      <c r="O147" s="56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ht="15.75" customHeight="1" x14ac:dyDescent="0.15">
      <c r="A148" s="56"/>
      <c r="B148" s="56"/>
      <c r="C148" s="228"/>
      <c r="D148" s="23"/>
      <c r="E148" s="23"/>
      <c r="F148" s="23"/>
      <c r="G148" s="23"/>
      <c r="H148" s="23"/>
      <c r="I148" s="23"/>
      <c r="J148" s="23"/>
      <c r="K148" s="56"/>
      <c r="L148" s="56"/>
      <c r="M148" s="23"/>
      <c r="N148" s="23"/>
      <c r="O148" s="56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ht="15.75" customHeight="1" x14ac:dyDescent="0.15">
      <c r="A149" s="56"/>
      <c r="B149" s="56"/>
      <c r="C149" s="228"/>
      <c r="D149" s="23"/>
      <c r="E149" s="23"/>
      <c r="F149" s="23"/>
      <c r="G149" s="23"/>
      <c r="H149" s="23"/>
      <c r="I149" s="23"/>
      <c r="J149" s="23"/>
      <c r="K149" s="56"/>
      <c r="L149" s="56"/>
      <c r="M149" s="23"/>
      <c r="N149" s="23"/>
      <c r="O149" s="56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ht="15.75" customHeight="1" x14ac:dyDescent="0.15">
      <c r="A150" s="56"/>
      <c r="B150" s="56"/>
      <c r="C150" s="228"/>
      <c r="D150" s="23"/>
      <c r="E150" s="23"/>
      <c r="F150" s="23"/>
      <c r="G150" s="23"/>
      <c r="H150" s="23"/>
      <c r="I150" s="23"/>
      <c r="J150" s="23"/>
      <c r="K150" s="56"/>
      <c r="L150" s="56"/>
      <c r="M150" s="23"/>
      <c r="N150" s="23"/>
      <c r="O150" s="56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ht="15.75" customHeight="1" x14ac:dyDescent="0.15">
      <c r="A151" s="56"/>
      <c r="B151" s="56"/>
      <c r="C151" s="228"/>
      <c r="D151" s="23"/>
      <c r="E151" s="23"/>
      <c r="F151" s="23"/>
      <c r="G151" s="23"/>
      <c r="H151" s="23"/>
      <c r="I151" s="23"/>
      <c r="J151" s="23"/>
      <c r="K151" s="56"/>
      <c r="L151" s="56"/>
      <c r="M151" s="23"/>
      <c r="N151" s="23"/>
      <c r="O151" s="56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ht="15.75" customHeight="1" x14ac:dyDescent="0.15">
      <c r="A152" s="56"/>
      <c r="B152" s="56"/>
      <c r="C152" s="228"/>
      <c r="D152" s="23"/>
      <c r="E152" s="23"/>
      <c r="F152" s="23"/>
      <c r="G152" s="23"/>
      <c r="H152" s="23"/>
      <c r="I152" s="23"/>
      <c r="J152" s="23"/>
      <c r="K152" s="56"/>
      <c r="L152" s="56"/>
      <c r="M152" s="23"/>
      <c r="N152" s="23"/>
      <c r="O152" s="56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ht="15.75" customHeight="1" x14ac:dyDescent="0.15">
      <c r="A153" s="56"/>
      <c r="B153" s="56"/>
      <c r="C153" s="228"/>
      <c r="D153" s="23"/>
      <c r="E153" s="23"/>
      <c r="F153" s="23"/>
      <c r="G153" s="23"/>
      <c r="H153" s="23"/>
      <c r="I153" s="23"/>
      <c r="J153" s="23"/>
      <c r="K153" s="56"/>
      <c r="L153" s="56"/>
      <c r="M153" s="23"/>
      <c r="N153" s="23"/>
      <c r="O153" s="56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ht="15.75" customHeight="1" x14ac:dyDescent="0.15">
      <c r="A154" s="56"/>
      <c r="B154" s="56"/>
      <c r="C154" s="228"/>
      <c r="D154" s="23"/>
      <c r="E154" s="23"/>
      <c r="F154" s="23"/>
      <c r="G154" s="23"/>
      <c r="H154" s="23"/>
      <c r="I154" s="23"/>
      <c r="J154" s="23"/>
      <c r="K154" s="56"/>
      <c r="L154" s="56"/>
      <c r="M154" s="23"/>
      <c r="N154" s="23"/>
      <c r="O154" s="56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ht="15.75" customHeight="1" x14ac:dyDescent="0.15">
      <c r="A155" s="56"/>
      <c r="B155" s="56"/>
      <c r="C155" s="228"/>
      <c r="D155" s="23"/>
      <c r="E155" s="23"/>
      <c r="F155" s="23"/>
      <c r="G155" s="23"/>
      <c r="H155" s="23"/>
      <c r="I155" s="23"/>
      <c r="J155" s="23"/>
      <c r="K155" s="56"/>
      <c r="L155" s="56"/>
      <c r="M155" s="23"/>
      <c r="N155" s="23"/>
      <c r="O155" s="56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ht="15.75" customHeight="1" x14ac:dyDescent="0.15">
      <c r="A156" s="56"/>
      <c r="B156" s="56"/>
      <c r="C156" s="228"/>
      <c r="D156" s="23"/>
      <c r="E156" s="23"/>
      <c r="F156" s="23"/>
      <c r="G156" s="23"/>
      <c r="H156" s="23"/>
      <c r="I156" s="23"/>
      <c r="J156" s="23"/>
      <c r="K156" s="56"/>
      <c r="L156" s="56"/>
      <c r="M156" s="23"/>
      <c r="N156" s="23"/>
      <c r="O156" s="56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ht="15.75" customHeight="1" x14ac:dyDescent="0.15">
      <c r="A157" s="56"/>
      <c r="B157" s="56"/>
      <c r="C157" s="228"/>
      <c r="D157" s="23"/>
      <c r="E157" s="23"/>
      <c r="F157" s="23"/>
      <c r="G157" s="23"/>
      <c r="H157" s="23"/>
      <c r="I157" s="23"/>
      <c r="J157" s="23"/>
      <c r="K157" s="56"/>
      <c r="L157" s="56"/>
      <c r="M157" s="23"/>
      <c r="N157" s="23"/>
      <c r="O157" s="56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ht="15.75" customHeight="1" x14ac:dyDescent="0.15">
      <c r="A158" s="56"/>
      <c r="B158" s="56"/>
      <c r="C158" s="228"/>
      <c r="D158" s="23"/>
      <c r="E158" s="23"/>
      <c r="F158" s="23"/>
      <c r="G158" s="23"/>
      <c r="H158" s="23"/>
      <c r="I158" s="23"/>
      <c r="J158" s="23"/>
      <c r="K158" s="56"/>
      <c r="L158" s="56"/>
      <c r="M158" s="23"/>
      <c r="N158" s="23"/>
      <c r="O158" s="56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ht="15.75" customHeight="1" x14ac:dyDescent="0.15">
      <c r="A159" s="56"/>
      <c r="B159" s="56"/>
      <c r="C159" s="228"/>
      <c r="D159" s="23"/>
      <c r="E159" s="23"/>
      <c r="F159" s="23"/>
      <c r="G159" s="23"/>
      <c r="H159" s="23"/>
      <c r="I159" s="23"/>
      <c r="J159" s="23"/>
      <c r="K159" s="56"/>
      <c r="L159" s="56"/>
      <c r="M159" s="23"/>
      <c r="N159" s="23"/>
      <c r="O159" s="56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ht="15.75" customHeight="1" x14ac:dyDescent="0.15">
      <c r="A160" s="56"/>
      <c r="B160" s="56"/>
      <c r="C160" s="228"/>
      <c r="D160" s="23"/>
      <c r="E160" s="23"/>
      <c r="F160" s="23"/>
      <c r="G160" s="23"/>
      <c r="H160" s="23"/>
      <c r="I160" s="23"/>
      <c r="J160" s="23"/>
      <c r="K160" s="56"/>
      <c r="L160" s="56"/>
      <c r="M160" s="23"/>
      <c r="N160" s="23"/>
      <c r="O160" s="56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ht="15.75" customHeight="1" x14ac:dyDescent="0.15">
      <c r="A161" s="56"/>
      <c r="B161" s="56"/>
      <c r="C161" s="228"/>
      <c r="D161" s="23"/>
      <c r="E161" s="23"/>
      <c r="F161" s="23"/>
      <c r="G161" s="23"/>
      <c r="H161" s="23"/>
      <c r="I161" s="23"/>
      <c r="J161" s="23"/>
      <c r="K161" s="56"/>
      <c r="L161" s="56"/>
      <c r="M161" s="23"/>
      <c r="N161" s="23"/>
      <c r="O161" s="56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ht="15.75" customHeight="1" x14ac:dyDescent="0.15">
      <c r="A162" s="56"/>
      <c r="B162" s="56"/>
      <c r="C162" s="228"/>
      <c r="D162" s="23"/>
      <c r="E162" s="23"/>
      <c r="F162" s="23"/>
      <c r="G162" s="23"/>
      <c r="H162" s="23"/>
      <c r="I162" s="23"/>
      <c r="J162" s="23"/>
      <c r="K162" s="56"/>
      <c r="L162" s="56"/>
      <c r="M162" s="23"/>
      <c r="N162" s="23"/>
      <c r="O162" s="56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ht="15.75" customHeight="1" x14ac:dyDescent="0.15">
      <c r="A163" s="56"/>
      <c r="B163" s="56"/>
      <c r="C163" s="228"/>
      <c r="D163" s="23"/>
      <c r="E163" s="23"/>
      <c r="F163" s="23"/>
      <c r="G163" s="23"/>
      <c r="H163" s="23"/>
      <c r="I163" s="23"/>
      <c r="J163" s="23"/>
      <c r="K163" s="56"/>
      <c r="L163" s="56"/>
      <c r="M163" s="23"/>
      <c r="N163" s="23"/>
      <c r="O163" s="56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ht="15.75" customHeight="1" x14ac:dyDescent="0.15">
      <c r="A164" s="56"/>
      <c r="B164" s="56"/>
      <c r="C164" s="228"/>
      <c r="D164" s="23"/>
      <c r="E164" s="23"/>
      <c r="F164" s="23"/>
      <c r="G164" s="23"/>
      <c r="H164" s="23"/>
      <c r="I164" s="23"/>
      <c r="J164" s="23"/>
      <c r="K164" s="56"/>
      <c r="L164" s="56"/>
      <c r="M164" s="23"/>
      <c r="N164" s="23"/>
      <c r="O164" s="56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ht="15.75" customHeight="1" x14ac:dyDescent="0.15">
      <c r="A165" s="56"/>
      <c r="B165" s="56"/>
      <c r="C165" s="228"/>
      <c r="D165" s="23"/>
      <c r="E165" s="23"/>
      <c r="F165" s="23"/>
      <c r="G165" s="23"/>
      <c r="H165" s="23"/>
      <c r="I165" s="23"/>
      <c r="J165" s="23"/>
      <c r="K165" s="56"/>
      <c r="L165" s="56"/>
      <c r="M165" s="23"/>
      <c r="N165" s="23"/>
      <c r="O165" s="56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ht="15.75" customHeight="1" x14ac:dyDescent="0.15">
      <c r="A166" s="56"/>
      <c r="B166" s="56"/>
      <c r="C166" s="228"/>
      <c r="D166" s="23"/>
      <c r="E166" s="23"/>
      <c r="F166" s="23"/>
      <c r="G166" s="23"/>
      <c r="H166" s="23"/>
      <c r="I166" s="23"/>
      <c r="J166" s="23"/>
      <c r="K166" s="56"/>
      <c r="L166" s="56"/>
      <c r="M166" s="23"/>
      <c r="N166" s="23"/>
      <c r="O166" s="56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ht="15.75" customHeight="1" x14ac:dyDescent="0.15">
      <c r="A167" s="56"/>
      <c r="B167" s="56"/>
      <c r="C167" s="228"/>
      <c r="D167" s="23"/>
      <c r="E167" s="23"/>
      <c r="F167" s="23"/>
      <c r="G167" s="23"/>
      <c r="H167" s="23"/>
      <c r="I167" s="23"/>
      <c r="J167" s="23"/>
      <c r="K167" s="56"/>
      <c r="L167" s="56"/>
      <c r="M167" s="23"/>
      <c r="N167" s="23"/>
      <c r="O167" s="56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ht="15.75" customHeight="1" x14ac:dyDescent="0.15">
      <c r="A168" s="56"/>
      <c r="B168" s="56"/>
      <c r="C168" s="228"/>
      <c r="D168" s="23"/>
      <c r="E168" s="23"/>
      <c r="F168" s="23"/>
      <c r="G168" s="23"/>
      <c r="H168" s="23"/>
      <c r="I168" s="23"/>
      <c r="J168" s="23"/>
      <c r="K168" s="56"/>
      <c r="L168" s="56"/>
      <c r="M168" s="23"/>
      <c r="N168" s="23"/>
      <c r="O168" s="56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ht="15.75" customHeight="1" x14ac:dyDescent="0.15">
      <c r="A169" s="56"/>
      <c r="B169" s="56"/>
      <c r="C169" s="228"/>
      <c r="D169" s="23"/>
      <c r="E169" s="23"/>
      <c r="F169" s="23"/>
      <c r="G169" s="23"/>
      <c r="H169" s="23"/>
      <c r="I169" s="23"/>
      <c r="J169" s="23"/>
      <c r="K169" s="56"/>
      <c r="L169" s="56"/>
      <c r="M169" s="23"/>
      <c r="N169" s="23"/>
      <c r="O169" s="56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ht="15.75" customHeight="1" x14ac:dyDescent="0.15">
      <c r="A170" s="56"/>
      <c r="B170" s="56"/>
      <c r="C170" s="228"/>
      <c r="D170" s="23"/>
      <c r="E170" s="23"/>
      <c r="F170" s="23"/>
      <c r="G170" s="23"/>
      <c r="H170" s="23"/>
      <c r="I170" s="23"/>
      <c r="J170" s="23"/>
      <c r="K170" s="56"/>
      <c r="L170" s="56"/>
      <c r="M170" s="23"/>
      <c r="N170" s="23"/>
      <c r="O170" s="56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ht="15.75" customHeight="1" x14ac:dyDescent="0.15">
      <c r="A171" s="56"/>
      <c r="B171" s="56"/>
      <c r="C171" s="228"/>
      <c r="D171" s="23"/>
      <c r="E171" s="23"/>
      <c r="F171" s="23"/>
      <c r="G171" s="23"/>
      <c r="H171" s="23"/>
      <c r="I171" s="23"/>
      <c r="J171" s="23"/>
      <c r="K171" s="56"/>
      <c r="L171" s="56"/>
      <c r="M171" s="23"/>
      <c r="N171" s="23"/>
      <c r="O171" s="56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ht="15.75" customHeight="1" x14ac:dyDescent="0.15">
      <c r="A172" s="56"/>
      <c r="B172" s="56"/>
      <c r="C172" s="228"/>
      <c r="D172" s="23"/>
      <c r="E172" s="23"/>
      <c r="F172" s="23"/>
      <c r="G172" s="23"/>
      <c r="H172" s="23"/>
      <c r="I172" s="23"/>
      <c r="J172" s="23"/>
      <c r="K172" s="56"/>
      <c r="L172" s="56"/>
      <c r="M172" s="23"/>
      <c r="N172" s="23"/>
      <c r="O172" s="56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ht="15.75" customHeight="1" x14ac:dyDescent="0.15">
      <c r="A173" s="56"/>
      <c r="B173" s="56"/>
      <c r="C173" s="228"/>
      <c r="D173" s="23"/>
      <c r="E173" s="23"/>
      <c r="F173" s="23"/>
      <c r="G173" s="23"/>
      <c r="H173" s="23"/>
      <c r="I173" s="23"/>
      <c r="J173" s="23"/>
      <c r="K173" s="56"/>
      <c r="L173" s="56"/>
      <c r="M173" s="23"/>
      <c r="N173" s="23"/>
      <c r="O173" s="56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ht="15.75" customHeight="1" x14ac:dyDescent="0.15">
      <c r="A174" s="56"/>
      <c r="B174" s="56"/>
      <c r="C174" s="228"/>
      <c r="D174" s="23"/>
      <c r="E174" s="23"/>
      <c r="F174" s="23"/>
      <c r="G174" s="23"/>
      <c r="H174" s="23"/>
      <c r="I174" s="23"/>
      <c r="J174" s="23"/>
      <c r="K174" s="56"/>
      <c r="L174" s="56"/>
      <c r="M174" s="23"/>
      <c r="N174" s="23"/>
      <c r="O174" s="56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ht="15.75" customHeight="1" x14ac:dyDescent="0.15">
      <c r="A175" s="56"/>
      <c r="B175" s="56"/>
      <c r="C175" s="228"/>
      <c r="D175" s="23"/>
      <c r="E175" s="23"/>
      <c r="F175" s="23"/>
      <c r="G175" s="23"/>
      <c r="H175" s="23"/>
      <c r="I175" s="23"/>
      <c r="J175" s="23"/>
      <c r="K175" s="56"/>
      <c r="L175" s="56"/>
      <c r="M175" s="23"/>
      <c r="N175" s="23"/>
      <c r="O175" s="56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ht="15.75" customHeight="1" x14ac:dyDescent="0.15">
      <c r="A176" s="56"/>
      <c r="B176" s="56"/>
      <c r="C176" s="228"/>
      <c r="D176" s="23"/>
      <c r="E176" s="23"/>
      <c r="F176" s="23"/>
      <c r="G176" s="23"/>
      <c r="H176" s="23"/>
      <c r="I176" s="23"/>
      <c r="J176" s="23"/>
      <c r="K176" s="56"/>
      <c r="L176" s="56"/>
      <c r="M176" s="23"/>
      <c r="N176" s="23"/>
      <c r="O176" s="56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ht="15.75" customHeight="1" x14ac:dyDescent="0.15">
      <c r="A177" s="56"/>
      <c r="B177" s="56"/>
      <c r="C177" s="228"/>
      <c r="D177" s="23"/>
      <c r="E177" s="23"/>
      <c r="F177" s="23"/>
      <c r="G177" s="23"/>
      <c r="H177" s="23"/>
      <c r="I177" s="23"/>
      <c r="J177" s="23"/>
      <c r="K177" s="56"/>
      <c r="L177" s="56"/>
      <c r="M177" s="23"/>
      <c r="N177" s="23"/>
      <c r="O177" s="56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ht="15.75" customHeight="1" x14ac:dyDescent="0.15">
      <c r="A178" s="56"/>
      <c r="B178" s="56"/>
      <c r="C178" s="228"/>
      <c r="D178" s="23"/>
      <c r="E178" s="23"/>
      <c r="F178" s="23"/>
      <c r="G178" s="23"/>
      <c r="H178" s="23"/>
      <c r="I178" s="23"/>
      <c r="J178" s="23"/>
      <c r="K178" s="56"/>
      <c r="L178" s="56"/>
      <c r="M178" s="23"/>
      <c r="N178" s="23"/>
      <c r="O178" s="56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ht="15.75" customHeight="1" x14ac:dyDescent="0.15">
      <c r="A179" s="56"/>
      <c r="B179" s="56"/>
      <c r="C179" s="228"/>
      <c r="D179" s="23"/>
      <c r="E179" s="23"/>
      <c r="F179" s="23"/>
      <c r="G179" s="23"/>
      <c r="H179" s="23"/>
      <c r="I179" s="23"/>
      <c r="J179" s="23"/>
      <c r="K179" s="56"/>
      <c r="L179" s="56"/>
      <c r="M179" s="23"/>
      <c r="N179" s="23"/>
      <c r="O179" s="56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ht="15.75" customHeight="1" x14ac:dyDescent="0.15">
      <c r="A180" s="56"/>
      <c r="B180" s="56"/>
      <c r="C180" s="228"/>
      <c r="D180" s="23"/>
      <c r="E180" s="23"/>
      <c r="F180" s="23"/>
      <c r="G180" s="23"/>
      <c r="H180" s="23"/>
      <c r="I180" s="23"/>
      <c r="J180" s="23"/>
      <c r="K180" s="56"/>
      <c r="L180" s="56"/>
      <c r="M180" s="23"/>
      <c r="N180" s="23"/>
      <c r="O180" s="56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ht="15.75" customHeight="1" x14ac:dyDescent="0.15">
      <c r="A181" s="56"/>
      <c r="B181" s="56"/>
      <c r="C181" s="228"/>
      <c r="D181" s="23"/>
      <c r="E181" s="23"/>
      <c r="F181" s="23"/>
      <c r="G181" s="23"/>
      <c r="H181" s="23"/>
      <c r="I181" s="23"/>
      <c r="J181" s="23"/>
      <c r="K181" s="56"/>
      <c r="L181" s="56"/>
      <c r="M181" s="23"/>
      <c r="N181" s="23"/>
      <c r="O181" s="56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ht="15.75" customHeight="1" x14ac:dyDescent="0.15">
      <c r="A182" s="56"/>
      <c r="B182" s="56"/>
      <c r="C182" s="228"/>
      <c r="D182" s="23"/>
      <c r="E182" s="23"/>
      <c r="F182" s="23"/>
      <c r="G182" s="23"/>
      <c r="H182" s="23"/>
      <c r="I182" s="23"/>
      <c r="J182" s="23"/>
      <c r="K182" s="56"/>
      <c r="L182" s="56"/>
      <c r="M182" s="23"/>
      <c r="N182" s="23"/>
      <c r="O182" s="56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ht="15.75" customHeight="1" x14ac:dyDescent="0.15">
      <c r="A183" s="56"/>
      <c r="B183" s="56"/>
      <c r="C183" s="228"/>
      <c r="D183" s="23"/>
      <c r="E183" s="23"/>
      <c r="F183" s="23"/>
      <c r="G183" s="23"/>
      <c r="H183" s="23"/>
      <c r="I183" s="23"/>
      <c r="J183" s="23"/>
      <c r="K183" s="56"/>
      <c r="L183" s="56"/>
      <c r="M183" s="23"/>
      <c r="N183" s="23"/>
      <c r="O183" s="56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ht="15.75" customHeight="1" x14ac:dyDescent="0.15">
      <c r="A184" s="56"/>
      <c r="B184" s="56"/>
      <c r="C184" s="228"/>
      <c r="D184" s="23"/>
      <c r="E184" s="23"/>
      <c r="F184" s="23"/>
      <c r="G184" s="23"/>
      <c r="H184" s="23"/>
      <c r="I184" s="23"/>
      <c r="J184" s="23"/>
      <c r="K184" s="56"/>
      <c r="L184" s="56"/>
      <c r="M184" s="23"/>
      <c r="N184" s="23"/>
      <c r="O184" s="56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ht="15.75" customHeight="1" x14ac:dyDescent="0.15">
      <c r="A185" s="56"/>
      <c r="B185" s="56"/>
      <c r="C185" s="228"/>
      <c r="D185" s="23"/>
      <c r="E185" s="23"/>
      <c r="F185" s="23"/>
      <c r="G185" s="23"/>
      <c r="H185" s="23"/>
      <c r="I185" s="23"/>
      <c r="J185" s="23"/>
      <c r="K185" s="56"/>
      <c r="L185" s="56"/>
      <c r="M185" s="23"/>
      <c r="N185" s="23"/>
      <c r="O185" s="56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ht="15.75" customHeight="1" x14ac:dyDescent="0.15">
      <c r="A186" s="56"/>
      <c r="B186" s="56"/>
      <c r="C186" s="228"/>
      <c r="D186" s="23"/>
      <c r="E186" s="23"/>
      <c r="F186" s="23"/>
      <c r="G186" s="23"/>
      <c r="H186" s="23"/>
      <c r="I186" s="23"/>
      <c r="J186" s="23"/>
      <c r="K186" s="56"/>
      <c r="L186" s="56"/>
      <c r="M186" s="23"/>
      <c r="N186" s="23"/>
      <c r="O186" s="56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ht="15.75" customHeight="1" x14ac:dyDescent="0.15">
      <c r="A187" s="56"/>
      <c r="B187" s="56"/>
      <c r="C187" s="228"/>
      <c r="D187" s="23"/>
      <c r="E187" s="23"/>
      <c r="F187" s="23"/>
      <c r="G187" s="23"/>
      <c r="H187" s="23"/>
      <c r="I187" s="23"/>
      <c r="J187" s="23"/>
      <c r="K187" s="56"/>
      <c r="L187" s="56"/>
      <c r="M187" s="23"/>
      <c r="N187" s="23"/>
      <c r="O187" s="56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ht="15.75" customHeight="1" x14ac:dyDescent="0.15">
      <c r="A188" s="56"/>
      <c r="B188" s="56"/>
      <c r="C188" s="228"/>
      <c r="D188" s="23"/>
      <c r="E188" s="23"/>
      <c r="F188" s="23"/>
      <c r="G188" s="23"/>
      <c r="H188" s="23"/>
      <c r="I188" s="23"/>
      <c r="J188" s="23"/>
      <c r="K188" s="56"/>
      <c r="L188" s="56"/>
      <c r="M188" s="23"/>
      <c r="N188" s="23"/>
      <c r="O188" s="56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ht="15.75" customHeight="1" x14ac:dyDescent="0.15">
      <c r="A189" s="56"/>
      <c r="B189" s="56"/>
      <c r="C189" s="228"/>
      <c r="D189" s="23"/>
      <c r="E189" s="23"/>
      <c r="F189" s="23"/>
      <c r="G189" s="23"/>
      <c r="H189" s="23"/>
      <c r="I189" s="23"/>
      <c r="J189" s="23"/>
      <c r="K189" s="56"/>
      <c r="L189" s="56"/>
      <c r="M189" s="23"/>
      <c r="N189" s="23"/>
      <c r="O189" s="56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ht="15.75" customHeight="1" x14ac:dyDescent="0.15">
      <c r="A190" s="56"/>
      <c r="B190" s="56"/>
      <c r="C190" s="228"/>
      <c r="D190" s="23"/>
      <c r="E190" s="23"/>
      <c r="F190" s="23"/>
      <c r="G190" s="23"/>
      <c r="H190" s="23"/>
      <c r="I190" s="23"/>
      <c r="J190" s="23"/>
      <c r="K190" s="56"/>
      <c r="L190" s="56"/>
      <c r="M190" s="23"/>
      <c r="N190" s="23"/>
      <c r="O190" s="56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ht="15.75" customHeight="1" x14ac:dyDescent="0.15">
      <c r="A191" s="56"/>
      <c r="B191" s="56"/>
      <c r="C191" s="228"/>
      <c r="D191" s="23"/>
      <c r="E191" s="23"/>
      <c r="F191" s="23"/>
      <c r="G191" s="23"/>
      <c r="H191" s="23"/>
      <c r="I191" s="23"/>
      <c r="J191" s="23"/>
      <c r="K191" s="56"/>
      <c r="L191" s="56"/>
      <c r="M191" s="23"/>
      <c r="N191" s="23"/>
      <c r="O191" s="56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ht="15.75" customHeight="1" x14ac:dyDescent="0.15">
      <c r="A192" s="56"/>
      <c r="B192" s="56"/>
      <c r="C192" s="228"/>
      <c r="D192" s="23"/>
      <c r="E192" s="23"/>
      <c r="F192" s="23"/>
      <c r="G192" s="23"/>
      <c r="H192" s="23"/>
      <c r="I192" s="23"/>
      <c r="J192" s="23"/>
      <c r="K192" s="56"/>
      <c r="L192" s="56"/>
      <c r="M192" s="23"/>
      <c r="N192" s="23"/>
      <c r="O192" s="56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ht="15.75" customHeight="1" x14ac:dyDescent="0.15">
      <c r="A193" s="56"/>
      <c r="B193" s="56"/>
      <c r="C193" s="228"/>
      <c r="D193" s="23"/>
      <c r="E193" s="23"/>
      <c r="F193" s="23"/>
      <c r="G193" s="23"/>
      <c r="H193" s="23"/>
      <c r="I193" s="23"/>
      <c r="J193" s="23"/>
      <c r="K193" s="56"/>
      <c r="L193" s="56"/>
      <c r="M193" s="23"/>
      <c r="N193" s="23"/>
      <c r="O193" s="56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ht="15.75" customHeight="1" x14ac:dyDescent="0.15">
      <c r="A194" s="56"/>
      <c r="B194" s="56"/>
      <c r="C194" s="228"/>
      <c r="D194" s="23"/>
      <c r="E194" s="23"/>
      <c r="F194" s="23"/>
      <c r="G194" s="23"/>
      <c r="H194" s="23"/>
      <c r="I194" s="23"/>
      <c r="J194" s="23"/>
      <c r="K194" s="56"/>
      <c r="L194" s="56"/>
      <c r="M194" s="23"/>
      <c r="N194" s="23"/>
      <c r="O194" s="56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ht="15.75" customHeight="1" x14ac:dyDescent="0.15">
      <c r="A195" s="56"/>
      <c r="B195" s="56"/>
      <c r="C195" s="228"/>
      <c r="D195" s="23"/>
      <c r="E195" s="23"/>
      <c r="F195" s="23"/>
      <c r="G195" s="23"/>
      <c r="H195" s="23"/>
      <c r="I195" s="23"/>
      <c r="J195" s="23"/>
      <c r="K195" s="56"/>
      <c r="L195" s="56"/>
      <c r="M195" s="23"/>
      <c r="N195" s="23"/>
      <c r="O195" s="56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ht="15.75" customHeight="1" x14ac:dyDescent="0.15">
      <c r="A196" s="56"/>
      <c r="B196" s="56"/>
      <c r="C196" s="228"/>
      <c r="D196" s="23"/>
      <c r="E196" s="23"/>
      <c r="F196" s="23"/>
      <c r="G196" s="23"/>
      <c r="H196" s="23"/>
      <c r="I196" s="23"/>
      <c r="J196" s="23"/>
      <c r="K196" s="56"/>
      <c r="L196" s="56"/>
      <c r="M196" s="23"/>
      <c r="N196" s="23"/>
      <c r="O196" s="56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ht="15.75" customHeight="1" x14ac:dyDescent="0.15">
      <c r="A197" s="56"/>
      <c r="B197" s="56"/>
      <c r="C197" s="228"/>
      <c r="D197" s="23"/>
      <c r="E197" s="23"/>
      <c r="F197" s="23"/>
      <c r="G197" s="23"/>
      <c r="H197" s="23"/>
      <c r="I197" s="23"/>
      <c r="J197" s="23"/>
      <c r="K197" s="56"/>
      <c r="L197" s="56"/>
      <c r="M197" s="23"/>
      <c r="N197" s="23"/>
      <c r="O197" s="56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ht="15.75" customHeight="1" x14ac:dyDescent="0.15">
      <c r="A198" s="56"/>
      <c r="B198" s="56"/>
      <c r="C198" s="228"/>
      <c r="D198" s="23"/>
      <c r="E198" s="23"/>
      <c r="F198" s="23"/>
      <c r="G198" s="23"/>
      <c r="H198" s="23"/>
      <c r="I198" s="23"/>
      <c r="J198" s="23"/>
      <c r="K198" s="56"/>
      <c r="L198" s="56"/>
      <c r="M198" s="23"/>
      <c r="N198" s="23"/>
      <c r="O198" s="56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ht="15.75" customHeight="1" x14ac:dyDescent="0.15">
      <c r="A199" s="56"/>
      <c r="B199" s="56"/>
      <c r="C199" s="228"/>
      <c r="D199" s="23"/>
      <c r="E199" s="23"/>
      <c r="F199" s="23"/>
      <c r="G199" s="23"/>
      <c r="H199" s="23"/>
      <c r="I199" s="23"/>
      <c r="J199" s="23"/>
      <c r="K199" s="56"/>
      <c r="L199" s="56"/>
      <c r="M199" s="23"/>
      <c r="N199" s="23"/>
      <c r="O199" s="56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ht="15.75" customHeight="1" x14ac:dyDescent="0.15">
      <c r="A200" s="56"/>
      <c r="B200" s="56"/>
      <c r="C200" s="228"/>
      <c r="D200" s="23"/>
      <c r="E200" s="23"/>
      <c r="F200" s="23"/>
      <c r="G200" s="23"/>
      <c r="H200" s="23"/>
      <c r="I200" s="23"/>
      <c r="J200" s="23"/>
      <c r="K200" s="56"/>
      <c r="L200" s="56"/>
      <c r="M200" s="23"/>
      <c r="N200" s="23"/>
      <c r="O200" s="56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ht="15.75" customHeight="1" x14ac:dyDescent="0.15">
      <c r="A201" s="56"/>
      <c r="B201" s="56"/>
      <c r="C201" s="228"/>
      <c r="D201" s="23"/>
      <c r="E201" s="23"/>
      <c r="F201" s="23"/>
      <c r="G201" s="23"/>
      <c r="H201" s="23"/>
      <c r="I201" s="23"/>
      <c r="J201" s="23"/>
      <c r="K201" s="56"/>
      <c r="L201" s="56"/>
      <c r="M201" s="23"/>
      <c r="N201" s="23"/>
      <c r="O201" s="56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ht="15.75" customHeight="1" x14ac:dyDescent="0.15">
      <c r="A202" s="56"/>
      <c r="B202" s="56"/>
      <c r="C202" s="228"/>
      <c r="D202" s="23"/>
      <c r="E202" s="23"/>
      <c r="F202" s="23"/>
      <c r="G202" s="23"/>
      <c r="H202" s="23"/>
      <c r="I202" s="23"/>
      <c r="J202" s="23"/>
      <c r="K202" s="56"/>
      <c r="L202" s="56"/>
      <c r="M202" s="23"/>
      <c r="N202" s="23"/>
      <c r="O202" s="56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ht="15.75" customHeight="1" x14ac:dyDescent="0.15">
      <c r="A203" s="56"/>
      <c r="B203" s="56"/>
      <c r="C203" s="228"/>
      <c r="D203" s="23"/>
      <c r="E203" s="23"/>
      <c r="F203" s="23"/>
      <c r="G203" s="23"/>
      <c r="H203" s="23"/>
      <c r="I203" s="23"/>
      <c r="J203" s="23"/>
      <c r="K203" s="56"/>
      <c r="L203" s="56"/>
      <c r="M203" s="23"/>
      <c r="N203" s="23"/>
      <c r="O203" s="56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ht="15.75" customHeight="1" x14ac:dyDescent="0.15">
      <c r="A204" s="56"/>
      <c r="B204" s="56"/>
      <c r="C204" s="228"/>
      <c r="D204" s="23"/>
      <c r="E204" s="23"/>
      <c r="F204" s="23"/>
      <c r="G204" s="23"/>
      <c r="H204" s="23"/>
      <c r="I204" s="23"/>
      <c r="J204" s="23"/>
      <c r="K204" s="56"/>
      <c r="L204" s="56"/>
      <c r="M204" s="23"/>
      <c r="N204" s="23"/>
      <c r="O204" s="56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ht="15.75" customHeight="1" x14ac:dyDescent="0.15">
      <c r="A205" s="56"/>
      <c r="B205" s="56"/>
      <c r="C205" s="228"/>
      <c r="D205" s="23"/>
      <c r="E205" s="23"/>
      <c r="F205" s="23"/>
      <c r="G205" s="23"/>
      <c r="H205" s="23"/>
      <c r="I205" s="23"/>
      <c r="J205" s="23"/>
      <c r="K205" s="56"/>
      <c r="L205" s="56"/>
      <c r="M205" s="23"/>
      <c r="N205" s="23"/>
      <c r="O205" s="56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ht="15.75" customHeight="1" x14ac:dyDescent="0.15">
      <c r="A206" s="56"/>
      <c r="B206" s="56"/>
      <c r="C206" s="228"/>
      <c r="D206" s="23"/>
      <c r="E206" s="23"/>
      <c r="F206" s="23"/>
      <c r="G206" s="23"/>
      <c r="H206" s="23"/>
      <c r="I206" s="23"/>
      <c r="J206" s="23"/>
      <c r="K206" s="56"/>
      <c r="L206" s="56"/>
      <c r="M206" s="23"/>
      <c r="N206" s="23"/>
      <c r="O206" s="56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ht="15.75" customHeight="1" x14ac:dyDescent="0.15">
      <c r="A207" s="56"/>
      <c r="B207" s="56"/>
      <c r="C207" s="228"/>
      <c r="D207" s="23"/>
      <c r="E207" s="23"/>
      <c r="F207" s="23"/>
      <c r="G207" s="23"/>
      <c r="H207" s="23"/>
      <c r="I207" s="23"/>
      <c r="J207" s="23"/>
      <c r="K207" s="56"/>
      <c r="L207" s="56"/>
      <c r="M207" s="23"/>
      <c r="N207" s="23"/>
      <c r="O207" s="56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ht="15.75" customHeight="1" x14ac:dyDescent="0.15">
      <c r="A208" s="56"/>
      <c r="B208" s="56"/>
      <c r="C208" s="228"/>
      <c r="D208" s="23"/>
      <c r="E208" s="23"/>
      <c r="F208" s="23"/>
      <c r="G208" s="23"/>
      <c r="H208" s="23"/>
      <c r="I208" s="23"/>
      <c r="J208" s="23"/>
      <c r="K208" s="56"/>
      <c r="L208" s="56"/>
      <c r="M208" s="23"/>
      <c r="N208" s="23"/>
      <c r="O208" s="56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ht="15.75" customHeight="1" x14ac:dyDescent="0.15">
      <c r="A209" s="56"/>
      <c r="B209" s="56"/>
      <c r="C209" s="228"/>
      <c r="D209" s="23"/>
      <c r="E209" s="23"/>
      <c r="F209" s="23"/>
      <c r="G209" s="23"/>
      <c r="H209" s="23"/>
      <c r="I209" s="23"/>
      <c r="J209" s="23"/>
      <c r="K209" s="56"/>
      <c r="L209" s="56"/>
      <c r="M209" s="23"/>
      <c r="N209" s="23"/>
      <c r="O209" s="56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ht="15.75" customHeight="1" x14ac:dyDescent="0.15">
      <c r="A210" s="56"/>
      <c r="B210" s="56"/>
      <c r="C210" s="228"/>
      <c r="D210" s="23"/>
      <c r="E210" s="23"/>
      <c r="F210" s="23"/>
      <c r="G210" s="23"/>
      <c r="H210" s="23"/>
      <c r="I210" s="23"/>
      <c r="J210" s="23"/>
      <c r="K210" s="56"/>
      <c r="L210" s="56"/>
      <c r="M210" s="23"/>
      <c r="N210" s="23"/>
      <c r="O210" s="56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ht="15.75" customHeight="1" x14ac:dyDescent="0.15">
      <c r="A211" s="56"/>
      <c r="B211" s="56"/>
      <c r="C211" s="228"/>
      <c r="D211" s="23"/>
      <c r="E211" s="23"/>
      <c r="F211" s="23"/>
      <c r="G211" s="23"/>
      <c r="H211" s="23"/>
      <c r="I211" s="23"/>
      <c r="J211" s="23"/>
      <c r="K211" s="56"/>
      <c r="L211" s="56"/>
      <c r="M211" s="23"/>
      <c r="N211" s="23"/>
      <c r="O211" s="56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ht="15.75" customHeight="1" x14ac:dyDescent="0.15">
      <c r="A212" s="56"/>
      <c r="B212" s="56"/>
      <c r="C212" s="228"/>
      <c r="D212" s="23"/>
      <c r="E212" s="23"/>
      <c r="F212" s="23"/>
      <c r="G212" s="23"/>
      <c r="H212" s="23"/>
      <c r="I212" s="23"/>
      <c r="J212" s="23"/>
      <c r="K212" s="56"/>
      <c r="L212" s="56"/>
      <c r="M212" s="23"/>
      <c r="N212" s="23"/>
      <c r="O212" s="56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ht="15.75" customHeight="1" x14ac:dyDescent="0.15">
      <c r="A213" s="56"/>
      <c r="B213" s="56"/>
      <c r="C213" s="228"/>
      <c r="D213" s="23"/>
      <c r="E213" s="23"/>
      <c r="F213" s="23"/>
      <c r="G213" s="23"/>
      <c r="H213" s="23"/>
      <c r="I213" s="23"/>
      <c r="J213" s="23"/>
      <c r="K213" s="56"/>
      <c r="L213" s="56"/>
      <c r="M213" s="23"/>
      <c r="N213" s="23"/>
      <c r="O213" s="56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ht="15.75" customHeight="1" x14ac:dyDescent="0.15">
      <c r="A214" s="56"/>
      <c r="B214" s="56"/>
      <c r="C214" s="228"/>
      <c r="D214" s="23"/>
      <c r="E214" s="23"/>
      <c r="F214" s="23"/>
      <c r="G214" s="23"/>
      <c r="H214" s="23"/>
      <c r="I214" s="23"/>
      <c r="J214" s="23"/>
      <c r="K214" s="56"/>
      <c r="L214" s="56"/>
      <c r="M214" s="23"/>
      <c r="N214" s="23"/>
      <c r="O214" s="56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5.75" customHeight="1" x14ac:dyDescent="0.15">
      <c r="A215" s="56"/>
      <c r="B215" s="56"/>
      <c r="C215" s="228"/>
      <c r="D215" s="23"/>
      <c r="E215" s="23"/>
      <c r="F215" s="23"/>
      <c r="G215" s="23"/>
      <c r="H215" s="23"/>
      <c r="I215" s="23"/>
      <c r="J215" s="23"/>
      <c r="K215" s="56"/>
      <c r="L215" s="56"/>
      <c r="M215" s="23"/>
      <c r="N215" s="23"/>
      <c r="O215" s="56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5.75" customHeight="1" x14ac:dyDescent="0.15">
      <c r="A216" s="56"/>
      <c r="B216" s="56"/>
      <c r="C216" s="228"/>
      <c r="D216" s="23"/>
      <c r="E216" s="23"/>
      <c r="F216" s="23"/>
      <c r="G216" s="23"/>
      <c r="H216" s="23"/>
      <c r="I216" s="23"/>
      <c r="J216" s="23"/>
      <c r="K216" s="56"/>
      <c r="L216" s="56"/>
      <c r="M216" s="23"/>
      <c r="N216" s="23"/>
      <c r="O216" s="56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5.75" customHeight="1" x14ac:dyDescent="0.15">
      <c r="A217" s="56"/>
      <c r="B217" s="56"/>
      <c r="C217" s="228"/>
      <c r="D217" s="23"/>
      <c r="E217" s="23"/>
      <c r="F217" s="23"/>
      <c r="G217" s="23"/>
      <c r="H217" s="23"/>
      <c r="I217" s="23"/>
      <c r="J217" s="23"/>
      <c r="K217" s="56"/>
      <c r="L217" s="56"/>
      <c r="M217" s="23"/>
      <c r="N217" s="23"/>
      <c r="O217" s="56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5.75" customHeight="1" x14ac:dyDescent="0.15">
      <c r="A218" s="56"/>
      <c r="B218" s="56"/>
      <c r="C218" s="228"/>
      <c r="D218" s="23"/>
      <c r="E218" s="23"/>
      <c r="F218" s="23"/>
      <c r="G218" s="23"/>
      <c r="H218" s="23"/>
      <c r="I218" s="23"/>
      <c r="J218" s="23"/>
      <c r="K218" s="56"/>
      <c r="L218" s="56"/>
      <c r="M218" s="23"/>
      <c r="N218" s="23"/>
      <c r="O218" s="56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5.75" customHeight="1" x14ac:dyDescent="0.15">
      <c r="A219" s="56"/>
      <c r="B219" s="56"/>
      <c r="C219" s="228"/>
      <c r="D219" s="23"/>
      <c r="E219" s="23"/>
      <c r="F219" s="23"/>
      <c r="G219" s="23"/>
      <c r="H219" s="23"/>
      <c r="I219" s="23"/>
      <c r="J219" s="23"/>
      <c r="K219" s="56"/>
      <c r="L219" s="56"/>
      <c r="M219" s="23"/>
      <c r="N219" s="23"/>
      <c r="O219" s="56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5.75" customHeight="1" x14ac:dyDescent="0.15">
      <c r="A220" s="56"/>
      <c r="B220" s="56"/>
      <c r="C220" s="228"/>
      <c r="D220" s="23"/>
      <c r="E220" s="23"/>
      <c r="F220" s="23"/>
      <c r="G220" s="23"/>
      <c r="H220" s="23"/>
      <c r="I220" s="23"/>
      <c r="J220" s="23"/>
      <c r="K220" s="56"/>
      <c r="L220" s="56"/>
      <c r="M220" s="23"/>
      <c r="N220" s="23"/>
      <c r="O220" s="56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5.75" customHeight="1" x14ac:dyDescent="0.15">
      <c r="A221" s="56"/>
      <c r="B221" s="56"/>
      <c r="C221" s="228"/>
      <c r="D221" s="23"/>
      <c r="E221" s="23"/>
      <c r="F221" s="23"/>
      <c r="G221" s="23"/>
      <c r="H221" s="23"/>
      <c r="I221" s="23"/>
      <c r="J221" s="23"/>
      <c r="K221" s="56"/>
      <c r="L221" s="56"/>
      <c r="M221" s="23"/>
      <c r="N221" s="23"/>
      <c r="O221" s="56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5.75" customHeight="1" x14ac:dyDescent="0.15">
      <c r="A222" s="56"/>
      <c r="B222" s="56"/>
      <c r="C222" s="228"/>
      <c r="D222" s="23"/>
      <c r="E222" s="23"/>
      <c r="F222" s="23"/>
      <c r="G222" s="23"/>
      <c r="H222" s="23"/>
      <c r="I222" s="23"/>
      <c r="J222" s="23"/>
      <c r="K222" s="56"/>
      <c r="L222" s="56"/>
      <c r="M222" s="23"/>
      <c r="N222" s="23"/>
      <c r="O222" s="56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5.75" customHeight="1" x14ac:dyDescent="0.15">
      <c r="A223" s="56"/>
      <c r="B223" s="56"/>
      <c r="C223" s="228"/>
      <c r="D223" s="23"/>
      <c r="E223" s="23"/>
      <c r="F223" s="23"/>
      <c r="G223" s="23"/>
      <c r="H223" s="23"/>
      <c r="I223" s="23"/>
      <c r="J223" s="23"/>
      <c r="K223" s="56"/>
      <c r="L223" s="56"/>
      <c r="M223" s="23"/>
      <c r="N223" s="23"/>
      <c r="O223" s="56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5.75" customHeight="1" x14ac:dyDescent="0.15">
      <c r="A224" s="56"/>
      <c r="B224" s="56"/>
      <c r="C224" s="228"/>
      <c r="D224" s="23"/>
      <c r="E224" s="23"/>
      <c r="F224" s="23"/>
      <c r="G224" s="23"/>
      <c r="H224" s="23"/>
      <c r="I224" s="23"/>
      <c r="J224" s="23"/>
      <c r="K224" s="56"/>
      <c r="L224" s="56"/>
      <c r="M224" s="23"/>
      <c r="N224" s="23"/>
      <c r="O224" s="56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5.75" customHeight="1" x14ac:dyDescent="0.15">
      <c r="A225" s="56"/>
      <c r="B225" s="56"/>
      <c r="C225" s="228"/>
      <c r="D225" s="23"/>
      <c r="E225" s="23"/>
      <c r="F225" s="23"/>
      <c r="G225" s="23"/>
      <c r="H225" s="23"/>
      <c r="I225" s="23"/>
      <c r="J225" s="23"/>
      <c r="K225" s="56"/>
      <c r="L225" s="56"/>
      <c r="M225" s="23"/>
      <c r="N225" s="23"/>
      <c r="O225" s="56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5.75" customHeight="1" x14ac:dyDescent="0.15">
      <c r="A226" s="56"/>
      <c r="B226" s="56"/>
      <c r="C226" s="228"/>
      <c r="D226" s="23"/>
      <c r="E226" s="23"/>
      <c r="F226" s="23"/>
      <c r="G226" s="23"/>
      <c r="H226" s="23"/>
      <c r="I226" s="23"/>
      <c r="J226" s="23"/>
      <c r="K226" s="56"/>
      <c r="L226" s="56"/>
      <c r="M226" s="23"/>
      <c r="N226" s="23"/>
      <c r="O226" s="56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5.75" customHeight="1" x14ac:dyDescent="0.15">
      <c r="A227" s="56"/>
      <c r="B227" s="56"/>
      <c r="C227" s="228"/>
      <c r="D227" s="23"/>
      <c r="E227" s="23"/>
      <c r="F227" s="23"/>
      <c r="G227" s="23"/>
      <c r="H227" s="23"/>
      <c r="I227" s="23"/>
      <c r="J227" s="23"/>
      <c r="K227" s="56"/>
      <c r="L227" s="56"/>
      <c r="M227" s="23"/>
      <c r="N227" s="23"/>
      <c r="O227" s="56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5.75" customHeight="1" x14ac:dyDescent="0.15">
      <c r="A228" s="56"/>
      <c r="B228" s="56"/>
      <c r="C228" s="228"/>
      <c r="D228" s="23"/>
      <c r="E228" s="23"/>
      <c r="F228" s="23"/>
      <c r="G228" s="23"/>
      <c r="H228" s="23"/>
      <c r="I228" s="23"/>
      <c r="J228" s="23"/>
      <c r="K228" s="56"/>
      <c r="L228" s="56"/>
      <c r="M228" s="23"/>
      <c r="N228" s="23"/>
      <c r="O228" s="56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5.75" customHeight="1" x14ac:dyDescent="0.15">
      <c r="A229" s="56"/>
      <c r="B229" s="56"/>
      <c r="C229" s="228"/>
      <c r="D229" s="23"/>
      <c r="E229" s="23"/>
      <c r="F229" s="23"/>
      <c r="G229" s="23"/>
      <c r="H229" s="23"/>
      <c r="I229" s="23"/>
      <c r="J229" s="23"/>
      <c r="K229" s="56"/>
      <c r="L229" s="56"/>
      <c r="M229" s="23"/>
      <c r="N229" s="23"/>
      <c r="O229" s="56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5.75" customHeight="1" x14ac:dyDescent="0.15">
      <c r="A230" s="56"/>
      <c r="B230" s="56"/>
      <c r="C230" s="228"/>
      <c r="D230" s="23"/>
      <c r="E230" s="23"/>
      <c r="F230" s="23"/>
      <c r="G230" s="23"/>
      <c r="H230" s="23"/>
      <c r="I230" s="23"/>
      <c r="J230" s="23"/>
      <c r="K230" s="56"/>
      <c r="L230" s="56"/>
      <c r="M230" s="23"/>
      <c r="N230" s="23"/>
      <c r="O230" s="56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5.75" customHeight="1" x14ac:dyDescent="0.15">
      <c r="A231" s="56"/>
      <c r="B231" s="56"/>
      <c r="C231" s="228"/>
      <c r="D231" s="23"/>
      <c r="E231" s="23"/>
      <c r="F231" s="23"/>
      <c r="G231" s="23"/>
      <c r="H231" s="23"/>
      <c r="I231" s="23"/>
      <c r="J231" s="23"/>
      <c r="K231" s="56"/>
      <c r="L231" s="56"/>
      <c r="M231" s="23"/>
      <c r="N231" s="23"/>
      <c r="O231" s="56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5.75" customHeight="1" x14ac:dyDescent="0.15">
      <c r="A232" s="56"/>
      <c r="B232" s="56"/>
      <c r="C232" s="228"/>
      <c r="D232" s="23"/>
      <c r="E232" s="23"/>
      <c r="F232" s="23"/>
      <c r="G232" s="23"/>
      <c r="H232" s="23"/>
      <c r="I232" s="23"/>
      <c r="J232" s="23"/>
      <c r="K232" s="56"/>
      <c r="L232" s="56"/>
      <c r="M232" s="23"/>
      <c r="N232" s="23"/>
      <c r="O232" s="56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5.75" customHeight="1" x14ac:dyDescent="0.15">
      <c r="A233" s="56"/>
      <c r="B233" s="56"/>
      <c r="C233" s="228"/>
      <c r="D233" s="23"/>
      <c r="E233" s="23"/>
      <c r="F233" s="23"/>
      <c r="G233" s="23"/>
      <c r="H233" s="23"/>
      <c r="I233" s="23"/>
      <c r="J233" s="23"/>
      <c r="K233" s="56"/>
      <c r="L233" s="56"/>
      <c r="M233" s="23"/>
      <c r="N233" s="23"/>
      <c r="O233" s="56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5.75" customHeight="1" x14ac:dyDescent="0.15">
      <c r="A234" s="56"/>
      <c r="B234" s="56"/>
      <c r="C234" s="228"/>
      <c r="D234" s="23"/>
      <c r="E234" s="23"/>
      <c r="F234" s="23"/>
      <c r="G234" s="23"/>
      <c r="H234" s="23"/>
      <c r="I234" s="23"/>
      <c r="J234" s="23"/>
      <c r="K234" s="56"/>
      <c r="L234" s="56"/>
      <c r="M234" s="23"/>
      <c r="N234" s="23"/>
      <c r="O234" s="56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5.75" customHeight="1" x14ac:dyDescent="0.15">
      <c r="A235" s="56"/>
      <c r="B235" s="56"/>
      <c r="C235" s="228"/>
      <c r="D235" s="23"/>
      <c r="E235" s="23"/>
      <c r="F235" s="23"/>
      <c r="G235" s="23"/>
      <c r="H235" s="23"/>
      <c r="I235" s="23"/>
      <c r="J235" s="23"/>
      <c r="K235" s="56"/>
      <c r="L235" s="56"/>
      <c r="M235" s="23"/>
      <c r="N235" s="23"/>
      <c r="O235" s="56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5.75" customHeight="1" x14ac:dyDescent="0.15">
      <c r="A236" s="56"/>
      <c r="B236" s="56"/>
      <c r="C236" s="228"/>
      <c r="D236" s="23"/>
      <c r="E236" s="23"/>
      <c r="F236" s="23"/>
      <c r="G236" s="23"/>
      <c r="H236" s="23"/>
      <c r="I236" s="23"/>
      <c r="J236" s="23"/>
      <c r="K236" s="56"/>
      <c r="L236" s="56"/>
      <c r="M236" s="23"/>
      <c r="N236" s="23"/>
      <c r="O236" s="56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5.75" customHeight="1" x14ac:dyDescent="0.15">
      <c r="A237" s="56"/>
      <c r="B237" s="56"/>
      <c r="C237" s="228"/>
      <c r="D237" s="23"/>
      <c r="E237" s="23"/>
      <c r="F237" s="23"/>
      <c r="G237" s="23"/>
      <c r="H237" s="23"/>
      <c r="I237" s="23"/>
      <c r="J237" s="23"/>
      <c r="K237" s="56"/>
      <c r="L237" s="56"/>
      <c r="M237" s="23"/>
      <c r="N237" s="23"/>
      <c r="O237" s="56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5.75" customHeight="1" x14ac:dyDescent="0.15">
      <c r="A238" s="56"/>
      <c r="B238" s="56"/>
      <c r="C238" s="228"/>
      <c r="D238" s="23"/>
      <c r="E238" s="23"/>
      <c r="F238" s="23"/>
      <c r="G238" s="23"/>
      <c r="H238" s="23"/>
      <c r="I238" s="23"/>
      <c r="J238" s="23"/>
      <c r="K238" s="56"/>
      <c r="L238" s="56"/>
      <c r="M238" s="23"/>
      <c r="N238" s="23"/>
      <c r="O238" s="56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5.75" customHeight="1" x14ac:dyDescent="0.15">
      <c r="A239" s="56"/>
      <c r="B239" s="56"/>
      <c r="C239" s="228"/>
      <c r="D239" s="23"/>
      <c r="E239" s="23"/>
      <c r="F239" s="23"/>
      <c r="G239" s="23"/>
      <c r="H239" s="23"/>
      <c r="I239" s="23"/>
      <c r="J239" s="23"/>
      <c r="K239" s="56"/>
      <c r="L239" s="56"/>
      <c r="M239" s="23"/>
      <c r="N239" s="23"/>
      <c r="O239" s="56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ht="15.75" customHeight="1" x14ac:dyDescent="0.15">
      <c r="A240" s="56"/>
      <c r="B240" s="56"/>
      <c r="C240" s="228"/>
      <c r="D240" s="23"/>
      <c r="E240" s="23"/>
      <c r="F240" s="23"/>
      <c r="G240" s="23"/>
      <c r="H240" s="23"/>
      <c r="I240" s="23"/>
      <c r="J240" s="23"/>
      <c r="K240" s="56"/>
      <c r="L240" s="56"/>
      <c r="M240" s="23"/>
      <c r="N240" s="23"/>
      <c r="O240" s="56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ht="15.75" customHeight="1" x14ac:dyDescent="0.15">
      <c r="A241" s="56"/>
      <c r="B241" s="56"/>
      <c r="C241" s="228"/>
      <c r="D241" s="23"/>
      <c r="E241" s="23"/>
      <c r="F241" s="23"/>
      <c r="G241" s="23"/>
      <c r="H241" s="23"/>
      <c r="I241" s="23"/>
      <c r="J241" s="23"/>
      <c r="K241" s="56"/>
      <c r="L241" s="56"/>
      <c r="M241" s="23"/>
      <c r="N241" s="23"/>
      <c r="O241" s="56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ht="15.75" customHeight="1" x14ac:dyDescent="0.15">
      <c r="A242" s="56"/>
      <c r="B242" s="56"/>
      <c r="C242" s="228"/>
      <c r="D242" s="23"/>
      <c r="E242" s="23"/>
      <c r="F242" s="23"/>
      <c r="G242" s="23"/>
      <c r="H242" s="23"/>
      <c r="I242" s="23"/>
      <c r="J242" s="23"/>
      <c r="K242" s="56"/>
      <c r="L242" s="56"/>
      <c r="M242" s="23"/>
      <c r="N242" s="23"/>
      <c r="O242" s="56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ht="15.75" customHeight="1" x14ac:dyDescent="0.15">
      <c r="A243" s="56"/>
      <c r="B243" s="56"/>
      <c r="C243" s="228"/>
      <c r="D243" s="23"/>
      <c r="E243" s="23"/>
      <c r="F243" s="23"/>
      <c r="G243" s="23"/>
      <c r="H243" s="23"/>
      <c r="I243" s="23"/>
      <c r="J243" s="23"/>
      <c r="K243" s="56"/>
      <c r="L243" s="56"/>
      <c r="M243" s="23"/>
      <c r="N243" s="23"/>
      <c r="O243" s="56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ht="15.75" customHeight="1" x14ac:dyDescent="0.15">
      <c r="A244" s="56"/>
      <c r="B244" s="56"/>
      <c r="C244" s="228"/>
      <c r="D244" s="23"/>
      <c r="E244" s="23"/>
      <c r="F244" s="23"/>
      <c r="G244" s="23"/>
      <c r="H244" s="23"/>
      <c r="I244" s="23"/>
      <c r="J244" s="23"/>
      <c r="K244" s="56"/>
      <c r="L244" s="56"/>
      <c r="M244" s="23"/>
      <c r="N244" s="23"/>
      <c r="O244" s="56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ht="15.75" customHeight="1" x14ac:dyDescent="0.15">
      <c r="A245" s="56"/>
      <c r="B245" s="56"/>
      <c r="C245" s="228"/>
      <c r="D245" s="23"/>
      <c r="E245" s="23"/>
      <c r="F245" s="23"/>
      <c r="G245" s="23"/>
      <c r="H245" s="23"/>
      <c r="I245" s="23"/>
      <c r="J245" s="23"/>
      <c r="K245" s="56"/>
      <c r="L245" s="56"/>
      <c r="M245" s="23"/>
      <c r="N245" s="23"/>
      <c r="O245" s="56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ht="15.75" customHeight="1" x14ac:dyDescent="0.15">
      <c r="A246" s="56"/>
      <c r="B246" s="56"/>
      <c r="C246" s="228"/>
      <c r="D246" s="23"/>
      <c r="E246" s="23"/>
      <c r="F246" s="23"/>
      <c r="G246" s="23"/>
      <c r="H246" s="23"/>
      <c r="I246" s="23"/>
      <c r="J246" s="23"/>
      <c r="K246" s="56"/>
      <c r="L246" s="56"/>
      <c r="M246" s="23"/>
      <c r="N246" s="23"/>
      <c r="O246" s="56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5.75" customHeight="1" x14ac:dyDescent="0.15">
      <c r="A247" s="56"/>
      <c r="B247" s="56"/>
      <c r="C247" s="228"/>
      <c r="D247" s="23"/>
      <c r="E247" s="23"/>
      <c r="F247" s="23"/>
      <c r="G247" s="23"/>
      <c r="H247" s="23"/>
      <c r="I247" s="23"/>
      <c r="J247" s="23"/>
      <c r="K247" s="56"/>
      <c r="L247" s="56"/>
      <c r="M247" s="23"/>
      <c r="N247" s="23"/>
      <c r="O247" s="56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3" x14ac:dyDescent="0.15">
      <c r="A248" s="56"/>
      <c r="B248" s="56"/>
      <c r="C248" s="229"/>
      <c r="K248" s="56"/>
      <c r="L248" s="56"/>
      <c r="O248" s="56"/>
    </row>
    <row r="249" spans="1:27" ht="13" x14ac:dyDescent="0.15">
      <c r="A249" s="56"/>
      <c r="B249" s="56"/>
      <c r="C249" s="229"/>
      <c r="K249" s="56"/>
      <c r="L249" s="56"/>
      <c r="O249" s="56"/>
    </row>
    <row r="250" spans="1:27" ht="13" x14ac:dyDescent="0.15">
      <c r="A250" s="56"/>
      <c r="B250" s="56"/>
      <c r="C250" s="229"/>
      <c r="K250" s="56"/>
      <c r="L250" s="56"/>
      <c r="O250" s="56"/>
    </row>
    <row r="251" spans="1:27" ht="13" x14ac:dyDescent="0.15">
      <c r="A251" s="56"/>
      <c r="B251" s="56"/>
      <c r="C251" s="229"/>
      <c r="K251" s="56"/>
      <c r="L251" s="56"/>
      <c r="O251" s="56"/>
    </row>
    <row r="252" spans="1:27" ht="13" x14ac:dyDescent="0.15">
      <c r="A252" s="56"/>
      <c r="B252" s="56"/>
      <c r="C252" s="229"/>
      <c r="K252" s="56"/>
      <c r="L252" s="56"/>
      <c r="O252" s="56"/>
    </row>
    <row r="253" spans="1:27" ht="13" x14ac:dyDescent="0.15">
      <c r="A253" s="56"/>
      <c r="B253" s="56"/>
      <c r="C253" s="229"/>
      <c r="K253" s="56"/>
      <c r="L253" s="56"/>
      <c r="O253" s="56"/>
    </row>
    <row r="254" spans="1:27" ht="13" x14ac:dyDescent="0.15">
      <c r="A254" s="56"/>
      <c r="B254" s="56"/>
      <c r="C254" s="229"/>
      <c r="K254" s="56"/>
      <c r="L254" s="56"/>
      <c r="O254" s="56"/>
    </row>
    <row r="255" spans="1:27" ht="13" x14ac:dyDescent="0.15">
      <c r="A255" s="56"/>
      <c r="B255" s="56"/>
      <c r="C255" s="229"/>
      <c r="K255" s="56"/>
      <c r="L255" s="56"/>
      <c r="O255" s="56"/>
    </row>
    <row r="256" spans="1:27" ht="13" x14ac:dyDescent="0.15">
      <c r="A256" s="56"/>
      <c r="B256" s="56"/>
      <c r="C256" s="229"/>
      <c r="K256" s="56"/>
      <c r="L256" s="56"/>
      <c r="O256" s="56"/>
    </row>
    <row r="257" spans="1:15" ht="13" x14ac:dyDescent="0.15">
      <c r="A257" s="56"/>
      <c r="B257" s="56"/>
      <c r="C257" s="229"/>
      <c r="K257" s="56"/>
      <c r="L257" s="56"/>
      <c r="O257" s="56"/>
    </row>
    <row r="258" spans="1:15" ht="13" x14ac:dyDescent="0.15">
      <c r="A258" s="56"/>
      <c r="B258" s="56"/>
      <c r="C258" s="229"/>
      <c r="K258" s="56"/>
      <c r="L258" s="56"/>
      <c r="O258" s="56"/>
    </row>
    <row r="259" spans="1:15" ht="13" x14ac:dyDescent="0.15">
      <c r="A259" s="56"/>
      <c r="B259" s="56"/>
      <c r="C259" s="229"/>
      <c r="K259" s="56"/>
      <c r="L259" s="56"/>
      <c r="O259" s="56"/>
    </row>
    <row r="260" spans="1:15" ht="13" x14ac:dyDescent="0.15">
      <c r="A260" s="56"/>
      <c r="B260" s="56"/>
      <c r="C260" s="229"/>
      <c r="K260" s="56"/>
      <c r="L260" s="56"/>
      <c r="O260" s="56"/>
    </row>
    <row r="261" spans="1:15" ht="13" x14ac:dyDescent="0.15">
      <c r="A261" s="56"/>
      <c r="B261" s="56"/>
      <c r="C261" s="229"/>
      <c r="K261" s="56"/>
      <c r="L261" s="56"/>
      <c r="O261" s="56"/>
    </row>
    <row r="262" spans="1:15" ht="13" x14ac:dyDescent="0.15">
      <c r="A262" s="56"/>
      <c r="B262" s="56"/>
      <c r="C262" s="229"/>
      <c r="K262" s="56"/>
      <c r="L262" s="56"/>
      <c r="O262" s="56"/>
    </row>
    <row r="263" spans="1:15" ht="13" x14ac:dyDescent="0.15">
      <c r="A263" s="56"/>
      <c r="B263" s="56"/>
      <c r="C263" s="229"/>
      <c r="K263" s="56"/>
      <c r="L263" s="56"/>
      <c r="O263" s="56"/>
    </row>
    <row r="264" spans="1:15" ht="13" x14ac:dyDescent="0.15">
      <c r="A264" s="56"/>
      <c r="B264" s="56"/>
      <c r="C264" s="229"/>
      <c r="K264" s="56"/>
      <c r="L264" s="56"/>
      <c r="O264" s="56"/>
    </row>
    <row r="265" spans="1:15" ht="13" x14ac:dyDescent="0.15">
      <c r="A265" s="56"/>
      <c r="B265" s="56"/>
      <c r="C265" s="229"/>
      <c r="K265" s="56"/>
      <c r="L265" s="56"/>
      <c r="O265" s="56"/>
    </row>
    <row r="266" spans="1:15" ht="13" x14ac:dyDescent="0.15">
      <c r="A266" s="56"/>
      <c r="B266" s="56"/>
      <c r="C266" s="229"/>
      <c r="K266" s="56"/>
      <c r="L266" s="56"/>
      <c r="O266" s="56"/>
    </row>
    <row r="267" spans="1:15" ht="13" x14ac:dyDescent="0.15">
      <c r="A267" s="56"/>
      <c r="B267" s="56"/>
      <c r="C267" s="229"/>
      <c r="K267" s="56"/>
      <c r="L267" s="56"/>
      <c r="O267" s="56"/>
    </row>
    <row r="268" spans="1:15" ht="13" x14ac:dyDescent="0.15">
      <c r="A268" s="56"/>
      <c r="B268" s="56"/>
      <c r="C268" s="229"/>
      <c r="K268" s="56"/>
      <c r="L268" s="56"/>
      <c r="O268" s="56"/>
    </row>
    <row r="269" spans="1:15" ht="13" x14ac:dyDescent="0.15">
      <c r="A269" s="56"/>
      <c r="B269" s="56"/>
      <c r="C269" s="229"/>
      <c r="K269" s="56"/>
      <c r="L269" s="56"/>
      <c r="O269" s="56"/>
    </row>
    <row r="270" spans="1:15" ht="13" x14ac:dyDescent="0.15">
      <c r="A270" s="56"/>
      <c r="B270" s="56"/>
      <c r="C270" s="229"/>
      <c r="K270" s="56"/>
      <c r="L270" s="56"/>
      <c r="O270" s="56"/>
    </row>
    <row r="271" spans="1:15" ht="13" x14ac:dyDescent="0.15">
      <c r="A271" s="56"/>
      <c r="B271" s="56"/>
      <c r="C271" s="229"/>
      <c r="K271" s="56"/>
      <c r="L271" s="56"/>
      <c r="O271" s="56"/>
    </row>
    <row r="272" spans="1:15" ht="13" x14ac:dyDescent="0.15">
      <c r="A272" s="56"/>
      <c r="B272" s="56"/>
      <c r="C272" s="229"/>
      <c r="K272" s="56"/>
      <c r="L272" s="56"/>
      <c r="O272" s="56"/>
    </row>
    <row r="273" spans="1:15" ht="13" x14ac:dyDescent="0.15">
      <c r="A273" s="56"/>
      <c r="B273" s="56"/>
      <c r="C273" s="229"/>
      <c r="K273" s="56"/>
      <c r="L273" s="56"/>
      <c r="O273" s="56"/>
    </row>
    <row r="274" spans="1:15" ht="13" x14ac:dyDescent="0.15">
      <c r="A274" s="56"/>
      <c r="B274" s="56"/>
      <c r="C274" s="229"/>
      <c r="K274" s="56"/>
      <c r="L274" s="56"/>
      <c r="O274" s="56"/>
    </row>
    <row r="275" spans="1:15" ht="13" x14ac:dyDescent="0.15">
      <c r="A275" s="56"/>
      <c r="B275" s="56"/>
      <c r="C275" s="229"/>
      <c r="K275" s="56"/>
      <c r="L275" s="56"/>
      <c r="O275" s="56"/>
    </row>
    <row r="276" spans="1:15" ht="13" x14ac:dyDescent="0.15">
      <c r="A276" s="56"/>
      <c r="B276" s="56"/>
      <c r="C276" s="229"/>
      <c r="K276" s="56"/>
      <c r="L276" s="56"/>
      <c r="O276" s="56"/>
    </row>
    <row r="277" spans="1:15" ht="13" x14ac:dyDescent="0.15">
      <c r="A277" s="56"/>
      <c r="B277" s="56"/>
      <c r="C277" s="229"/>
      <c r="K277" s="56"/>
      <c r="L277" s="56"/>
      <c r="O277" s="56"/>
    </row>
    <row r="278" spans="1:15" ht="13" x14ac:dyDescent="0.15">
      <c r="A278" s="56"/>
      <c r="B278" s="56"/>
      <c r="C278" s="229"/>
      <c r="K278" s="56"/>
      <c r="L278" s="56"/>
      <c r="O278" s="56"/>
    </row>
    <row r="279" spans="1:15" ht="13" x14ac:dyDescent="0.15">
      <c r="A279" s="56"/>
      <c r="B279" s="56"/>
      <c r="C279" s="229"/>
      <c r="K279" s="56"/>
      <c r="L279" s="56"/>
      <c r="O279" s="56"/>
    </row>
    <row r="280" spans="1:15" ht="13" x14ac:dyDescent="0.15">
      <c r="A280" s="56"/>
      <c r="B280" s="56"/>
      <c r="C280" s="229"/>
      <c r="K280" s="56"/>
      <c r="L280" s="56"/>
      <c r="O280" s="56"/>
    </row>
    <row r="281" spans="1:15" ht="13" x14ac:dyDescent="0.15">
      <c r="A281" s="56"/>
      <c r="B281" s="56"/>
      <c r="C281" s="229"/>
      <c r="K281" s="56"/>
      <c r="L281" s="56"/>
      <c r="O281" s="56"/>
    </row>
    <row r="282" spans="1:15" ht="13" x14ac:dyDescent="0.15">
      <c r="A282" s="56"/>
      <c r="B282" s="56"/>
      <c r="C282" s="229"/>
      <c r="K282" s="56"/>
      <c r="L282" s="56"/>
      <c r="O282" s="56"/>
    </row>
    <row r="283" spans="1:15" ht="13" x14ac:dyDescent="0.15">
      <c r="A283" s="56"/>
      <c r="B283" s="56"/>
      <c r="C283" s="229"/>
      <c r="K283" s="56"/>
      <c r="L283" s="56"/>
      <c r="O283" s="56"/>
    </row>
    <row r="284" spans="1:15" ht="13" x14ac:dyDescent="0.15">
      <c r="A284" s="56"/>
      <c r="B284" s="56"/>
      <c r="C284" s="229"/>
      <c r="K284" s="56"/>
      <c r="L284" s="56"/>
      <c r="O284" s="56"/>
    </row>
    <row r="285" spans="1:15" ht="13" x14ac:dyDescent="0.15">
      <c r="A285" s="56"/>
      <c r="B285" s="56"/>
      <c r="C285" s="229"/>
      <c r="K285" s="56"/>
      <c r="L285" s="56"/>
      <c r="O285" s="56"/>
    </row>
    <row r="286" spans="1:15" ht="13" x14ac:dyDescent="0.15">
      <c r="A286" s="56"/>
      <c r="B286" s="56"/>
      <c r="C286" s="229"/>
      <c r="K286" s="56"/>
      <c r="L286" s="56"/>
      <c r="O286" s="56"/>
    </row>
    <row r="287" spans="1:15" ht="13" x14ac:dyDescent="0.15">
      <c r="A287" s="56"/>
      <c r="B287" s="56"/>
      <c r="C287" s="229"/>
      <c r="K287" s="56"/>
      <c r="L287" s="56"/>
      <c r="O287" s="56"/>
    </row>
    <row r="288" spans="1:15" ht="13" x14ac:dyDescent="0.15">
      <c r="A288" s="56"/>
      <c r="B288" s="56"/>
      <c r="C288" s="229"/>
      <c r="K288" s="56"/>
      <c r="L288" s="56"/>
      <c r="O288" s="56"/>
    </row>
    <row r="289" spans="1:15" ht="13" x14ac:dyDescent="0.15">
      <c r="A289" s="56"/>
      <c r="B289" s="56"/>
      <c r="C289" s="229"/>
      <c r="K289" s="56"/>
      <c r="L289" s="56"/>
      <c r="O289" s="56"/>
    </row>
    <row r="290" spans="1:15" ht="13" x14ac:dyDescent="0.15">
      <c r="A290" s="56"/>
      <c r="B290" s="56"/>
      <c r="C290" s="229"/>
      <c r="K290" s="56"/>
      <c r="L290" s="56"/>
      <c r="O290" s="56"/>
    </row>
    <row r="291" spans="1:15" ht="13" x14ac:dyDescent="0.15">
      <c r="A291" s="56"/>
      <c r="B291" s="56"/>
      <c r="C291" s="229"/>
      <c r="K291" s="56"/>
      <c r="L291" s="56"/>
      <c r="O291" s="56"/>
    </row>
    <row r="292" spans="1:15" ht="13" x14ac:dyDescent="0.15">
      <c r="A292" s="56"/>
      <c r="B292" s="56"/>
      <c r="C292" s="229"/>
      <c r="K292" s="56"/>
      <c r="L292" s="56"/>
      <c r="O292" s="56"/>
    </row>
    <row r="293" spans="1:15" ht="13" x14ac:dyDescent="0.15">
      <c r="A293" s="56"/>
      <c r="B293" s="56"/>
      <c r="C293" s="229"/>
      <c r="K293" s="56"/>
      <c r="L293" s="56"/>
      <c r="O293" s="56"/>
    </row>
    <row r="294" spans="1:15" ht="13" x14ac:dyDescent="0.15">
      <c r="A294" s="56"/>
      <c r="B294" s="56"/>
      <c r="C294" s="229"/>
      <c r="K294" s="56"/>
      <c r="L294" s="56"/>
      <c r="O294" s="56"/>
    </row>
    <row r="295" spans="1:15" ht="13" x14ac:dyDescent="0.15">
      <c r="A295" s="56"/>
      <c r="B295" s="56"/>
      <c r="C295" s="229"/>
      <c r="K295" s="56"/>
      <c r="L295" s="56"/>
      <c r="O295" s="56"/>
    </row>
    <row r="296" spans="1:15" ht="13" x14ac:dyDescent="0.15">
      <c r="A296" s="56"/>
      <c r="B296" s="56"/>
      <c r="C296" s="229"/>
      <c r="K296" s="56"/>
      <c r="L296" s="56"/>
      <c r="O296" s="56"/>
    </row>
    <row r="297" spans="1:15" ht="13" x14ac:dyDescent="0.15">
      <c r="A297" s="56"/>
      <c r="B297" s="56"/>
      <c r="C297" s="229"/>
      <c r="K297" s="56"/>
      <c r="L297" s="56"/>
      <c r="O297" s="56"/>
    </row>
    <row r="298" spans="1:15" ht="13" x14ac:dyDescent="0.15">
      <c r="A298" s="56"/>
      <c r="B298" s="56"/>
      <c r="C298" s="229"/>
      <c r="K298" s="56"/>
      <c r="L298" s="56"/>
      <c r="O298" s="56"/>
    </row>
    <row r="299" spans="1:15" ht="13" x14ac:dyDescent="0.15">
      <c r="A299" s="56"/>
      <c r="B299" s="56"/>
      <c r="C299" s="229"/>
      <c r="K299" s="56"/>
      <c r="L299" s="56"/>
      <c r="O299" s="56"/>
    </row>
    <row r="300" spans="1:15" ht="13" x14ac:dyDescent="0.15">
      <c r="A300" s="56"/>
      <c r="B300" s="56"/>
      <c r="C300" s="229"/>
      <c r="K300" s="56"/>
      <c r="L300" s="56"/>
      <c r="O300" s="56"/>
    </row>
    <row r="301" spans="1:15" ht="13" x14ac:dyDescent="0.15">
      <c r="A301" s="56"/>
      <c r="B301" s="56"/>
      <c r="C301" s="229"/>
      <c r="K301" s="56"/>
      <c r="L301" s="56"/>
      <c r="O301" s="56"/>
    </row>
    <row r="302" spans="1:15" ht="13" x14ac:dyDescent="0.15">
      <c r="A302" s="56"/>
      <c r="B302" s="56"/>
      <c r="C302" s="229"/>
      <c r="K302" s="56"/>
      <c r="L302" s="56"/>
      <c r="O302" s="56"/>
    </row>
    <row r="303" spans="1:15" ht="13" x14ac:dyDescent="0.15">
      <c r="A303" s="56"/>
      <c r="B303" s="56"/>
      <c r="C303" s="229"/>
      <c r="K303" s="56"/>
      <c r="L303" s="56"/>
      <c r="O303" s="56"/>
    </row>
    <row r="304" spans="1:15" ht="13" x14ac:dyDescent="0.15">
      <c r="A304" s="56"/>
      <c r="B304" s="56"/>
      <c r="C304" s="229"/>
      <c r="K304" s="56"/>
      <c r="L304" s="56"/>
      <c r="O304" s="56"/>
    </row>
    <row r="305" spans="1:15" ht="13" x14ac:dyDescent="0.15">
      <c r="A305" s="56"/>
      <c r="B305" s="56"/>
      <c r="C305" s="229"/>
      <c r="K305" s="56"/>
      <c r="L305" s="56"/>
      <c r="O305" s="56"/>
    </row>
    <row r="306" spans="1:15" ht="13" x14ac:dyDescent="0.15">
      <c r="A306" s="56"/>
      <c r="B306" s="56"/>
      <c r="C306" s="229"/>
      <c r="K306" s="56"/>
      <c r="L306" s="56"/>
      <c r="O306" s="56"/>
    </row>
    <row r="307" spans="1:15" ht="13" x14ac:dyDescent="0.15">
      <c r="A307" s="56"/>
      <c r="B307" s="56"/>
      <c r="C307" s="229"/>
      <c r="K307" s="56"/>
      <c r="L307" s="56"/>
      <c r="O307" s="56"/>
    </row>
    <row r="308" spans="1:15" ht="13" x14ac:dyDescent="0.15">
      <c r="A308" s="56"/>
      <c r="B308" s="56"/>
      <c r="C308" s="229"/>
      <c r="K308" s="56"/>
      <c r="L308" s="56"/>
      <c r="O308" s="56"/>
    </row>
    <row r="309" spans="1:15" ht="13" x14ac:dyDescent="0.15">
      <c r="A309" s="56"/>
      <c r="B309" s="56"/>
      <c r="C309" s="229"/>
      <c r="K309" s="56"/>
      <c r="L309" s="56"/>
      <c r="O309" s="56"/>
    </row>
    <row r="310" spans="1:15" ht="13" x14ac:dyDescent="0.15">
      <c r="A310" s="56"/>
      <c r="B310" s="56"/>
      <c r="C310" s="229"/>
      <c r="K310" s="56"/>
      <c r="L310" s="56"/>
      <c r="O310" s="56"/>
    </row>
    <row r="311" spans="1:15" ht="13" x14ac:dyDescent="0.15">
      <c r="A311" s="56"/>
      <c r="B311" s="56"/>
      <c r="C311" s="229"/>
      <c r="K311" s="56"/>
      <c r="L311" s="56"/>
      <c r="O311" s="56"/>
    </row>
    <row r="312" spans="1:15" ht="13" x14ac:dyDescent="0.15">
      <c r="A312" s="56"/>
      <c r="B312" s="56"/>
      <c r="C312" s="229"/>
      <c r="K312" s="56"/>
      <c r="L312" s="56"/>
      <c r="O312" s="56"/>
    </row>
    <row r="313" spans="1:15" ht="13" x14ac:dyDescent="0.15">
      <c r="A313" s="56"/>
      <c r="B313" s="56"/>
      <c r="C313" s="229"/>
      <c r="K313" s="56"/>
      <c r="L313" s="56"/>
      <c r="O313" s="56"/>
    </row>
    <row r="314" spans="1:15" ht="13" x14ac:dyDescent="0.15">
      <c r="A314" s="56"/>
      <c r="B314" s="56"/>
      <c r="C314" s="229"/>
      <c r="K314" s="56"/>
      <c r="L314" s="56"/>
      <c r="O314" s="56"/>
    </row>
    <row r="315" spans="1:15" ht="13" x14ac:dyDescent="0.15">
      <c r="A315" s="56"/>
      <c r="B315" s="56"/>
      <c r="C315" s="229"/>
      <c r="K315" s="56"/>
      <c r="L315" s="56"/>
      <c r="O315" s="56"/>
    </row>
    <row r="316" spans="1:15" ht="13" x14ac:dyDescent="0.15">
      <c r="A316" s="56"/>
      <c r="B316" s="56"/>
      <c r="C316" s="229"/>
      <c r="K316" s="56"/>
      <c r="L316" s="56"/>
      <c r="O316" s="56"/>
    </row>
    <row r="317" spans="1:15" ht="13" x14ac:dyDescent="0.15">
      <c r="A317" s="56"/>
      <c r="B317" s="56"/>
      <c r="C317" s="229"/>
      <c r="K317" s="56"/>
      <c r="L317" s="56"/>
      <c r="O317" s="56"/>
    </row>
    <row r="318" spans="1:15" ht="13" x14ac:dyDescent="0.15">
      <c r="A318" s="56"/>
      <c r="B318" s="56"/>
      <c r="C318" s="229"/>
      <c r="K318" s="56"/>
      <c r="L318" s="56"/>
      <c r="O318" s="56"/>
    </row>
    <row r="319" spans="1:15" ht="13" x14ac:dyDescent="0.15">
      <c r="A319" s="56"/>
      <c r="B319" s="56"/>
      <c r="C319" s="229"/>
      <c r="K319" s="56"/>
      <c r="L319" s="56"/>
      <c r="O319" s="56"/>
    </row>
    <row r="320" spans="1:15" ht="13" x14ac:dyDescent="0.15">
      <c r="A320" s="56"/>
      <c r="B320" s="56"/>
      <c r="C320" s="229"/>
      <c r="K320" s="56"/>
      <c r="L320" s="56"/>
      <c r="O320" s="56"/>
    </row>
    <row r="321" spans="1:15" ht="13" x14ac:dyDescent="0.15">
      <c r="A321" s="56"/>
      <c r="B321" s="56"/>
      <c r="C321" s="229"/>
      <c r="K321" s="56"/>
      <c r="L321" s="56"/>
      <c r="O321" s="56"/>
    </row>
    <row r="322" spans="1:15" ht="13" x14ac:dyDescent="0.15">
      <c r="A322" s="56"/>
      <c r="B322" s="56"/>
      <c r="C322" s="229"/>
      <c r="K322" s="56"/>
      <c r="L322" s="56"/>
      <c r="O322" s="56"/>
    </row>
    <row r="323" spans="1:15" ht="13" x14ac:dyDescent="0.15">
      <c r="A323" s="56"/>
      <c r="B323" s="56"/>
      <c r="C323" s="229"/>
      <c r="K323" s="56"/>
      <c r="L323" s="56"/>
      <c r="O323" s="56"/>
    </row>
    <row r="324" spans="1:15" ht="13" x14ac:dyDescent="0.15">
      <c r="A324" s="56"/>
      <c r="B324" s="56"/>
      <c r="C324" s="229"/>
      <c r="K324" s="56"/>
      <c r="L324" s="56"/>
      <c r="O324" s="56"/>
    </row>
    <row r="325" spans="1:15" ht="13" x14ac:dyDescent="0.15">
      <c r="A325" s="56"/>
      <c r="B325" s="56"/>
      <c r="C325" s="229"/>
      <c r="K325" s="56"/>
      <c r="L325" s="56"/>
      <c r="O325" s="56"/>
    </row>
    <row r="326" spans="1:15" ht="13" x14ac:dyDescent="0.15">
      <c r="A326" s="56"/>
      <c r="B326" s="56"/>
      <c r="C326" s="229"/>
      <c r="K326" s="56"/>
      <c r="L326" s="56"/>
      <c r="O326" s="56"/>
    </row>
    <row r="327" spans="1:15" ht="13" x14ac:dyDescent="0.15">
      <c r="A327" s="56"/>
      <c r="B327" s="56"/>
      <c r="C327" s="229"/>
      <c r="K327" s="56"/>
      <c r="L327" s="56"/>
      <c r="O327" s="56"/>
    </row>
    <row r="328" spans="1:15" ht="13" x14ac:dyDescent="0.15">
      <c r="A328" s="56"/>
      <c r="B328" s="56"/>
      <c r="C328" s="229"/>
      <c r="K328" s="56"/>
      <c r="L328" s="56"/>
      <c r="O328" s="56"/>
    </row>
    <row r="329" spans="1:15" ht="13" x14ac:dyDescent="0.15">
      <c r="A329" s="56"/>
      <c r="B329" s="56"/>
      <c r="C329" s="229"/>
      <c r="K329" s="56"/>
      <c r="L329" s="56"/>
      <c r="O329" s="56"/>
    </row>
    <row r="330" spans="1:15" ht="13" x14ac:dyDescent="0.15">
      <c r="A330" s="56"/>
      <c r="B330" s="56"/>
      <c r="C330" s="229"/>
      <c r="K330" s="56"/>
      <c r="L330" s="56"/>
      <c r="O330" s="56"/>
    </row>
    <row r="331" spans="1:15" ht="13" x14ac:dyDescent="0.15">
      <c r="A331" s="56"/>
      <c r="B331" s="56"/>
      <c r="C331" s="229"/>
      <c r="K331" s="56"/>
      <c r="L331" s="56"/>
      <c r="O331" s="56"/>
    </row>
    <row r="332" spans="1:15" ht="13" x14ac:dyDescent="0.15">
      <c r="A332" s="56"/>
      <c r="B332" s="56"/>
      <c r="C332" s="229"/>
      <c r="K332" s="56"/>
      <c r="L332" s="56"/>
      <c r="O332" s="56"/>
    </row>
    <row r="333" spans="1:15" ht="13" x14ac:dyDescent="0.15">
      <c r="A333" s="56"/>
      <c r="B333" s="56"/>
      <c r="C333" s="229"/>
      <c r="K333" s="56"/>
      <c r="L333" s="56"/>
      <c r="O333" s="56"/>
    </row>
    <row r="334" spans="1:15" ht="13" x14ac:dyDescent="0.15">
      <c r="A334" s="56"/>
      <c r="B334" s="56"/>
      <c r="C334" s="229"/>
      <c r="K334" s="56"/>
      <c r="L334" s="56"/>
      <c r="O334" s="56"/>
    </row>
    <row r="335" spans="1:15" ht="13" x14ac:dyDescent="0.15">
      <c r="A335" s="56"/>
      <c r="B335" s="56"/>
      <c r="C335" s="229"/>
      <c r="K335" s="56"/>
      <c r="L335" s="56"/>
      <c r="O335" s="56"/>
    </row>
    <row r="336" spans="1:15" ht="13" x14ac:dyDescent="0.15">
      <c r="A336" s="56"/>
      <c r="B336" s="56"/>
      <c r="C336" s="229"/>
      <c r="K336" s="56"/>
      <c r="L336" s="56"/>
      <c r="O336" s="56"/>
    </row>
    <row r="337" spans="1:15" ht="13" x14ac:dyDescent="0.15">
      <c r="A337" s="56"/>
      <c r="B337" s="56"/>
      <c r="C337" s="229"/>
      <c r="K337" s="56"/>
      <c r="L337" s="56"/>
      <c r="O337" s="56"/>
    </row>
    <row r="338" spans="1:15" ht="13" x14ac:dyDescent="0.15">
      <c r="A338" s="56"/>
      <c r="B338" s="56"/>
      <c r="C338" s="229"/>
      <c r="K338" s="56"/>
      <c r="L338" s="56"/>
      <c r="O338" s="56"/>
    </row>
    <row r="339" spans="1:15" ht="13" x14ac:dyDescent="0.15">
      <c r="A339" s="56"/>
      <c r="B339" s="56"/>
      <c r="C339" s="229"/>
      <c r="K339" s="56"/>
      <c r="L339" s="56"/>
      <c r="O339" s="56"/>
    </row>
    <row r="340" spans="1:15" ht="13" x14ac:dyDescent="0.15">
      <c r="A340" s="56"/>
      <c r="B340" s="56"/>
      <c r="C340" s="229"/>
      <c r="K340" s="56"/>
      <c r="L340" s="56"/>
      <c r="O340" s="56"/>
    </row>
    <row r="341" spans="1:15" ht="13" x14ac:dyDescent="0.15">
      <c r="A341" s="56"/>
      <c r="B341" s="56"/>
      <c r="C341" s="229"/>
      <c r="K341" s="56"/>
      <c r="L341" s="56"/>
      <c r="O341" s="56"/>
    </row>
    <row r="342" spans="1:15" ht="13" x14ac:dyDescent="0.15">
      <c r="A342" s="56"/>
      <c r="B342" s="56"/>
      <c r="C342" s="229"/>
      <c r="K342" s="56"/>
      <c r="L342" s="56"/>
      <c r="O342" s="56"/>
    </row>
    <row r="343" spans="1:15" ht="13" x14ac:dyDescent="0.15">
      <c r="A343" s="56"/>
      <c r="B343" s="56"/>
      <c r="C343" s="229"/>
      <c r="K343" s="56"/>
      <c r="L343" s="56"/>
      <c r="O343" s="56"/>
    </row>
    <row r="344" spans="1:15" ht="13" x14ac:dyDescent="0.15">
      <c r="A344" s="56"/>
      <c r="B344" s="56"/>
      <c r="C344" s="229"/>
      <c r="K344" s="56"/>
      <c r="L344" s="56"/>
      <c r="O344" s="56"/>
    </row>
    <row r="345" spans="1:15" ht="13" x14ac:dyDescent="0.15">
      <c r="A345" s="56"/>
      <c r="B345" s="56"/>
      <c r="C345" s="229"/>
      <c r="K345" s="56"/>
      <c r="L345" s="56"/>
      <c r="O345" s="56"/>
    </row>
    <row r="346" spans="1:15" ht="13" x14ac:dyDescent="0.15">
      <c r="A346" s="56"/>
      <c r="B346" s="56"/>
      <c r="C346" s="229"/>
      <c r="K346" s="56"/>
      <c r="L346" s="56"/>
      <c r="O346" s="56"/>
    </row>
    <row r="347" spans="1:15" ht="13" x14ac:dyDescent="0.15">
      <c r="A347" s="56"/>
      <c r="B347" s="56"/>
      <c r="C347" s="229"/>
      <c r="K347" s="56"/>
      <c r="L347" s="56"/>
      <c r="O347" s="56"/>
    </row>
    <row r="348" spans="1:15" ht="13" x14ac:dyDescent="0.15">
      <c r="A348" s="56"/>
      <c r="B348" s="56"/>
      <c r="C348" s="229"/>
      <c r="K348" s="56"/>
      <c r="L348" s="56"/>
      <c r="O348" s="56"/>
    </row>
    <row r="349" spans="1:15" ht="13" x14ac:dyDescent="0.15">
      <c r="A349" s="56"/>
      <c r="B349" s="56"/>
      <c r="C349" s="229"/>
      <c r="K349" s="56"/>
      <c r="L349" s="56"/>
      <c r="O349" s="56"/>
    </row>
    <row r="350" spans="1:15" ht="13" x14ac:dyDescent="0.15">
      <c r="A350" s="56"/>
      <c r="B350" s="56"/>
      <c r="C350" s="229"/>
      <c r="K350" s="56"/>
      <c r="L350" s="56"/>
      <c r="O350" s="56"/>
    </row>
    <row r="351" spans="1:15" ht="13" x14ac:dyDescent="0.15">
      <c r="A351" s="56"/>
      <c r="B351" s="56"/>
      <c r="C351" s="229"/>
      <c r="K351" s="56"/>
      <c r="L351" s="56"/>
      <c r="O351" s="56"/>
    </row>
    <row r="352" spans="1:15" ht="13" x14ac:dyDescent="0.15">
      <c r="A352" s="56"/>
      <c r="B352" s="56"/>
      <c r="C352" s="229"/>
      <c r="K352" s="56"/>
      <c r="L352" s="56"/>
      <c r="O352" s="56"/>
    </row>
    <row r="353" spans="1:15" ht="13" x14ac:dyDescent="0.15">
      <c r="A353" s="56"/>
      <c r="B353" s="56"/>
      <c r="C353" s="229"/>
      <c r="K353" s="56"/>
      <c r="L353" s="56"/>
      <c r="O353" s="56"/>
    </row>
    <row r="354" spans="1:15" ht="13" x14ac:dyDescent="0.15">
      <c r="A354" s="56"/>
      <c r="B354" s="56"/>
      <c r="C354" s="229"/>
      <c r="K354" s="56"/>
      <c r="L354" s="56"/>
      <c r="O354" s="56"/>
    </row>
    <row r="355" spans="1:15" ht="13" x14ac:dyDescent="0.15">
      <c r="A355" s="56"/>
      <c r="B355" s="56"/>
      <c r="C355" s="229"/>
      <c r="K355" s="56"/>
      <c r="L355" s="56"/>
      <c r="O355" s="56"/>
    </row>
    <row r="356" spans="1:15" ht="13" x14ac:dyDescent="0.15">
      <c r="A356" s="56"/>
      <c r="B356" s="56"/>
      <c r="C356" s="229"/>
      <c r="K356" s="56"/>
      <c r="L356" s="56"/>
      <c r="O356" s="56"/>
    </row>
    <row r="357" spans="1:15" ht="13" x14ac:dyDescent="0.15">
      <c r="A357" s="56"/>
      <c r="B357" s="56"/>
      <c r="C357" s="229"/>
      <c r="K357" s="56"/>
      <c r="L357" s="56"/>
      <c r="O357" s="56"/>
    </row>
    <row r="358" spans="1:15" ht="13" x14ac:dyDescent="0.15">
      <c r="A358" s="56"/>
      <c r="B358" s="56"/>
      <c r="C358" s="229"/>
      <c r="K358" s="56"/>
      <c r="L358" s="56"/>
      <c r="O358" s="56"/>
    </row>
    <row r="359" spans="1:15" ht="13" x14ac:dyDescent="0.15">
      <c r="A359" s="56"/>
      <c r="B359" s="56"/>
      <c r="C359" s="229"/>
      <c r="K359" s="56"/>
      <c r="L359" s="56"/>
      <c r="O359" s="56"/>
    </row>
    <row r="360" spans="1:15" ht="13" x14ac:dyDescent="0.15">
      <c r="A360" s="56"/>
      <c r="B360" s="56"/>
      <c r="C360" s="229"/>
      <c r="K360" s="56"/>
      <c r="L360" s="56"/>
      <c r="O360" s="56"/>
    </row>
    <row r="361" spans="1:15" ht="13" x14ac:dyDescent="0.15">
      <c r="A361" s="56"/>
      <c r="B361" s="56"/>
      <c r="C361" s="229"/>
      <c r="K361" s="56"/>
      <c r="L361" s="56"/>
      <c r="O361" s="56"/>
    </row>
    <row r="362" spans="1:15" ht="13" x14ac:dyDescent="0.15">
      <c r="A362" s="56"/>
      <c r="B362" s="56"/>
      <c r="C362" s="229"/>
      <c r="K362" s="56"/>
      <c r="L362" s="56"/>
      <c r="O362" s="56"/>
    </row>
    <row r="363" spans="1:15" ht="13" x14ac:dyDescent="0.15">
      <c r="A363" s="56"/>
      <c r="B363" s="56"/>
      <c r="C363" s="229"/>
      <c r="K363" s="56"/>
      <c r="L363" s="56"/>
      <c r="O363" s="56"/>
    </row>
    <row r="364" spans="1:15" ht="13" x14ac:dyDescent="0.15">
      <c r="A364" s="56"/>
      <c r="B364" s="56"/>
      <c r="C364" s="229"/>
      <c r="K364" s="56"/>
      <c r="L364" s="56"/>
      <c r="O364" s="56"/>
    </row>
    <row r="365" spans="1:15" ht="13" x14ac:dyDescent="0.15">
      <c r="A365" s="56"/>
      <c r="B365" s="56"/>
      <c r="C365" s="229"/>
      <c r="K365" s="56"/>
      <c r="L365" s="56"/>
      <c r="O365" s="56"/>
    </row>
    <row r="366" spans="1:15" ht="13" x14ac:dyDescent="0.15">
      <c r="A366" s="56"/>
      <c r="B366" s="56"/>
      <c r="C366" s="229"/>
      <c r="K366" s="56"/>
      <c r="L366" s="56"/>
      <c r="O366" s="56"/>
    </row>
    <row r="367" spans="1:15" ht="13" x14ac:dyDescent="0.15">
      <c r="A367" s="56"/>
      <c r="B367" s="56"/>
      <c r="C367" s="229"/>
      <c r="K367" s="56"/>
      <c r="L367" s="56"/>
      <c r="O367" s="56"/>
    </row>
    <row r="368" spans="1:15" ht="13" x14ac:dyDescent="0.15">
      <c r="A368" s="56"/>
      <c r="B368" s="56"/>
      <c r="C368" s="229"/>
      <c r="K368" s="56"/>
      <c r="L368" s="56"/>
      <c r="O368" s="56"/>
    </row>
    <row r="369" spans="1:15" ht="13" x14ac:dyDescent="0.15">
      <c r="A369" s="56"/>
      <c r="B369" s="56"/>
      <c r="C369" s="229"/>
      <c r="K369" s="56"/>
      <c r="L369" s="56"/>
      <c r="O369" s="56"/>
    </row>
    <row r="370" spans="1:15" ht="13" x14ac:dyDescent="0.15">
      <c r="A370" s="56"/>
      <c r="B370" s="56"/>
      <c r="C370" s="229"/>
      <c r="K370" s="56"/>
      <c r="L370" s="56"/>
      <c r="O370" s="56"/>
    </row>
    <row r="371" spans="1:15" ht="13" x14ac:dyDescent="0.15">
      <c r="A371" s="56"/>
      <c r="B371" s="56"/>
      <c r="C371" s="229"/>
      <c r="K371" s="56"/>
      <c r="L371" s="56"/>
      <c r="O371" s="56"/>
    </row>
    <row r="372" spans="1:15" ht="13" x14ac:dyDescent="0.15">
      <c r="A372" s="56"/>
      <c r="B372" s="56"/>
      <c r="C372" s="229"/>
      <c r="K372" s="56"/>
      <c r="L372" s="56"/>
      <c r="O372" s="56"/>
    </row>
    <row r="373" spans="1:15" ht="13" x14ac:dyDescent="0.15">
      <c r="A373" s="56"/>
      <c r="B373" s="56"/>
      <c r="C373" s="229"/>
      <c r="K373" s="56"/>
      <c r="L373" s="56"/>
      <c r="O373" s="56"/>
    </row>
    <row r="374" spans="1:15" ht="13" x14ac:dyDescent="0.15">
      <c r="A374" s="56"/>
      <c r="B374" s="56"/>
      <c r="C374" s="229"/>
      <c r="K374" s="56"/>
      <c r="L374" s="56"/>
      <c r="O374" s="56"/>
    </row>
    <row r="375" spans="1:15" ht="13" x14ac:dyDescent="0.15">
      <c r="A375" s="56"/>
      <c r="B375" s="56"/>
      <c r="C375" s="229"/>
      <c r="K375" s="56"/>
      <c r="L375" s="56"/>
      <c r="O375" s="56"/>
    </row>
    <row r="376" spans="1:15" ht="13" x14ac:dyDescent="0.15">
      <c r="A376" s="56"/>
      <c r="B376" s="56"/>
      <c r="C376" s="229"/>
      <c r="K376" s="56"/>
      <c r="L376" s="56"/>
      <c r="O376" s="56"/>
    </row>
    <row r="377" spans="1:15" ht="13" x14ac:dyDescent="0.15">
      <c r="A377" s="56"/>
      <c r="B377" s="56"/>
      <c r="C377" s="229"/>
      <c r="K377" s="56"/>
      <c r="L377" s="56"/>
      <c r="O377" s="56"/>
    </row>
    <row r="378" spans="1:15" ht="13" x14ac:dyDescent="0.15">
      <c r="A378" s="56"/>
      <c r="B378" s="56"/>
      <c r="C378" s="229"/>
      <c r="K378" s="56"/>
      <c r="L378" s="56"/>
      <c r="O378" s="56"/>
    </row>
    <row r="379" spans="1:15" ht="13" x14ac:dyDescent="0.15">
      <c r="A379" s="56"/>
      <c r="B379" s="56"/>
      <c r="C379" s="229"/>
      <c r="K379" s="56"/>
      <c r="L379" s="56"/>
      <c r="O379" s="56"/>
    </row>
    <row r="380" spans="1:15" ht="13" x14ac:dyDescent="0.15">
      <c r="A380" s="56"/>
      <c r="B380" s="56"/>
      <c r="C380" s="229"/>
      <c r="K380" s="56"/>
      <c r="L380" s="56"/>
      <c r="O380" s="56"/>
    </row>
    <row r="381" spans="1:15" ht="13" x14ac:dyDescent="0.15">
      <c r="A381" s="56"/>
      <c r="B381" s="56"/>
      <c r="C381" s="229"/>
      <c r="K381" s="56"/>
      <c r="L381" s="56"/>
      <c r="O381" s="56"/>
    </row>
    <row r="382" spans="1:15" ht="13" x14ac:dyDescent="0.15">
      <c r="A382" s="56"/>
      <c r="B382" s="56"/>
      <c r="C382" s="229"/>
      <c r="K382" s="56"/>
      <c r="L382" s="56"/>
      <c r="O382" s="56"/>
    </row>
    <row r="383" spans="1:15" ht="13" x14ac:dyDescent="0.15">
      <c r="A383" s="56"/>
      <c r="B383" s="56"/>
      <c r="C383" s="229"/>
      <c r="K383" s="56"/>
      <c r="L383" s="56"/>
      <c r="O383" s="56"/>
    </row>
    <row r="384" spans="1:15" ht="13" x14ac:dyDescent="0.15">
      <c r="A384" s="56"/>
      <c r="B384" s="56"/>
      <c r="C384" s="229"/>
      <c r="K384" s="56"/>
      <c r="L384" s="56"/>
      <c r="O384" s="56"/>
    </row>
    <row r="385" spans="1:15" ht="13" x14ac:dyDescent="0.15">
      <c r="A385" s="56"/>
      <c r="B385" s="56"/>
      <c r="C385" s="229"/>
      <c r="K385" s="56"/>
      <c r="L385" s="56"/>
      <c r="O385" s="56"/>
    </row>
    <row r="386" spans="1:15" ht="13" x14ac:dyDescent="0.15">
      <c r="A386" s="56"/>
      <c r="B386" s="56"/>
      <c r="C386" s="229"/>
      <c r="K386" s="56"/>
      <c r="L386" s="56"/>
      <c r="O386" s="56"/>
    </row>
    <row r="387" spans="1:15" ht="13" x14ac:dyDescent="0.15">
      <c r="A387" s="56"/>
      <c r="B387" s="56"/>
      <c r="C387" s="229"/>
      <c r="K387" s="56"/>
      <c r="L387" s="56"/>
      <c r="O387" s="56"/>
    </row>
    <row r="388" spans="1:15" ht="13" x14ac:dyDescent="0.15">
      <c r="A388" s="56"/>
      <c r="B388" s="56"/>
      <c r="C388" s="229"/>
      <c r="K388" s="56"/>
      <c r="L388" s="56"/>
      <c r="O388" s="56"/>
    </row>
    <row r="389" spans="1:15" ht="13" x14ac:dyDescent="0.15">
      <c r="A389" s="56"/>
      <c r="B389" s="56"/>
      <c r="C389" s="229"/>
      <c r="K389" s="56"/>
      <c r="L389" s="56"/>
      <c r="O389" s="56"/>
    </row>
    <row r="390" spans="1:15" ht="13" x14ac:dyDescent="0.15">
      <c r="A390" s="56"/>
      <c r="B390" s="56"/>
      <c r="C390" s="229"/>
      <c r="K390" s="56"/>
      <c r="L390" s="56"/>
      <c r="O390" s="56"/>
    </row>
    <row r="391" spans="1:15" ht="13" x14ac:dyDescent="0.15">
      <c r="A391" s="56"/>
      <c r="B391" s="56"/>
      <c r="C391" s="229"/>
      <c r="K391" s="56"/>
      <c r="L391" s="56"/>
      <c r="O391" s="56"/>
    </row>
    <row r="392" spans="1:15" ht="13" x14ac:dyDescent="0.15">
      <c r="A392" s="56"/>
      <c r="B392" s="56"/>
      <c r="C392" s="229"/>
      <c r="K392" s="56"/>
      <c r="L392" s="56"/>
      <c r="O392" s="56"/>
    </row>
    <row r="393" spans="1:15" ht="13" x14ac:dyDescent="0.15">
      <c r="A393" s="56"/>
      <c r="B393" s="56"/>
      <c r="C393" s="229"/>
      <c r="K393" s="56"/>
      <c r="L393" s="56"/>
      <c r="O393" s="56"/>
    </row>
    <row r="394" spans="1:15" ht="13" x14ac:dyDescent="0.15">
      <c r="A394" s="56"/>
      <c r="B394" s="56"/>
      <c r="C394" s="229"/>
      <c r="K394" s="56"/>
      <c r="L394" s="56"/>
      <c r="O394" s="56"/>
    </row>
    <row r="395" spans="1:15" ht="13" x14ac:dyDescent="0.15">
      <c r="A395" s="56"/>
      <c r="B395" s="56"/>
      <c r="C395" s="229"/>
      <c r="K395" s="56"/>
      <c r="L395" s="56"/>
      <c r="O395" s="56"/>
    </row>
    <row r="396" spans="1:15" ht="13" x14ac:dyDescent="0.15">
      <c r="A396" s="56"/>
      <c r="B396" s="56"/>
      <c r="C396" s="229"/>
      <c r="K396" s="56"/>
      <c r="L396" s="56"/>
      <c r="O396" s="56"/>
    </row>
    <row r="397" spans="1:15" ht="13" x14ac:dyDescent="0.15">
      <c r="A397" s="56"/>
      <c r="B397" s="56"/>
      <c r="C397" s="229"/>
      <c r="K397" s="56"/>
      <c r="L397" s="56"/>
      <c r="O397" s="56"/>
    </row>
    <row r="398" spans="1:15" ht="13" x14ac:dyDescent="0.15">
      <c r="A398" s="56"/>
      <c r="B398" s="56"/>
      <c r="C398" s="229"/>
      <c r="K398" s="56"/>
      <c r="L398" s="56"/>
      <c r="O398" s="56"/>
    </row>
    <row r="399" spans="1:15" ht="13" x14ac:dyDescent="0.15">
      <c r="A399" s="56"/>
      <c r="B399" s="56"/>
      <c r="C399" s="229"/>
      <c r="K399" s="56"/>
      <c r="L399" s="56"/>
      <c r="O399" s="56"/>
    </row>
    <row r="400" spans="1:15" ht="13" x14ac:dyDescent="0.15">
      <c r="A400" s="56"/>
      <c r="B400" s="56"/>
      <c r="C400" s="229"/>
      <c r="K400" s="56"/>
      <c r="L400" s="56"/>
      <c r="O400" s="56"/>
    </row>
    <row r="401" spans="1:15" ht="13" x14ac:dyDescent="0.15">
      <c r="A401" s="56"/>
      <c r="B401" s="56"/>
      <c r="C401" s="229"/>
      <c r="K401" s="56"/>
      <c r="L401" s="56"/>
      <c r="O401" s="56"/>
    </row>
    <row r="402" spans="1:15" ht="13" x14ac:dyDescent="0.15">
      <c r="A402" s="56"/>
      <c r="B402" s="56"/>
      <c r="C402" s="229"/>
      <c r="K402" s="56"/>
      <c r="L402" s="56"/>
      <c r="O402" s="56"/>
    </row>
    <row r="403" spans="1:15" ht="13" x14ac:dyDescent="0.15">
      <c r="A403" s="56"/>
      <c r="B403" s="56"/>
      <c r="C403" s="229"/>
      <c r="K403" s="56"/>
      <c r="L403" s="56"/>
      <c r="O403" s="56"/>
    </row>
    <row r="404" spans="1:15" ht="13" x14ac:dyDescent="0.15">
      <c r="A404" s="56"/>
      <c r="B404" s="56"/>
      <c r="C404" s="229"/>
      <c r="K404" s="56"/>
      <c r="L404" s="56"/>
      <c r="O404" s="56"/>
    </row>
    <row r="405" spans="1:15" ht="13" x14ac:dyDescent="0.15">
      <c r="A405" s="56"/>
      <c r="B405" s="56"/>
      <c r="C405" s="229"/>
      <c r="K405" s="56"/>
      <c r="L405" s="56"/>
      <c r="O405" s="56"/>
    </row>
    <row r="406" spans="1:15" ht="13" x14ac:dyDescent="0.15">
      <c r="A406" s="56"/>
      <c r="B406" s="56"/>
      <c r="C406" s="229"/>
      <c r="K406" s="56"/>
      <c r="L406" s="56"/>
      <c r="O406" s="56"/>
    </row>
    <row r="407" spans="1:15" ht="13" x14ac:dyDescent="0.15">
      <c r="A407" s="56"/>
      <c r="B407" s="56"/>
      <c r="C407" s="229"/>
      <c r="K407" s="56"/>
      <c r="L407" s="56"/>
      <c r="O407" s="56"/>
    </row>
    <row r="408" spans="1:15" ht="13" x14ac:dyDescent="0.15">
      <c r="A408" s="56"/>
      <c r="B408" s="56"/>
      <c r="C408" s="229"/>
      <c r="K408" s="56"/>
      <c r="L408" s="56"/>
      <c r="O408" s="56"/>
    </row>
    <row r="409" spans="1:15" ht="13" x14ac:dyDescent="0.15">
      <c r="A409" s="56"/>
      <c r="B409" s="56"/>
      <c r="C409" s="229"/>
      <c r="K409" s="56"/>
      <c r="L409" s="56"/>
      <c r="O409" s="56"/>
    </row>
    <row r="410" spans="1:15" ht="13" x14ac:dyDescent="0.15">
      <c r="A410" s="56"/>
      <c r="B410" s="56"/>
      <c r="C410" s="229"/>
      <c r="K410" s="56"/>
      <c r="L410" s="56"/>
      <c r="O410" s="56"/>
    </row>
    <row r="411" spans="1:15" ht="13" x14ac:dyDescent="0.15">
      <c r="A411" s="56"/>
      <c r="B411" s="56"/>
      <c r="C411" s="229"/>
      <c r="K411" s="56"/>
      <c r="L411" s="56"/>
      <c r="O411" s="56"/>
    </row>
    <row r="412" spans="1:15" ht="13" x14ac:dyDescent="0.15">
      <c r="A412" s="56"/>
      <c r="B412" s="56"/>
      <c r="C412" s="229"/>
      <c r="K412" s="56"/>
      <c r="L412" s="56"/>
      <c r="O412" s="56"/>
    </row>
    <row r="413" spans="1:15" ht="13" x14ac:dyDescent="0.15">
      <c r="A413" s="56"/>
      <c r="B413" s="56"/>
      <c r="C413" s="229"/>
      <c r="K413" s="56"/>
      <c r="L413" s="56"/>
      <c r="O413" s="56"/>
    </row>
    <row r="414" spans="1:15" ht="13" x14ac:dyDescent="0.15">
      <c r="A414" s="56"/>
      <c r="B414" s="56"/>
      <c r="C414" s="229"/>
      <c r="K414" s="56"/>
      <c r="L414" s="56"/>
      <c r="O414" s="56"/>
    </row>
    <row r="415" spans="1:15" ht="13" x14ac:dyDescent="0.15">
      <c r="A415" s="56"/>
      <c r="B415" s="56"/>
      <c r="C415" s="229"/>
      <c r="K415" s="56"/>
      <c r="L415" s="56"/>
      <c r="O415" s="56"/>
    </row>
    <row r="416" spans="1:15" ht="13" x14ac:dyDescent="0.15">
      <c r="A416" s="56"/>
      <c r="B416" s="56"/>
      <c r="C416" s="229"/>
      <c r="K416" s="56"/>
      <c r="L416" s="56"/>
      <c r="O416" s="56"/>
    </row>
    <row r="417" spans="1:15" ht="13" x14ac:dyDescent="0.15">
      <c r="A417" s="56"/>
      <c r="B417" s="56"/>
      <c r="C417" s="229"/>
      <c r="K417" s="56"/>
      <c r="L417" s="56"/>
      <c r="O417" s="56"/>
    </row>
    <row r="418" spans="1:15" ht="13" x14ac:dyDescent="0.15">
      <c r="A418" s="56"/>
      <c r="B418" s="56"/>
      <c r="C418" s="229"/>
      <c r="K418" s="56"/>
      <c r="L418" s="56"/>
      <c r="O418" s="56"/>
    </row>
    <row r="419" spans="1:15" ht="13" x14ac:dyDescent="0.15">
      <c r="A419" s="56"/>
      <c r="B419" s="56"/>
      <c r="C419" s="229"/>
      <c r="K419" s="56"/>
      <c r="L419" s="56"/>
      <c r="O419" s="56"/>
    </row>
    <row r="420" spans="1:15" ht="13" x14ac:dyDescent="0.15">
      <c r="A420" s="56"/>
      <c r="B420" s="56"/>
      <c r="C420" s="229"/>
      <c r="K420" s="56"/>
      <c r="L420" s="56"/>
      <c r="O420" s="56"/>
    </row>
    <row r="421" spans="1:15" ht="13" x14ac:dyDescent="0.15">
      <c r="A421" s="56"/>
      <c r="B421" s="56"/>
      <c r="C421" s="229"/>
      <c r="K421" s="56"/>
      <c r="L421" s="56"/>
      <c r="O421" s="56"/>
    </row>
    <row r="422" spans="1:15" ht="13" x14ac:dyDescent="0.15">
      <c r="A422" s="56"/>
      <c r="B422" s="56"/>
      <c r="C422" s="229"/>
      <c r="K422" s="56"/>
      <c r="L422" s="56"/>
      <c r="O422" s="56"/>
    </row>
    <row r="423" spans="1:15" ht="13" x14ac:dyDescent="0.15">
      <c r="A423" s="56"/>
      <c r="B423" s="56"/>
      <c r="C423" s="229"/>
      <c r="K423" s="56"/>
      <c r="L423" s="56"/>
      <c r="O423" s="56"/>
    </row>
    <row r="424" spans="1:15" ht="13" x14ac:dyDescent="0.15">
      <c r="A424" s="56"/>
      <c r="B424" s="56"/>
      <c r="C424" s="229"/>
      <c r="K424" s="56"/>
      <c r="L424" s="56"/>
      <c r="O424" s="56"/>
    </row>
    <row r="425" spans="1:15" ht="13" x14ac:dyDescent="0.15">
      <c r="A425" s="56"/>
      <c r="B425" s="56"/>
      <c r="C425" s="229"/>
      <c r="K425" s="56"/>
      <c r="L425" s="56"/>
      <c r="O425" s="56"/>
    </row>
    <row r="426" spans="1:15" ht="13" x14ac:dyDescent="0.15">
      <c r="A426" s="56"/>
      <c r="B426" s="56"/>
      <c r="C426" s="229"/>
      <c r="K426" s="56"/>
      <c r="L426" s="56"/>
      <c r="O426" s="56"/>
    </row>
    <row r="427" spans="1:15" ht="13" x14ac:dyDescent="0.15">
      <c r="A427" s="56"/>
      <c r="B427" s="56"/>
      <c r="C427" s="229"/>
      <c r="K427" s="56"/>
      <c r="L427" s="56"/>
      <c r="O427" s="56"/>
    </row>
    <row r="428" spans="1:15" ht="13" x14ac:dyDescent="0.15">
      <c r="A428" s="56"/>
      <c r="B428" s="56"/>
      <c r="C428" s="229"/>
      <c r="K428" s="56"/>
      <c r="L428" s="56"/>
      <c r="O428" s="56"/>
    </row>
    <row r="429" spans="1:15" ht="13" x14ac:dyDescent="0.15">
      <c r="A429" s="56"/>
      <c r="B429" s="56"/>
      <c r="C429" s="229"/>
      <c r="K429" s="56"/>
      <c r="L429" s="56"/>
      <c r="O429" s="56"/>
    </row>
    <row r="430" spans="1:15" ht="13" x14ac:dyDescent="0.15">
      <c r="A430" s="56"/>
      <c r="B430" s="56"/>
      <c r="C430" s="229"/>
      <c r="K430" s="56"/>
      <c r="L430" s="56"/>
      <c r="O430" s="56"/>
    </row>
    <row r="431" spans="1:15" ht="13" x14ac:dyDescent="0.15">
      <c r="A431" s="56"/>
      <c r="B431" s="56"/>
      <c r="C431" s="229"/>
      <c r="K431" s="56"/>
      <c r="L431" s="56"/>
      <c r="O431" s="56"/>
    </row>
    <row r="432" spans="1:15" ht="13" x14ac:dyDescent="0.15">
      <c r="A432" s="56"/>
      <c r="B432" s="56"/>
      <c r="C432" s="229"/>
      <c r="K432" s="56"/>
      <c r="L432" s="56"/>
      <c r="O432" s="56"/>
    </row>
    <row r="433" spans="1:15" ht="13" x14ac:dyDescent="0.15">
      <c r="A433" s="56"/>
      <c r="B433" s="56"/>
      <c r="C433" s="229"/>
      <c r="K433" s="56"/>
      <c r="L433" s="56"/>
      <c r="O433" s="56"/>
    </row>
    <row r="434" spans="1:15" ht="13" x14ac:dyDescent="0.15">
      <c r="A434" s="56"/>
      <c r="B434" s="56"/>
      <c r="C434" s="229"/>
      <c r="K434" s="56"/>
      <c r="L434" s="56"/>
      <c r="O434" s="56"/>
    </row>
    <row r="435" spans="1:15" ht="13" x14ac:dyDescent="0.15">
      <c r="A435" s="56"/>
      <c r="B435" s="56"/>
      <c r="C435" s="229"/>
      <c r="K435" s="56"/>
      <c r="L435" s="56"/>
      <c r="O435" s="56"/>
    </row>
    <row r="436" spans="1:15" ht="13" x14ac:dyDescent="0.15">
      <c r="A436" s="56"/>
      <c r="B436" s="56"/>
      <c r="C436" s="229"/>
      <c r="K436" s="56"/>
      <c r="L436" s="56"/>
      <c r="O436" s="56"/>
    </row>
    <row r="437" spans="1:15" ht="13" x14ac:dyDescent="0.15">
      <c r="A437" s="56"/>
      <c r="B437" s="56"/>
      <c r="C437" s="229"/>
      <c r="K437" s="56"/>
      <c r="L437" s="56"/>
      <c r="O437" s="56"/>
    </row>
    <row r="438" spans="1:15" ht="13" x14ac:dyDescent="0.15">
      <c r="A438" s="56"/>
      <c r="B438" s="56"/>
      <c r="C438" s="229"/>
      <c r="K438" s="56"/>
      <c r="L438" s="56"/>
      <c r="O438" s="56"/>
    </row>
    <row r="439" spans="1:15" ht="13" x14ac:dyDescent="0.15">
      <c r="A439" s="56"/>
      <c r="B439" s="56"/>
      <c r="C439" s="229"/>
      <c r="K439" s="56"/>
      <c r="L439" s="56"/>
      <c r="O439" s="56"/>
    </row>
    <row r="440" spans="1:15" ht="13" x14ac:dyDescent="0.15">
      <c r="A440" s="56"/>
      <c r="B440" s="56"/>
      <c r="C440" s="229"/>
      <c r="K440" s="56"/>
      <c r="L440" s="56"/>
      <c r="O440" s="56"/>
    </row>
    <row r="441" spans="1:15" ht="13" x14ac:dyDescent="0.15">
      <c r="A441" s="56"/>
      <c r="B441" s="56"/>
      <c r="C441" s="229"/>
      <c r="K441" s="56"/>
      <c r="L441" s="56"/>
      <c r="O441" s="56"/>
    </row>
    <row r="442" spans="1:15" ht="13" x14ac:dyDescent="0.15">
      <c r="A442" s="56"/>
      <c r="B442" s="56"/>
      <c r="C442" s="229"/>
      <c r="K442" s="56"/>
      <c r="L442" s="56"/>
      <c r="O442" s="56"/>
    </row>
    <row r="443" spans="1:15" ht="13" x14ac:dyDescent="0.15">
      <c r="A443" s="56"/>
      <c r="B443" s="56"/>
      <c r="C443" s="229"/>
      <c r="K443" s="56"/>
      <c r="L443" s="56"/>
      <c r="O443" s="56"/>
    </row>
    <row r="444" spans="1:15" ht="13" x14ac:dyDescent="0.15">
      <c r="A444" s="56"/>
      <c r="B444" s="56"/>
      <c r="C444" s="229"/>
      <c r="K444" s="56"/>
      <c r="L444" s="56"/>
      <c r="O444" s="56"/>
    </row>
    <row r="445" spans="1:15" ht="13" x14ac:dyDescent="0.15">
      <c r="A445" s="56"/>
      <c r="B445" s="56"/>
      <c r="C445" s="229"/>
      <c r="K445" s="56"/>
      <c r="L445" s="56"/>
      <c r="O445" s="56"/>
    </row>
    <row r="446" spans="1:15" ht="13" x14ac:dyDescent="0.15">
      <c r="A446" s="56"/>
      <c r="B446" s="56"/>
      <c r="C446" s="229"/>
      <c r="K446" s="56"/>
      <c r="L446" s="56"/>
      <c r="O446" s="56"/>
    </row>
    <row r="447" spans="1:15" ht="13" x14ac:dyDescent="0.15">
      <c r="A447" s="56"/>
      <c r="B447" s="56"/>
      <c r="C447" s="229"/>
      <c r="K447" s="56"/>
      <c r="L447" s="56"/>
      <c r="O447" s="56"/>
    </row>
    <row r="448" spans="1:15" ht="13" x14ac:dyDescent="0.15">
      <c r="A448" s="56"/>
      <c r="B448" s="56"/>
      <c r="C448" s="229"/>
      <c r="K448" s="56"/>
      <c r="L448" s="56"/>
      <c r="O448" s="56"/>
    </row>
    <row r="449" spans="1:15" ht="13" x14ac:dyDescent="0.15">
      <c r="A449" s="56"/>
      <c r="B449" s="56"/>
      <c r="C449" s="229"/>
      <c r="K449" s="56"/>
      <c r="L449" s="56"/>
      <c r="O449" s="56"/>
    </row>
    <row r="450" spans="1:15" ht="13" x14ac:dyDescent="0.15">
      <c r="A450" s="56"/>
      <c r="B450" s="56"/>
      <c r="C450" s="229"/>
      <c r="K450" s="56"/>
      <c r="L450" s="56"/>
      <c r="O450" s="56"/>
    </row>
    <row r="451" spans="1:15" ht="13" x14ac:dyDescent="0.15">
      <c r="A451" s="56"/>
      <c r="B451" s="56"/>
      <c r="C451" s="229"/>
      <c r="K451" s="56"/>
      <c r="L451" s="56"/>
      <c r="O451" s="56"/>
    </row>
    <row r="452" spans="1:15" ht="13" x14ac:dyDescent="0.15">
      <c r="A452" s="56"/>
      <c r="B452" s="56"/>
      <c r="C452" s="229"/>
      <c r="K452" s="56"/>
      <c r="L452" s="56"/>
      <c r="O452" s="56"/>
    </row>
    <row r="453" spans="1:15" ht="13" x14ac:dyDescent="0.15">
      <c r="A453" s="56"/>
      <c r="B453" s="56"/>
      <c r="C453" s="229"/>
      <c r="K453" s="56"/>
      <c r="L453" s="56"/>
      <c r="O453" s="56"/>
    </row>
    <row r="454" spans="1:15" ht="13" x14ac:dyDescent="0.15">
      <c r="A454" s="56"/>
      <c r="B454" s="56"/>
      <c r="C454" s="229"/>
      <c r="K454" s="56"/>
      <c r="L454" s="56"/>
      <c r="O454" s="56"/>
    </row>
    <row r="455" spans="1:15" ht="13" x14ac:dyDescent="0.15">
      <c r="A455" s="56"/>
      <c r="B455" s="56"/>
      <c r="C455" s="229"/>
      <c r="K455" s="56"/>
      <c r="L455" s="56"/>
      <c r="O455" s="56"/>
    </row>
    <row r="456" spans="1:15" ht="13" x14ac:dyDescent="0.15">
      <c r="A456" s="56"/>
      <c r="B456" s="56"/>
      <c r="C456" s="229"/>
      <c r="K456" s="56"/>
      <c r="L456" s="56"/>
      <c r="O456" s="56"/>
    </row>
    <row r="457" spans="1:15" ht="13" x14ac:dyDescent="0.15">
      <c r="A457" s="56"/>
      <c r="B457" s="56"/>
      <c r="C457" s="229"/>
      <c r="K457" s="56"/>
      <c r="L457" s="56"/>
      <c r="O457" s="56"/>
    </row>
    <row r="458" spans="1:15" ht="13" x14ac:dyDescent="0.15">
      <c r="A458" s="56"/>
      <c r="B458" s="56"/>
      <c r="C458" s="229"/>
      <c r="K458" s="56"/>
      <c r="L458" s="56"/>
      <c r="O458" s="56"/>
    </row>
    <row r="459" spans="1:15" ht="13" x14ac:dyDescent="0.15">
      <c r="A459" s="56"/>
      <c r="B459" s="56"/>
      <c r="C459" s="229"/>
      <c r="K459" s="56"/>
      <c r="L459" s="56"/>
      <c r="O459" s="56"/>
    </row>
    <row r="460" spans="1:15" ht="13" x14ac:dyDescent="0.15">
      <c r="A460" s="56"/>
      <c r="B460" s="56"/>
      <c r="C460" s="229"/>
      <c r="K460" s="56"/>
      <c r="L460" s="56"/>
      <c r="O460" s="56"/>
    </row>
    <row r="461" spans="1:15" ht="13" x14ac:dyDescent="0.15">
      <c r="A461" s="56"/>
      <c r="B461" s="56"/>
      <c r="C461" s="229"/>
      <c r="K461" s="56"/>
      <c r="L461" s="56"/>
      <c r="O461" s="56"/>
    </row>
    <row r="462" spans="1:15" ht="13" x14ac:dyDescent="0.15">
      <c r="A462" s="56"/>
      <c r="B462" s="56"/>
      <c r="C462" s="229"/>
      <c r="K462" s="56"/>
      <c r="L462" s="56"/>
      <c r="O462" s="56"/>
    </row>
    <row r="463" spans="1:15" ht="13" x14ac:dyDescent="0.15">
      <c r="A463" s="56"/>
      <c r="B463" s="56"/>
      <c r="C463" s="229"/>
      <c r="K463" s="56"/>
      <c r="L463" s="56"/>
      <c r="O463" s="56"/>
    </row>
    <row r="464" spans="1:15" ht="13" x14ac:dyDescent="0.15">
      <c r="A464" s="56"/>
      <c r="B464" s="56"/>
      <c r="C464" s="229"/>
      <c r="K464" s="56"/>
      <c r="L464" s="56"/>
      <c r="O464" s="56"/>
    </row>
    <row r="465" spans="1:15" ht="13" x14ac:dyDescent="0.15">
      <c r="A465" s="56"/>
      <c r="B465" s="56"/>
      <c r="C465" s="229"/>
      <c r="K465" s="56"/>
      <c r="L465" s="56"/>
      <c r="O465" s="56"/>
    </row>
    <row r="466" spans="1:15" ht="13" x14ac:dyDescent="0.15">
      <c r="A466" s="56"/>
      <c r="B466" s="56"/>
      <c r="C466" s="229"/>
      <c r="K466" s="56"/>
      <c r="L466" s="56"/>
      <c r="O466" s="56"/>
    </row>
    <row r="467" spans="1:15" ht="13" x14ac:dyDescent="0.15">
      <c r="A467" s="56"/>
      <c r="B467" s="56"/>
      <c r="C467" s="229"/>
      <c r="K467" s="56"/>
      <c r="L467" s="56"/>
      <c r="O467" s="56"/>
    </row>
    <row r="468" spans="1:15" ht="13" x14ac:dyDescent="0.15">
      <c r="A468" s="56"/>
      <c r="B468" s="56"/>
      <c r="C468" s="229"/>
      <c r="K468" s="56"/>
      <c r="L468" s="56"/>
      <c r="O468" s="56"/>
    </row>
    <row r="469" spans="1:15" ht="13" x14ac:dyDescent="0.15">
      <c r="A469" s="56"/>
      <c r="B469" s="56"/>
      <c r="C469" s="229"/>
      <c r="K469" s="56"/>
      <c r="L469" s="56"/>
      <c r="O469" s="56"/>
    </row>
    <row r="470" spans="1:15" ht="13" x14ac:dyDescent="0.15">
      <c r="A470" s="56"/>
      <c r="B470" s="56"/>
      <c r="C470" s="229"/>
      <c r="K470" s="56"/>
      <c r="L470" s="56"/>
      <c r="O470" s="56"/>
    </row>
    <row r="471" spans="1:15" ht="13" x14ac:dyDescent="0.15">
      <c r="A471" s="56"/>
      <c r="B471" s="56"/>
      <c r="C471" s="229"/>
      <c r="K471" s="56"/>
      <c r="L471" s="56"/>
      <c r="O471" s="56"/>
    </row>
    <row r="472" spans="1:15" ht="13" x14ac:dyDescent="0.15">
      <c r="A472" s="56"/>
      <c r="B472" s="56"/>
      <c r="C472" s="229"/>
      <c r="K472" s="56"/>
      <c r="L472" s="56"/>
      <c r="O472" s="56"/>
    </row>
    <row r="473" spans="1:15" ht="13" x14ac:dyDescent="0.15">
      <c r="A473" s="56"/>
      <c r="B473" s="56"/>
      <c r="C473" s="229"/>
      <c r="K473" s="56"/>
      <c r="L473" s="56"/>
      <c r="O473" s="56"/>
    </row>
    <row r="474" spans="1:15" ht="13" x14ac:dyDescent="0.15">
      <c r="A474" s="56"/>
      <c r="B474" s="56"/>
      <c r="C474" s="229"/>
      <c r="K474" s="56"/>
      <c r="L474" s="56"/>
      <c r="O474" s="56"/>
    </row>
    <row r="475" spans="1:15" ht="13" x14ac:dyDescent="0.15">
      <c r="A475" s="56"/>
      <c r="B475" s="56"/>
      <c r="C475" s="229"/>
      <c r="K475" s="56"/>
      <c r="L475" s="56"/>
      <c r="O475" s="56"/>
    </row>
    <row r="476" spans="1:15" ht="13" x14ac:dyDescent="0.15">
      <c r="A476" s="56"/>
      <c r="B476" s="56"/>
      <c r="C476" s="229"/>
      <c r="K476" s="56"/>
      <c r="L476" s="56"/>
      <c r="O476" s="56"/>
    </row>
    <row r="477" spans="1:15" ht="13" x14ac:dyDescent="0.15">
      <c r="A477" s="56"/>
      <c r="B477" s="56"/>
      <c r="C477" s="229"/>
      <c r="K477" s="56"/>
      <c r="L477" s="56"/>
      <c r="O477" s="56"/>
    </row>
    <row r="478" spans="1:15" ht="13" x14ac:dyDescent="0.15">
      <c r="A478" s="56"/>
      <c r="B478" s="56"/>
      <c r="C478" s="229"/>
      <c r="K478" s="56"/>
      <c r="L478" s="56"/>
      <c r="O478" s="56"/>
    </row>
    <row r="479" spans="1:15" ht="13" x14ac:dyDescent="0.15">
      <c r="A479" s="56"/>
      <c r="B479" s="56"/>
      <c r="C479" s="229"/>
      <c r="K479" s="56"/>
      <c r="L479" s="56"/>
      <c r="O479" s="56"/>
    </row>
    <row r="480" spans="1:15" ht="13" x14ac:dyDescent="0.15">
      <c r="A480" s="56"/>
      <c r="B480" s="56"/>
      <c r="C480" s="229"/>
      <c r="K480" s="56"/>
      <c r="L480" s="56"/>
      <c r="O480" s="56"/>
    </row>
    <row r="481" spans="1:15" ht="13" x14ac:dyDescent="0.15">
      <c r="A481" s="56"/>
      <c r="B481" s="56"/>
      <c r="C481" s="229"/>
      <c r="K481" s="56"/>
      <c r="L481" s="56"/>
      <c r="O481" s="56"/>
    </row>
    <row r="482" spans="1:15" ht="13" x14ac:dyDescent="0.15">
      <c r="A482" s="56"/>
      <c r="B482" s="56"/>
      <c r="C482" s="229"/>
      <c r="K482" s="56"/>
      <c r="L482" s="56"/>
      <c r="O482" s="56"/>
    </row>
    <row r="483" spans="1:15" ht="13" x14ac:dyDescent="0.15">
      <c r="A483" s="56"/>
      <c r="B483" s="56"/>
      <c r="C483" s="229"/>
      <c r="K483" s="56"/>
      <c r="L483" s="56"/>
      <c r="O483" s="56"/>
    </row>
    <row r="484" spans="1:15" ht="13" x14ac:dyDescent="0.15">
      <c r="A484" s="56"/>
      <c r="B484" s="56"/>
      <c r="C484" s="229"/>
      <c r="K484" s="56"/>
      <c r="L484" s="56"/>
      <c r="O484" s="56"/>
    </row>
    <row r="485" spans="1:15" ht="13" x14ac:dyDescent="0.15">
      <c r="A485" s="56"/>
      <c r="B485" s="56"/>
      <c r="C485" s="229"/>
      <c r="K485" s="56"/>
      <c r="L485" s="56"/>
      <c r="O485" s="56"/>
    </row>
    <row r="486" spans="1:15" ht="13" x14ac:dyDescent="0.15">
      <c r="A486" s="56"/>
      <c r="B486" s="56"/>
      <c r="C486" s="229"/>
      <c r="K486" s="56"/>
      <c r="L486" s="56"/>
      <c r="O486" s="56"/>
    </row>
    <row r="487" spans="1:15" ht="13" x14ac:dyDescent="0.15">
      <c r="A487" s="56"/>
      <c r="B487" s="56"/>
      <c r="C487" s="229"/>
      <c r="K487" s="56"/>
      <c r="L487" s="56"/>
      <c r="O487" s="56"/>
    </row>
    <row r="488" spans="1:15" ht="13" x14ac:dyDescent="0.15">
      <c r="A488" s="56"/>
      <c r="B488" s="56"/>
      <c r="C488" s="229"/>
      <c r="K488" s="56"/>
      <c r="L488" s="56"/>
      <c r="O488" s="56"/>
    </row>
    <row r="489" spans="1:15" ht="13" x14ac:dyDescent="0.15">
      <c r="A489" s="56"/>
      <c r="B489" s="56"/>
      <c r="C489" s="229"/>
      <c r="K489" s="56"/>
      <c r="L489" s="56"/>
      <c r="O489" s="56"/>
    </row>
    <row r="490" spans="1:15" ht="13" x14ac:dyDescent="0.15">
      <c r="A490" s="56"/>
      <c r="B490" s="56"/>
      <c r="C490" s="229"/>
      <c r="K490" s="56"/>
      <c r="L490" s="56"/>
      <c r="O490" s="56"/>
    </row>
    <row r="491" spans="1:15" ht="13" x14ac:dyDescent="0.15">
      <c r="A491" s="56"/>
      <c r="B491" s="56"/>
      <c r="C491" s="229"/>
      <c r="K491" s="56"/>
      <c r="L491" s="56"/>
      <c r="O491" s="56"/>
    </row>
    <row r="492" spans="1:15" ht="13" x14ac:dyDescent="0.15">
      <c r="A492" s="56"/>
      <c r="B492" s="56"/>
      <c r="C492" s="229"/>
      <c r="K492" s="56"/>
      <c r="L492" s="56"/>
      <c r="O492" s="56"/>
    </row>
    <row r="493" spans="1:15" ht="13" x14ac:dyDescent="0.15">
      <c r="A493" s="56"/>
      <c r="B493" s="56"/>
      <c r="C493" s="229"/>
      <c r="K493" s="56"/>
      <c r="L493" s="56"/>
      <c r="O493" s="56"/>
    </row>
    <row r="494" spans="1:15" ht="13" x14ac:dyDescent="0.15">
      <c r="A494" s="56"/>
      <c r="B494" s="56"/>
      <c r="C494" s="229"/>
      <c r="K494" s="56"/>
      <c r="L494" s="56"/>
      <c r="O494" s="56"/>
    </row>
    <row r="495" spans="1:15" ht="13" x14ac:dyDescent="0.15">
      <c r="A495" s="56"/>
      <c r="B495" s="56"/>
      <c r="C495" s="229"/>
      <c r="K495" s="56"/>
      <c r="L495" s="56"/>
      <c r="O495" s="56"/>
    </row>
    <row r="496" spans="1:15" ht="13" x14ac:dyDescent="0.15">
      <c r="A496" s="56"/>
      <c r="B496" s="56"/>
      <c r="C496" s="229"/>
      <c r="K496" s="56"/>
      <c r="L496" s="56"/>
      <c r="O496" s="56"/>
    </row>
    <row r="497" spans="1:15" ht="13" x14ac:dyDescent="0.15">
      <c r="A497" s="56"/>
      <c r="B497" s="56"/>
      <c r="C497" s="229"/>
      <c r="K497" s="56"/>
      <c r="L497" s="56"/>
      <c r="O497" s="56"/>
    </row>
    <row r="498" spans="1:15" ht="13" x14ac:dyDescent="0.15">
      <c r="A498" s="56"/>
      <c r="B498" s="56"/>
      <c r="C498" s="229"/>
      <c r="K498" s="56"/>
      <c r="L498" s="56"/>
      <c r="O498" s="56"/>
    </row>
    <row r="499" spans="1:15" ht="13" x14ac:dyDescent="0.15">
      <c r="A499" s="56"/>
      <c r="B499" s="56"/>
      <c r="C499" s="229"/>
      <c r="K499" s="56"/>
      <c r="L499" s="56"/>
      <c r="O499" s="56"/>
    </row>
    <row r="500" spans="1:15" ht="13" x14ac:dyDescent="0.15">
      <c r="A500" s="56"/>
      <c r="B500" s="56"/>
      <c r="C500" s="229"/>
      <c r="K500" s="56"/>
      <c r="L500" s="56"/>
      <c r="O500" s="56"/>
    </row>
    <row r="501" spans="1:15" ht="13" x14ac:dyDescent="0.15">
      <c r="A501" s="56"/>
      <c r="B501" s="56"/>
      <c r="C501" s="229"/>
      <c r="K501" s="56"/>
      <c r="L501" s="56"/>
      <c r="O501" s="56"/>
    </row>
    <row r="502" spans="1:15" ht="13" x14ac:dyDescent="0.15">
      <c r="A502" s="56"/>
      <c r="B502" s="56"/>
      <c r="C502" s="229"/>
      <c r="K502" s="56"/>
      <c r="L502" s="56"/>
      <c r="O502" s="56"/>
    </row>
    <row r="503" spans="1:15" ht="13" x14ac:dyDescent="0.15">
      <c r="A503" s="56"/>
      <c r="B503" s="56"/>
      <c r="C503" s="229"/>
      <c r="K503" s="56"/>
      <c r="L503" s="56"/>
      <c r="O503" s="56"/>
    </row>
    <row r="504" spans="1:15" ht="13" x14ac:dyDescent="0.15">
      <c r="A504" s="56"/>
      <c r="B504" s="56"/>
      <c r="C504" s="229"/>
      <c r="K504" s="56"/>
      <c r="L504" s="56"/>
      <c r="O504" s="56"/>
    </row>
    <row r="505" spans="1:15" ht="13" x14ac:dyDescent="0.15">
      <c r="A505" s="56"/>
      <c r="B505" s="56"/>
      <c r="C505" s="229"/>
      <c r="K505" s="56"/>
      <c r="L505" s="56"/>
      <c r="O505" s="56"/>
    </row>
    <row r="506" spans="1:15" ht="13" x14ac:dyDescent="0.15">
      <c r="A506" s="56"/>
      <c r="B506" s="56"/>
      <c r="C506" s="229"/>
      <c r="K506" s="56"/>
      <c r="L506" s="56"/>
      <c r="O506" s="56"/>
    </row>
    <row r="507" spans="1:15" ht="13" x14ac:dyDescent="0.15">
      <c r="A507" s="56"/>
      <c r="B507" s="56"/>
      <c r="C507" s="229"/>
      <c r="K507" s="56"/>
      <c r="L507" s="56"/>
      <c r="O507" s="56"/>
    </row>
    <row r="508" spans="1:15" ht="13" x14ac:dyDescent="0.15">
      <c r="A508" s="56"/>
      <c r="B508" s="56"/>
      <c r="C508" s="229"/>
      <c r="K508" s="56"/>
      <c r="L508" s="56"/>
      <c r="O508" s="56"/>
    </row>
    <row r="509" spans="1:15" ht="13" x14ac:dyDescent="0.15">
      <c r="A509" s="56"/>
      <c r="B509" s="56"/>
      <c r="C509" s="229"/>
      <c r="K509" s="56"/>
      <c r="L509" s="56"/>
      <c r="O509" s="56"/>
    </row>
    <row r="510" spans="1:15" ht="13" x14ac:dyDescent="0.15">
      <c r="A510" s="56"/>
      <c r="B510" s="56"/>
      <c r="C510" s="229"/>
      <c r="K510" s="56"/>
      <c r="L510" s="56"/>
      <c r="O510" s="56"/>
    </row>
    <row r="511" spans="1:15" ht="13" x14ac:dyDescent="0.15">
      <c r="A511" s="56"/>
      <c r="B511" s="56"/>
      <c r="C511" s="229"/>
      <c r="K511" s="56"/>
      <c r="L511" s="56"/>
      <c r="O511" s="56"/>
    </row>
    <row r="512" spans="1:15" ht="13" x14ac:dyDescent="0.15">
      <c r="A512" s="56"/>
      <c r="B512" s="56"/>
      <c r="C512" s="229"/>
      <c r="K512" s="56"/>
      <c r="L512" s="56"/>
      <c r="O512" s="56"/>
    </row>
    <row r="513" spans="1:15" ht="13" x14ac:dyDescent="0.15">
      <c r="A513" s="56"/>
      <c r="B513" s="56"/>
      <c r="C513" s="229"/>
      <c r="K513" s="56"/>
      <c r="L513" s="56"/>
      <c r="O513" s="56"/>
    </row>
    <row r="514" spans="1:15" ht="13" x14ac:dyDescent="0.15">
      <c r="A514" s="56"/>
      <c r="B514" s="56"/>
      <c r="C514" s="229"/>
      <c r="K514" s="56"/>
      <c r="L514" s="56"/>
      <c r="O514" s="56"/>
    </row>
    <row r="515" spans="1:15" ht="13" x14ac:dyDescent="0.15">
      <c r="A515" s="56"/>
      <c r="B515" s="56"/>
      <c r="C515" s="229"/>
      <c r="K515" s="56"/>
      <c r="L515" s="56"/>
      <c r="O515" s="56"/>
    </row>
    <row r="516" spans="1:15" ht="13" x14ac:dyDescent="0.15">
      <c r="A516" s="56"/>
      <c r="B516" s="56"/>
      <c r="C516" s="229"/>
      <c r="K516" s="56"/>
      <c r="L516" s="56"/>
      <c r="O516" s="56"/>
    </row>
    <row r="517" spans="1:15" ht="13" x14ac:dyDescent="0.15">
      <c r="A517" s="56"/>
      <c r="B517" s="56"/>
      <c r="C517" s="229"/>
      <c r="K517" s="56"/>
      <c r="L517" s="56"/>
      <c r="O517" s="56"/>
    </row>
    <row r="518" spans="1:15" ht="13" x14ac:dyDescent="0.15">
      <c r="A518" s="56"/>
      <c r="B518" s="56"/>
      <c r="C518" s="229"/>
      <c r="K518" s="56"/>
      <c r="L518" s="56"/>
      <c r="O518" s="56"/>
    </row>
    <row r="519" spans="1:15" ht="13" x14ac:dyDescent="0.15">
      <c r="A519" s="56"/>
      <c r="B519" s="56"/>
      <c r="C519" s="229"/>
      <c r="K519" s="56"/>
      <c r="L519" s="56"/>
      <c r="O519" s="56"/>
    </row>
    <row r="520" spans="1:15" ht="13" x14ac:dyDescent="0.15">
      <c r="A520" s="56"/>
      <c r="B520" s="56"/>
      <c r="C520" s="229"/>
      <c r="K520" s="56"/>
      <c r="L520" s="56"/>
      <c r="O520" s="56"/>
    </row>
    <row r="521" spans="1:15" ht="13" x14ac:dyDescent="0.15">
      <c r="A521" s="56"/>
      <c r="B521" s="56"/>
      <c r="C521" s="229"/>
      <c r="K521" s="56"/>
      <c r="L521" s="56"/>
      <c r="O521" s="56"/>
    </row>
    <row r="522" spans="1:15" ht="13" x14ac:dyDescent="0.15">
      <c r="A522" s="56"/>
      <c r="B522" s="56"/>
      <c r="C522" s="229"/>
      <c r="K522" s="56"/>
      <c r="L522" s="56"/>
      <c r="O522" s="56"/>
    </row>
    <row r="523" spans="1:15" ht="13" x14ac:dyDescent="0.15">
      <c r="A523" s="56"/>
      <c r="B523" s="56"/>
      <c r="C523" s="229"/>
      <c r="K523" s="56"/>
      <c r="L523" s="56"/>
      <c r="O523" s="56"/>
    </row>
    <row r="524" spans="1:15" ht="13" x14ac:dyDescent="0.15">
      <c r="A524" s="56"/>
      <c r="B524" s="56"/>
      <c r="C524" s="229"/>
      <c r="K524" s="56"/>
      <c r="L524" s="56"/>
      <c r="O524" s="56"/>
    </row>
    <row r="525" spans="1:15" ht="13" x14ac:dyDescent="0.15">
      <c r="A525" s="56"/>
      <c r="B525" s="56"/>
      <c r="C525" s="229"/>
      <c r="K525" s="56"/>
      <c r="L525" s="56"/>
      <c r="O525" s="56"/>
    </row>
    <row r="526" spans="1:15" ht="13" x14ac:dyDescent="0.15">
      <c r="A526" s="56"/>
      <c r="B526" s="56"/>
      <c r="C526" s="229"/>
      <c r="K526" s="56"/>
      <c r="L526" s="56"/>
      <c r="O526" s="56"/>
    </row>
    <row r="527" spans="1:15" ht="13" x14ac:dyDescent="0.15">
      <c r="A527" s="56"/>
      <c r="B527" s="56"/>
      <c r="C527" s="229"/>
      <c r="K527" s="56"/>
      <c r="L527" s="56"/>
      <c r="O527" s="56"/>
    </row>
    <row r="528" spans="1:15" ht="13" x14ac:dyDescent="0.15">
      <c r="A528" s="56"/>
      <c r="B528" s="56"/>
      <c r="C528" s="229"/>
      <c r="K528" s="56"/>
      <c r="L528" s="56"/>
      <c r="O528" s="56"/>
    </row>
    <row r="529" spans="1:15" ht="13" x14ac:dyDescent="0.15">
      <c r="A529" s="56"/>
      <c r="B529" s="56"/>
      <c r="C529" s="229"/>
      <c r="K529" s="56"/>
      <c r="L529" s="56"/>
      <c r="O529" s="56"/>
    </row>
    <row r="530" spans="1:15" ht="13" x14ac:dyDescent="0.15">
      <c r="A530" s="56"/>
      <c r="B530" s="56"/>
      <c r="C530" s="229"/>
      <c r="K530" s="56"/>
      <c r="L530" s="56"/>
      <c r="O530" s="56"/>
    </row>
    <row r="531" spans="1:15" ht="13" x14ac:dyDescent="0.15">
      <c r="A531" s="56"/>
      <c r="B531" s="56"/>
      <c r="C531" s="229"/>
      <c r="K531" s="56"/>
      <c r="L531" s="56"/>
      <c r="O531" s="56"/>
    </row>
    <row r="532" spans="1:15" ht="13" x14ac:dyDescent="0.15">
      <c r="A532" s="56"/>
      <c r="B532" s="56"/>
      <c r="C532" s="229"/>
      <c r="K532" s="56"/>
      <c r="L532" s="56"/>
      <c r="O532" s="56"/>
    </row>
    <row r="533" spans="1:15" ht="13" x14ac:dyDescent="0.15">
      <c r="A533" s="56"/>
      <c r="B533" s="56"/>
      <c r="C533" s="229"/>
      <c r="K533" s="56"/>
      <c r="L533" s="56"/>
      <c r="O533" s="56"/>
    </row>
    <row r="534" spans="1:15" ht="13" x14ac:dyDescent="0.15">
      <c r="A534" s="56"/>
      <c r="B534" s="56"/>
      <c r="C534" s="229"/>
      <c r="K534" s="56"/>
      <c r="L534" s="56"/>
      <c r="O534" s="56"/>
    </row>
    <row r="535" spans="1:15" ht="13" x14ac:dyDescent="0.15">
      <c r="A535" s="56"/>
      <c r="B535" s="56"/>
      <c r="C535" s="229"/>
      <c r="K535" s="56"/>
      <c r="L535" s="56"/>
      <c r="O535" s="56"/>
    </row>
    <row r="536" spans="1:15" ht="13" x14ac:dyDescent="0.15">
      <c r="A536" s="56"/>
      <c r="B536" s="56"/>
      <c r="C536" s="229"/>
      <c r="K536" s="56"/>
      <c r="L536" s="56"/>
      <c r="O536" s="56"/>
    </row>
    <row r="537" spans="1:15" ht="13" x14ac:dyDescent="0.15">
      <c r="A537" s="56"/>
      <c r="B537" s="56"/>
      <c r="C537" s="229"/>
      <c r="K537" s="56"/>
      <c r="L537" s="56"/>
      <c r="O537" s="56"/>
    </row>
    <row r="538" spans="1:15" ht="13" x14ac:dyDescent="0.15">
      <c r="A538" s="56"/>
      <c r="B538" s="56"/>
      <c r="C538" s="229"/>
      <c r="K538" s="56"/>
      <c r="L538" s="56"/>
      <c r="O538" s="56"/>
    </row>
    <row r="539" spans="1:15" ht="13" x14ac:dyDescent="0.15">
      <c r="A539" s="56"/>
      <c r="B539" s="56"/>
      <c r="C539" s="229"/>
      <c r="K539" s="56"/>
      <c r="L539" s="56"/>
      <c r="O539" s="56"/>
    </row>
    <row r="540" spans="1:15" ht="13" x14ac:dyDescent="0.15">
      <c r="A540" s="56"/>
      <c r="B540" s="56"/>
      <c r="C540" s="229"/>
      <c r="K540" s="56"/>
      <c r="L540" s="56"/>
      <c r="O540" s="56"/>
    </row>
    <row r="541" spans="1:15" ht="13" x14ac:dyDescent="0.15">
      <c r="A541" s="56"/>
      <c r="B541" s="56"/>
      <c r="C541" s="229"/>
      <c r="K541" s="56"/>
      <c r="L541" s="56"/>
      <c r="O541" s="56"/>
    </row>
    <row r="542" spans="1:15" ht="13" x14ac:dyDescent="0.15">
      <c r="A542" s="56"/>
      <c r="B542" s="56"/>
      <c r="C542" s="229"/>
      <c r="K542" s="56"/>
      <c r="L542" s="56"/>
      <c r="O542" s="56"/>
    </row>
    <row r="543" spans="1:15" ht="13" x14ac:dyDescent="0.15">
      <c r="A543" s="56"/>
      <c r="B543" s="56"/>
      <c r="C543" s="229"/>
      <c r="K543" s="56"/>
      <c r="L543" s="56"/>
      <c r="O543" s="56"/>
    </row>
    <row r="544" spans="1:15" ht="13" x14ac:dyDescent="0.15">
      <c r="A544" s="56"/>
      <c r="B544" s="56"/>
      <c r="C544" s="229"/>
      <c r="K544" s="56"/>
      <c r="L544" s="56"/>
      <c r="O544" s="56"/>
    </row>
    <row r="545" spans="1:15" ht="13" x14ac:dyDescent="0.15">
      <c r="A545" s="56"/>
      <c r="B545" s="56"/>
      <c r="C545" s="229"/>
      <c r="K545" s="56"/>
      <c r="L545" s="56"/>
      <c r="O545" s="56"/>
    </row>
    <row r="546" spans="1:15" ht="13" x14ac:dyDescent="0.15">
      <c r="A546" s="56"/>
      <c r="B546" s="56"/>
      <c r="C546" s="229"/>
      <c r="K546" s="56"/>
      <c r="L546" s="56"/>
      <c r="O546" s="56"/>
    </row>
    <row r="547" spans="1:15" ht="13" x14ac:dyDescent="0.15">
      <c r="A547" s="56"/>
      <c r="B547" s="56"/>
      <c r="C547" s="229"/>
      <c r="K547" s="56"/>
      <c r="L547" s="56"/>
      <c r="O547" s="56"/>
    </row>
    <row r="548" spans="1:15" ht="13" x14ac:dyDescent="0.15">
      <c r="A548" s="56"/>
      <c r="B548" s="56"/>
      <c r="C548" s="229"/>
      <c r="K548" s="56"/>
      <c r="L548" s="56"/>
      <c r="O548" s="56"/>
    </row>
    <row r="549" spans="1:15" ht="13" x14ac:dyDescent="0.15">
      <c r="A549" s="56"/>
      <c r="B549" s="56"/>
      <c r="C549" s="229"/>
      <c r="K549" s="56"/>
      <c r="L549" s="56"/>
      <c r="O549" s="56"/>
    </row>
    <row r="550" spans="1:15" ht="13" x14ac:dyDescent="0.15">
      <c r="A550" s="56"/>
      <c r="B550" s="56"/>
      <c r="C550" s="229"/>
      <c r="K550" s="56"/>
      <c r="L550" s="56"/>
      <c r="O550" s="56"/>
    </row>
    <row r="551" spans="1:15" ht="13" x14ac:dyDescent="0.15">
      <c r="A551" s="56"/>
      <c r="B551" s="56"/>
      <c r="C551" s="229"/>
      <c r="K551" s="56"/>
      <c r="L551" s="56"/>
      <c r="O551" s="56"/>
    </row>
    <row r="552" spans="1:15" ht="13" x14ac:dyDescent="0.15">
      <c r="A552" s="56"/>
      <c r="B552" s="56"/>
      <c r="C552" s="229"/>
      <c r="K552" s="56"/>
      <c r="L552" s="56"/>
      <c r="O552" s="56"/>
    </row>
    <row r="553" spans="1:15" ht="13" x14ac:dyDescent="0.15">
      <c r="A553" s="56"/>
      <c r="B553" s="56"/>
      <c r="C553" s="229"/>
      <c r="K553" s="56"/>
      <c r="L553" s="56"/>
      <c r="O553" s="56"/>
    </row>
    <row r="554" spans="1:15" ht="13" x14ac:dyDescent="0.15">
      <c r="A554" s="56"/>
      <c r="B554" s="56"/>
      <c r="C554" s="229"/>
      <c r="K554" s="56"/>
      <c r="L554" s="56"/>
      <c r="O554" s="56"/>
    </row>
    <row r="555" spans="1:15" ht="13" x14ac:dyDescent="0.15">
      <c r="A555" s="56"/>
      <c r="B555" s="56"/>
      <c r="C555" s="229"/>
      <c r="K555" s="56"/>
      <c r="L555" s="56"/>
      <c r="O555" s="56"/>
    </row>
    <row r="556" spans="1:15" ht="13" x14ac:dyDescent="0.15">
      <c r="A556" s="56"/>
      <c r="B556" s="56"/>
      <c r="C556" s="229"/>
      <c r="K556" s="56"/>
      <c r="L556" s="56"/>
      <c r="O556" s="56"/>
    </row>
    <row r="557" spans="1:15" ht="13" x14ac:dyDescent="0.15">
      <c r="A557" s="56"/>
      <c r="B557" s="56"/>
      <c r="C557" s="229"/>
      <c r="K557" s="56"/>
      <c r="L557" s="56"/>
      <c r="O557" s="56"/>
    </row>
    <row r="558" spans="1:15" ht="13" x14ac:dyDescent="0.15">
      <c r="A558" s="56"/>
      <c r="B558" s="56"/>
      <c r="C558" s="229"/>
      <c r="K558" s="56"/>
      <c r="L558" s="56"/>
      <c r="O558" s="56"/>
    </row>
    <row r="559" spans="1:15" ht="13" x14ac:dyDescent="0.15">
      <c r="A559" s="56"/>
      <c r="B559" s="56"/>
      <c r="C559" s="229"/>
      <c r="K559" s="56"/>
      <c r="L559" s="56"/>
      <c r="O559" s="56"/>
    </row>
    <row r="560" spans="1:15" ht="13" x14ac:dyDescent="0.15">
      <c r="A560" s="56"/>
      <c r="B560" s="56"/>
      <c r="C560" s="229"/>
      <c r="K560" s="56"/>
      <c r="L560" s="56"/>
      <c r="O560" s="56"/>
    </row>
    <row r="561" spans="1:15" ht="13" x14ac:dyDescent="0.15">
      <c r="A561" s="56"/>
      <c r="B561" s="56"/>
      <c r="C561" s="229"/>
      <c r="K561" s="56"/>
      <c r="L561" s="56"/>
      <c r="O561" s="56"/>
    </row>
    <row r="562" spans="1:15" ht="13" x14ac:dyDescent="0.15">
      <c r="A562" s="56"/>
      <c r="B562" s="56"/>
      <c r="C562" s="229"/>
      <c r="K562" s="56"/>
      <c r="L562" s="56"/>
      <c r="O562" s="56"/>
    </row>
    <row r="563" spans="1:15" ht="13" x14ac:dyDescent="0.15">
      <c r="A563" s="56"/>
      <c r="B563" s="56"/>
      <c r="C563" s="229"/>
      <c r="K563" s="56"/>
      <c r="L563" s="56"/>
      <c r="O563" s="56"/>
    </row>
    <row r="564" spans="1:15" ht="13" x14ac:dyDescent="0.15">
      <c r="A564" s="56"/>
      <c r="B564" s="56"/>
      <c r="C564" s="229"/>
      <c r="K564" s="56"/>
      <c r="L564" s="56"/>
      <c r="O564" s="56"/>
    </row>
    <row r="565" spans="1:15" ht="13" x14ac:dyDescent="0.15">
      <c r="A565" s="56"/>
      <c r="B565" s="56"/>
      <c r="C565" s="229"/>
      <c r="K565" s="56"/>
      <c r="L565" s="56"/>
      <c r="O565" s="56"/>
    </row>
    <row r="566" spans="1:15" ht="13" x14ac:dyDescent="0.15">
      <c r="A566" s="56"/>
      <c r="B566" s="56"/>
      <c r="C566" s="229"/>
      <c r="K566" s="56"/>
      <c r="L566" s="56"/>
      <c r="O566" s="56"/>
    </row>
    <row r="567" spans="1:15" ht="13" x14ac:dyDescent="0.15">
      <c r="A567" s="56"/>
      <c r="B567" s="56"/>
      <c r="C567" s="229"/>
      <c r="K567" s="56"/>
      <c r="L567" s="56"/>
      <c r="O567" s="56"/>
    </row>
    <row r="568" spans="1:15" ht="13" x14ac:dyDescent="0.15">
      <c r="A568" s="56"/>
      <c r="B568" s="56"/>
      <c r="C568" s="229"/>
      <c r="K568" s="56"/>
      <c r="L568" s="56"/>
      <c r="O568" s="56"/>
    </row>
    <row r="569" spans="1:15" ht="13" x14ac:dyDescent="0.15">
      <c r="A569" s="56"/>
      <c r="B569" s="56"/>
      <c r="C569" s="229"/>
      <c r="K569" s="56"/>
      <c r="L569" s="56"/>
      <c r="O569" s="56"/>
    </row>
    <row r="570" spans="1:15" ht="13" x14ac:dyDescent="0.15">
      <c r="A570" s="56"/>
      <c r="B570" s="56"/>
      <c r="C570" s="229"/>
      <c r="K570" s="56"/>
      <c r="L570" s="56"/>
      <c r="O570" s="56"/>
    </row>
    <row r="571" spans="1:15" ht="13" x14ac:dyDescent="0.15">
      <c r="A571" s="56"/>
      <c r="B571" s="56"/>
      <c r="C571" s="229"/>
      <c r="K571" s="56"/>
      <c r="L571" s="56"/>
      <c r="O571" s="56"/>
    </row>
    <row r="572" spans="1:15" ht="13" x14ac:dyDescent="0.15">
      <c r="A572" s="56"/>
      <c r="B572" s="56"/>
      <c r="C572" s="229"/>
      <c r="K572" s="56"/>
      <c r="L572" s="56"/>
      <c r="O572" s="56"/>
    </row>
    <row r="573" spans="1:15" ht="13" x14ac:dyDescent="0.15">
      <c r="A573" s="56"/>
      <c r="B573" s="56"/>
      <c r="C573" s="229"/>
      <c r="K573" s="56"/>
      <c r="L573" s="56"/>
      <c r="O573" s="56"/>
    </row>
    <row r="574" spans="1:15" ht="13" x14ac:dyDescent="0.15">
      <c r="A574" s="56"/>
      <c r="B574" s="56"/>
      <c r="C574" s="229"/>
      <c r="K574" s="56"/>
      <c r="L574" s="56"/>
      <c r="O574" s="56"/>
    </row>
    <row r="575" spans="1:15" ht="13" x14ac:dyDescent="0.15">
      <c r="A575" s="56"/>
      <c r="B575" s="56"/>
      <c r="C575" s="229"/>
      <c r="K575" s="56"/>
      <c r="L575" s="56"/>
      <c r="O575" s="56"/>
    </row>
    <row r="576" spans="1:15" ht="13" x14ac:dyDescent="0.15">
      <c r="A576" s="56"/>
      <c r="B576" s="56"/>
      <c r="C576" s="229"/>
      <c r="K576" s="56"/>
      <c r="L576" s="56"/>
      <c r="O576" s="56"/>
    </row>
    <row r="577" spans="1:15" ht="13" x14ac:dyDescent="0.15">
      <c r="A577" s="56"/>
      <c r="B577" s="56"/>
      <c r="C577" s="229"/>
      <c r="K577" s="56"/>
      <c r="L577" s="56"/>
      <c r="O577" s="56"/>
    </row>
    <row r="578" spans="1:15" ht="13" x14ac:dyDescent="0.15">
      <c r="A578" s="56"/>
      <c r="B578" s="56"/>
      <c r="C578" s="229"/>
      <c r="K578" s="56"/>
      <c r="L578" s="56"/>
      <c r="O578" s="56"/>
    </row>
    <row r="579" spans="1:15" ht="13" x14ac:dyDescent="0.15">
      <c r="A579" s="56"/>
      <c r="B579" s="56"/>
      <c r="C579" s="229"/>
      <c r="K579" s="56"/>
      <c r="L579" s="56"/>
      <c r="O579" s="56"/>
    </row>
    <row r="580" spans="1:15" ht="13" x14ac:dyDescent="0.15">
      <c r="A580" s="56"/>
      <c r="B580" s="56"/>
      <c r="C580" s="229"/>
      <c r="K580" s="56"/>
      <c r="L580" s="56"/>
      <c r="O580" s="56"/>
    </row>
    <row r="581" spans="1:15" ht="13" x14ac:dyDescent="0.15">
      <c r="A581" s="56"/>
      <c r="B581" s="56"/>
      <c r="C581" s="229"/>
      <c r="K581" s="56"/>
      <c r="L581" s="56"/>
      <c r="O581" s="56"/>
    </row>
    <row r="582" spans="1:15" ht="13" x14ac:dyDescent="0.15">
      <c r="A582" s="56"/>
      <c r="B582" s="56"/>
      <c r="C582" s="229"/>
      <c r="K582" s="56"/>
      <c r="L582" s="56"/>
      <c r="O582" s="56"/>
    </row>
    <row r="583" spans="1:15" ht="13" x14ac:dyDescent="0.15">
      <c r="A583" s="56"/>
      <c r="B583" s="56"/>
      <c r="C583" s="229"/>
      <c r="K583" s="56"/>
      <c r="L583" s="56"/>
      <c r="O583" s="56"/>
    </row>
    <row r="584" spans="1:15" ht="13" x14ac:dyDescent="0.15">
      <c r="A584" s="56"/>
      <c r="B584" s="56"/>
      <c r="C584" s="229"/>
      <c r="K584" s="56"/>
      <c r="L584" s="56"/>
      <c r="O584" s="56"/>
    </row>
    <row r="585" spans="1:15" ht="13" x14ac:dyDescent="0.15">
      <c r="A585" s="56"/>
      <c r="B585" s="56"/>
      <c r="C585" s="229"/>
      <c r="K585" s="56"/>
      <c r="L585" s="56"/>
      <c r="O585" s="56"/>
    </row>
    <row r="586" spans="1:15" ht="13" x14ac:dyDescent="0.15">
      <c r="A586" s="56"/>
      <c r="B586" s="56"/>
      <c r="C586" s="229"/>
      <c r="K586" s="56"/>
      <c r="L586" s="56"/>
      <c r="O586" s="56"/>
    </row>
    <row r="587" spans="1:15" ht="13" x14ac:dyDescent="0.15">
      <c r="A587" s="56"/>
      <c r="B587" s="56"/>
      <c r="C587" s="229"/>
      <c r="K587" s="56"/>
      <c r="L587" s="56"/>
      <c r="O587" s="56"/>
    </row>
    <row r="588" spans="1:15" ht="13" x14ac:dyDescent="0.15">
      <c r="A588" s="56"/>
      <c r="B588" s="56"/>
      <c r="C588" s="229"/>
      <c r="K588" s="56"/>
      <c r="L588" s="56"/>
      <c r="O588" s="56"/>
    </row>
    <row r="589" spans="1:15" ht="13" x14ac:dyDescent="0.15">
      <c r="A589" s="56"/>
      <c r="B589" s="56"/>
      <c r="C589" s="229"/>
      <c r="K589" s="56"/>
      <c r="L589" s="56"/>
      <c r="O589" s="56"/>
    </row>
    <row r="590" spans="1:15" ht="13" x14ac:dyDescent="0.15">
      <c r="A590" s="56"/>
      <c r="B590" s="56"/>
      <c r="C590" s="229"/>
      <c r="K590" s="56"/>
      <c r="L590" s="56"/>
      <c r="O590" s="56"/>
    </row>
    <row r="591" spans="1:15" ht="13" x14ac:dyDescent="0.15">
      <c r="A591" s="56"/>
      <c r="B591" s="56"/>
      <c r="C591" s="229"/>
      <c r="K591" s="56"/>
      <c r="L591" s="56"/>
      <c r="O591" s="56"/>
    </row>
    <row r="592" spans="1:15" ht="13" x14ac:dyDescent="0.15">
      <c r="A592" s="56"/>
      <c r="B592" s="56"/>
      <c r="C592" s="229"/>
      <c r="K592" s="56"/>
      <c r="L592" s="56"/>
      <c r="O592" s="56"/>
    </row>
    <row r="593" spans="1:15" ht="13" x14ac:dyDescent="0.15">
      <c r="A593" s="56"/>
      <c r="B593" s="56"/>
      <c r="C593" s="229"/>
      <c r="K593" s="56"/>
      <c r="L593" s="56"/>
      <c r="O593" s="56"/>
    </row>
    <row r="594" spans="1:15" ht="13" x14ac:dyDescent="0.15">
      <c r="A594" s="56"/>
      <c r="B594" s="56"/>
      <c r="C594" s="229"/>
      <c r="K594" s="56"/>
      <c r="L594" s="56"/>
      <c r="O594" s="56"/>
    </row>
    <row r="595" spans="1:15" ht="13" x14ac:dyDescent="0.15">
      <c r="A595" s="56"/>
      <c r="B595" s="56"/>
      <c r="C595" s="229"/>
      <c r="K595" s="56"/>
      <c r="L595" s="56"/>
      <c r="O595" s="56"/>
    </row>
    <row r="596" spans="1:15" ht="13" x14ac:dyDescent="0.15">
      <c r="A596" s="56"/>
      <c r="B596" s="56"/>
      <c r="C596" s="229"/>
      <c r="K596" s="56"/>
      <c r="L596" s="56"/>
      <c r="O596" s="56"/>
    </row>
    <row r="597" spans="1:15" ht="13" x14ac:dyDescent="0.15">
      <c r="A597" s="56"/>
      <c r="B597" s="56"/>
      <c r="C597" s="229"/>
      <c r="K597" s="56"/>
      <c r="L597" s="56"/>
      <c r="O597" s="56"/>
    </row>
    <row r="598" spans="1:15" ht="13" x14ac:dyDescent="0.15">
      <c r="A598" s="56"/>
      <c r="B598" s="56"/>
      <c r="C598" s="229"/>
      <c r="K598" s="56"/>
      <c r="L598" s="56"/>
      <c r="O598" s="56"/>
    </row>
    <row r="599" spans="1:15" ht="13" x14ac:dyDescent="0.15">
      <c r="A599" s="56"/>
      <c r="B599" s="56"/>
      <c r="C599" s="229"/>
      <c r="K599" s="56"/>
      <c r="L599" s="56"/>
      <c r="O599" s="56"/>
    </row>
    <row r="600" spans="1:15" ht="13" x14ac:dyDescent="0.15">
      <c r="A600" s="56"/>
      <c r="B600" s="56"/>
      <c r="C600" s="229"/>
      <c r="K600" s="56"/>
      <c r="L600" s="56"/>
      <c r="O600" s="56"/>
    </row>
    <row r="601" spans="1:15" ht="13" x14ac:dyDescent="0.15">
      <c r="A601" s="56"/>
      <c r="B601" s="56"/>
      <c r="C601" s="229"/>
      <c r="K601" s="56"/>
      <c r="L601" s="56"/>
      <c r="O601" s="56"/>
    </row>
    <row r="602" spans="1:15" ht="13" x14ac:dyDescent="0.15">
      <c r="A602" s="56"/>
      <c r="B602" s="56"/>
      <c r="C602" s="229"/>
      <c r="K602" s="56"/>
      <c r="L602" s="56"/>
      <c r="O602" s="56"/>
    </row>
    <row r="603" spans="1:15" ht="13" x14ac:dyDescent="0.15">
      <c r="A603" s="56"/>
      <c r="B603" s="56"/>
      <c r="C603" s="229"/>
      <c r="K603" s="56"/>
      <c r="L603" s="56"/>
      <c r="O603" s="56"/>
    </row>
    <row r="604" spans="1:15" ht="13" x14ac:dyDescent="0.15">
      <c r="A604" s="56"/>
      <c r="B604" s="56"/>
      <c r="C604" s="229"/>
      <c r="K604" s="56"/>
      <c r="L604" s="56"/>
      <c r="O604" s="56"/>
    </row>
    <row r="605" spans="1:15" ht="13" x14ac:dyDescent="0.15">
      <c r="A605" s="56"/>
      <c r="B605" s="56"/>
      <c r="C605" s="229"/>
      <c r="K605" s="56"/>
      <c r="L605" s="56"/>
      <c r="O605" s="56"/>
    </row>
    <row r="606" spans="1:15" ht="13" x14ac:dyDescent="0.15">
      <c r="A606" s="56"/>
      <c r="B606" s="56"/>
      <c r="C606" s="229"/>
      <c r="K606" s="56"/>
      <c r="L606" s="56"/>
      <c r="O606" s="56"/>
    </row>
    <row r="607" spans="1:15" ht="13" x14ac:dyDescent="0.15">
      <c r="A607" s="56"/>
      <c r="B607" s="56"/>
      <c r="C607" s="229"/>
      <c r="K607" s="56"/>
      <c r="L607" s="56"/>
      <c r="O607" s="56"/>
    </row>
    <row r="608" spans="1:15" ht="13" x14ac:dyDescent="0.15">
      <c r="A608" s="56"/>
      <c r="B608" s="56"/>
      <c r="C608" s="229"/>
      <c r="K608" s="56"/>
      <c r="L608" s="56"/>
      <c r="O608" s="56"/>
    </row>
    <row r="609" spans="1:15" ht="13" x14ac:dyDescent="0.15">
      <c r="A609" s="56"/>
      <c r="B609" s="56"/>
      <c r="C609" s="229"/>
      <c r="K609" s="56"/>
      <c r="L609" s="56"/>
      <c r="O609" s="56"/>
    </row>
    <row r="610" spans="1:15" ht="13" x14ac:dyDescent="0.15">
      <c r="A610" s="56"/>
      <c r="B610" s="56"/>
      <c r="C610" s="229"/>
      <c r="K610" s="56"/>
      <c r="L610" s="56"/>
      <c r="O610" s="56"/>
    </row>
    <row r="611" spans="1:15" ht="13" x14ac:dyDescent="0.15">
      <c r="A611" s="56"/>
      <c r="B611" s="56"/>
      <c r="C611" s="229"/>
      <c r="K611" s="56"/>
      <c r="L611" s="56"/>
      <c r="O611" s="56"/>
    </row>
    <row r="612" spans="1:15" ht="13" x14ac:dyDescent="0.15">
      <c r="A612" s="56"/>
      <c r="B612" s="56"/>
      <c r="C612" s="229"/>
      <c r="K612" s="56"/>
      <c r="L612" s="56"/>
      <c r="O612" s="56"/>
    </row>
    <row r="613" spans="1:15" ht="13" x14ac:dyDescent="0.15">
      <c r="A613" s="56"/>
      <c r="B613" s="56"/>
      <c r="C613" s="229"/>
      <c r="K613" s="56"/>
      <c r="L613" s="56"/>
      <c r="O613" s="56"/>
    </row>
    <row r="614" spans="1:15" ht="13" x14ac:dyDescent="0.15">
      <c r="A614" s="56"/>
      <c r="B614" s="56"/>
      <c r="C614" s="229"/>
      <c r="K614" s="56"/>
      <c r="L614" s="56"/>
      <c r="O614" s="56"/>
    </row>
    <row r="615" spans="1:15" ht="13" x14ac:dyDescent="0.15">
      <c r="A615" s="56"/>
      <c r="B615" s="56"/>
      <c r="C615" s="229"/>
      <c r="K615" s="56"/>
      <c r="L615" s="56"/>
      <c r="O615" s="56"/>
    </row>
    <row r="616" spans="1:15" ht="13" x14ac:dyDescent="0.15">
      <c r="A616" s="56"/>
      <c r="B616" s="56"/>
      <c r="C616" s="229"/>
      <c r="K616" s="56"/>
      <c r="L616" s="56"/>
      <c r="O616" s="56"/>
    </row>
    <row r="617" spans="1:15" ht="13" x14ac:dyDescent="0.15">
      <c r="A617" s="56"/>
      <c r="B617" s="56"/>
      <c r="C617" s="229"/>
      <c r="K617" s="56"/>
      <c r="L617" s="56"/>
      <c r="O617" s="56"/>
    </row>
    <row r="618" spans="1:15" ht="13" x14ac:dyDescent="0.15">
      <c r="A618" s="56"/>
      <c r="B618" s="56"/>
      <c r="C618" s="229"/>
      <c r="K618" s="56"/>
      <c r="L618" s="56"/>
      <c r="O618" s="56"/>
    </row>
    <row r="619" spans="1:15" ht="13" x14ac:dyDescent="0.15">
      <c r="A619" s="56"/>
      <c r="B619" s="56"/>
      <c r="C619" s="229"/>
      <c r="K619" s="56"/>
      <c r="L619" s="56"/>
      <c r="O619" s="56"/>
    </row>
    <row r="620" spans="1:15" ht="13" x14ac:dyDescent="0.15">
      <c r="A620" s="56"/>
      <c r="B620" s="56"/>
      <c r="C620" s="229"/>
      <c r="K620" s="56"/>
      <c r="L620" s="56"/>
      <c r="O620" s="56"/>
    </row>
    <row r="621" spans="1:15" ht="13" x14ac:dyDescent="0.15">
      <c r="A621" s="56"/>
      <c r="B621" s="56"/>
      <c r="C621" s="229"/>
      <c r="K621" s="56"/>
      <c r="L621" s="56"/>
      <c r="O621" s="56"/>
    </row>
    <row r="622" spans="1:15" ht="13" x14ac:dyDescent="0.15">
      <c r="A622" s="56"/>
      <c r="B622" s="56"/>
      <c r="C622" s="229"/>
      <c r="K622" s="56"/>
      <c r="L622" s="56"/>
      <c r="O622" s="56"/>
    </row>
    <row r="623" spans="1:15" ht="13" x14ac:dyDescent="0.15">
      <c r="A623" s="56"/>
      <c r="B623" s="56"/>
      <c r="C623" s="229"/>
      <c r="K623" s="56"/>
      <c r="L623" s="56"/>
      <c r="O623" s="56"/>
    </row>
    <row r="624" spans="1:15" ht="13" x14ac:dyDescent="0.15">
      <c r="A624" s="56"/>
      <c r="B624" s="56"/>
      <c r="C624" s="229"/>
      <c r="K624" s="56"/>
      <c r="L624" s="56"/>
      <c r="O624" s="56"/>
    </row>
    <row r="625" spans="1:15" ht="13" x14ac:dyDescent="0.15">
      <c r="A625" s="56"/>
      <c r="B625" s="56"/>
      <c r="C625" s="229"/>
      <c r="K625" s="56"/>
      <c r="L625" s="56"/>
      <c r="O625" s="56"/>
    </row>
    <row r="626" spans="1:15" ht="13" x14ac:dyDescent="0.15">
      <c r="A626" s="56"/>
      <c r="B626" s="56"/>
      <c r="C626" s="229"/>
      <c r="K626" s="56"/>
      <c r="L626" s="56"/>
      <c r="O626" s="56"/>
    </row>
    <row r="627" spans="1:15" ht="13" x14ac:dyDescent="0.15">
      <c r="A627" s="56"/>
      <c r="B627" s="56"/>
      <c r="C627" s="229"/>
      <c r="K627" s="56"/>
      <c r="L627" s="56"/>
      <c r="O627" s="56"/>
    </row>
    <row r="628" spans="1:15" ht="13" x14ac:dyDescent="0.15">
      <c r="A628" s="56"/>
      <c r="B628" s="56"/>
      <c r="C628" s="229"/>
      <c r="K628" s="56"/>
      <c r="L628" s="56"/>
      <c r="O628" s="56"/>
    </row>
    <row r="629" spans="1:15" ht="13" x14ac:dyDescent="0.15">
      <c r="A629" s="56"/>
      <c r="B629" s="56"/>
      <c r="C629" s="229"/>
      <c r="K629" s="56"/>
      <c r="L629" s="56"/>
      <c r="O629" s="56"/>
    </row>
    <row r="630" spans="1:15" ht="13" x14ac:dyDescent="0.15">
      <c r="A630" s="56"/>
      <c r="B630" s="56"/>
      <c r="C630" s="229"/>
      <c r="K630" s="56"/>
      <c r="L630" s="56"/>
      <c r="O630" s="56"/>
    </row>
    <row r="631" spans="1:15" ht="13" x14ac:dyDescent="0.15">
      <c r="A631" s="56"/>
      <c r="B631" s="56"/>
      <c r="C631" s="229"/>
      <c r="K631" s="56"/>
      <c r="L631" s="56"/>
      <c r="O631" s="56"/>
    </row>
    <row r="632" spans="1:15" ht="13" x14ac:dyDescent="0.15">
      <c r="A632" s="56"/>
      <c r="B632" s="56"/>
      <c r="C632" s="229"/>
      <c r="K632" s="56"/>
      <c r="L632" s="56"/>
      <c r="O632" s="56"/>
    </row>
    <row r="633" spans="1:15" ht="13" x14ac:dyDescent="0.15">
      <c r="A633" s="56"/>
      <c r="B633" s="56"/>
      <c r="C633" s="229"/>
      <c r="K633" s="56"/>
      <c r="L633" s="56"/>
      <c r="O633" s="56"/>
    </row>
    <row r="634" spans="1:15" ht="13" x14ac:dyDescent="0.15">
      <c r="A634" s="56"/>
      <c r="B634" s="56"/>
      <c r="C634" s="229"/>
      <c r="K634" s="56"/>
      <c r="L634" s="56"/>
      <c r="O634" s="56"/>
    </row>
    <row r="635" spans="1:15" ht="13" x14ac:dyDescent="0.15">
      <c r="A635" s="56"/>
      <c r="B635" s="56"/>
      <c r="C635" s="229"/>
      <c r="K635" s="56"/>
      <c r="L635" s="56"/>
      <c r="O635" s="56"/>
    </row>
    <row r="636" spans="1:15" ht="13" x14ac:dyDescent="0.15">
      <c r="A636" s="56"/>
      <c r="B636" s="56"/>
      <c r="C636" s="229"/>
      <c r="K636" s="56"/>
      <c r="L636" s="56"/>
      <c r="O636" s="56"/>
    </row>
    <row r="637" spans="1:15" ht="13" x14ac:dyDescent="0.15">
      <c r="A637" s="56"/>
      <c r="B637" s="56"/>
      <c r="C637" s="229"/>
      <c r="K637" s="56"/>
      <c r="L637" s="56"/>
      <c r="O637" s="56"/>
    </row>
    <row r="638" spans="1:15" ht="13" x14ac:dyDescent="0.15">
      <c r="A638" s="56"/>
      <c r="B638" s="56"/>
      <c r="C638" s="229"/>
      <c r="K638" s="56"/>
      <c r="L638" s="56"/>
      <c r="O638" s="56"/>
    </row>
    <row r="639" spans="1:15" ht="13" x14ac:dyDescent="0.15">
      <c r="A639" s="56"/>
      <c r="B639" s="56"/>
      <c r="C639" s="229"/>
      <c r="K639" s="56"/>
      <c r="L639" s="56"/>
      <c r="O639" s="56"/>
    </row>
    <row r="640" spans="1:15" ht="13" x14ac:dyDescent="0.15">
      <c r="A640" s="56"/>
      <c r="B640" s="56"/>
      <c r="C640" s="229"/>
      <c r="K640" s="56"/>
      <c r="L640" s="56"/>
      <c r="O640" s="56"/>
    </row>
    <row r="641" spans="1:15" ht="13" x14ac:dyDescent="0.15">
      <c r="A641" s="56"/>
      <c r="B641" s="56"/>
      <c r="C641" s="229"/>
      <c r="K641" s="56"/>
      <c r="L641" s="56"/>
      <c r="O641" s="56"/>
    </row>
    <row r="642" spans="1:15" ht="13" x14ac:dyDescent="0.15">
      <c r="A642" s="56"/>
      <c r="B642" s="56"/>
      <c r="C642" s="229"/>
      <c r="K642" s="56"/>
      <c r="L642" s="56"/>
      <c r="O642" s="56"/>
    </row>
    <row r="643" spans="1:15" ht="13" x14ac:dyDescent="0.15">
      <c r="A643" s="56"/>
      <c r="B643" s="56"/>
      <c r="C643" s="229"/>
      <c r="K643" s="56"/>
      <c r="L643" s="56"/>
      <c r="O643" s="56"/>
    </row>
    <row r="644" spans="1:15" ht="13" x14ac:dyDescent="0.15">
      <c r="A644" s="56"/>
      <c r="B644" s="56"/>
      <c r="C644" s="229"/>
      <c r="K644" s="56"/>
      <c r="L644" s="56"/>
      <c r="O644" s="56"/>
    </row>
    <row r="645" spans="1:15" ht="13" x14ac:dyDescent="0.15">
      <c r="A645" s="56"/>
      <c r="B645" s="56"/>
      <c r="C645" s="229"/>
      <c r="K645" s="56"/>
      <c r="L645" s="56"/>
      <c r="O645" s="56"/>
    </row>
    <row r="646" spans="1:15" ht="13" x14ac:dyDescent="0.15">
      <c r="A646" s="56"/>
      <c r="B646" s="56"/>
      <c r="C646" s="229"/>
      <c r="K646" s="56"/>
      <c r="L646" s="56"/>
      <c r="O646" s="56"/>
    </row>
    <row r="647" spans="1:15" ht="13" x14ac:dyDescent="0.15">
      <c r="A647" s="56"/>
      <c r="B647" s="56"/>
      <c r="C647" s="229"/>
      <c r="K647" s="56"/>
      <c r="L647" s="56"/>
      <c r="O647" s="56"/>
    </row>
    <row r="648" spans="1:15" ht="13" x14ac:dyDescent="0.15">
      <c r="A648" s="56"/>
      <c r="B648" s="56"/>
      <c r="C648" s="229"/>
      <c r="K648" s="56"/>
      <c r="L648" s="56"/>
      <c r="O648" s="56"/>
    </row>
    <row r="649" spans="1:15" ht="13" x14ac:dyDescent="0.15">
      <c r="A649" s="56"/>
      <c r="B649" s="56"/>
      <c r="C649" s="229"/>
      <c r="K649" s="56"/>
      <c r="L649" s="56"/>
      <c r="O649" s="56"/>
    </row>
    <row r="650" spans="1:15" ht="13" x14ac:dyDescent="0.15">
      <c r="A650" s="56"/>
      <c r="B650" s="56"/>
      <c r="C650" s="229"/>
      <c r="K650" s="56"/>
      <c r="L650" s="56"/>
      <c r="O650" s="56"/>
    </row>
    <row r="651" spans="1:15" ht="13" x14ac:dyDescent="0.15">
      <c r="A651" s="56"/>
      <c r="B651" s="56"/>
      <c r="C651" s="229"/>
      <c r="K651" s="56"/>
      <c r="L651" s="56"/>
      <c r="O651" s="56"/>
    </row>
    <row r="652" spans="1:15" ht="13" x14ac:dyDescent="0.15">
      <c r="A652" s="56"/>
      <c r="B652" s="56"/>
      <c r="C652" s="229"/>
      <c r="K652" s="56"/>
      <c r="L652" s="56"/>
      <c r="O652" s="56"/>
    </row>
    <row r="653" spans="1:15" ht="13" x14ac:dyDescent="0.15">
      <c r="A653" s="56"/>
      <c r="B653" s="56"/>
      <c r="C653" s="229"/>
      <c r="K653" s="56"/>
      <c r="L653" s="56"/>
      <c r="O653" s="56"/>
    </row>
    <row r="654" spans="1:15" ht="13" x14ac:dyDescent="0.15">
      <c r="A654" s="56"/>
      <c r="B654" s="56"/>
      <c r="C654" s="229"/>
      <c r="K654" s="56"/>
      <c r="L654" s="56"/>
      <c r="O654" s="56"/>
    </row>
    <row r="655" spans="1:15" ht="13" x14ac:dyDescent="0.15">
      <c r="A655" s="56"/>
      <c r="B655" s="56"/>
      <c r="C655" s="229"/>
      <c r="K655" s="56"/>
      <c r="L655" s="56"/>
      <c r="O655" s="56"/>
    </row>
    <row r="656" spans="1:15" ht="13" x14ac:dyDescent="0.15">
      <c r="A656" s="56"/>
      <c r="B656" s="56"/>
      <c r="C656" s="229"/>
      <c r="K656" s="56"/>
      <c r="L656" s="56"/>
      <c r="O656" s="56"/>
    </row>
    <row r="657" spans="1:15" ht="13" x14ac:dyDescent="0.15">
      <c r="A657" s="56"/>
      <c r="B657" s="56"/>
      <c r="C657" s="229"/>
      <c r="K657" s="56"/>
      <c r="L657" s="56"/>
      <c r="O657" s="56"/>
    </row>
    <row r="658" spans="1:15" ht="13" x14ac:dyDescent="0.15">
      <c r="A658" s="56"/>
      <c r="B658" s="56"/>
      <c r="C658" s="229"/>
      <c r="K658" s="56"/>
      <c r="L658" s="56"/>
      <c r="O658" s="56"/>
    </row>
    <row r="659" spans="1:15" ht="13" x14ac:dyDescent="0.15">
      <c r="A659" s="56"/>
      <c r="B659" s="56"/>
      <c r="C659" s="229"/>
      <c r="K659" s="56"/>
      <c r="L659" s="56"/>
      <c r="O659" s="56"/>
    </row>
    <row r="660" spans="1:15" ht="13" x14ac:dyDescent="0.15">
      <c r="A660" s="56"/>
      <c r="B660" s="56"/>
      <c r="C660" s="229"/>
      <c r="K660" s="56"/>
      <c r="L660" s="56"/>
      <c r="O660" s="56"/>
    </row>
    <row r="661" spans="1:15" ht="13" x14ac:dyDescent="0.15">
      <c r="A661" s="56"/>
      <c r="B661" s="56"/>
      <c r="C661" s="229"/>
      <c r="K661" s="56"/>
      <c r="L661" s="56"/>
      <c r="O661" s="56"/>
    </row>
    <row r="662" spans="1:15" ht="13" x14ac:dyDescent="0.15">
      <c r="A662" s="56"/>
      <c r="B662" s="56"/>
      <c r="C662" s="229"/>
      <c r="K662" s="56"/>
      <c r="L662" s="56"/>
      <c r="O662" s="56"/>
    </row>
    <row r="663" spans="1:15" ht="13" x14ac:dyDescent="0.15">
      <c r="A663" s="56"/>
      <c r="B663" s="56"/>
      <c r="C663" s="229"/>
      <c r="K663" s="56"/>
      <c r="L663" s="56"/>
      <c r="O663" s="56"/>
    </row>
    <row r="664" spans="1:15" ht="13" x14ac:dyDescent="0.15">
      <c r="A664" s="56"/>
      <c r="B664" s="56"/>
      <c r="C664" s="229"/>
      <c r="K664" s="56"/>
      <c r="L664" s="56"/>
      <c r="O664" s="56"/>
    </row>
    <row r="665" spans="1:15" ht="13" x14ac:dyDescent="0.15">
      <c r="A665" s="56"/>
      <c r="B665" s="56"/>
      <c r="C665" s="229"/>
      <c r="K665" s="56"/>
      <c r="L665" s="56"/>
      <c r="O665" s="56"/>
    </row>
    <row r="666" spans="1:15" ht="13" x14ac:dyDescent="0.15">
      <c r="A666" s="56"/>
      <c r="B666" s="56"/>
      <c r="C666" s="229"/>
      <c r="K666" s="56"/>
      <c r="L666" s="56"/>
      <c r="O666" s="56"/>
    </row>
    <row r="667" spans="1:15" ht="13" x14ac:dyDescent="0.15">
      <c r="A667" s="56"/>
      <c r="B667" s="56"/>
      <c r="C667" s="229"/>
      <c r="K667" s="56"/>
      <c r="L667" s="56"/>
      <c r="O667" s="56"/>
    </row>
    <row r="668" spans="1:15" ht="13" x14ac:dyDescent="0.15">
      <c r="A668" s="56"/>
      <c r="B668" s="56"/>
      <c r="C668" s="229"/>
      <c r="K668" s="56"/>
      <c r="L668" s="56"/>
      <c r="O668" s="56"/>
    </row>
    <row r="669" spans="1:15" ht="13" x14ac:dyDescent="0.15">
      <c r="A669" s="56"/>
      <c r="B669" s="56"/>
      <c r="C669" s="229"/>
      <c r="K669" s="56"/>
      <c r="L669" s="56"/>
      <c r="O669" s="56"/>
    </row>
    <row r="670" spans="1:15" ht="13" x14ac:dyDescent="0.15">
      <c r="A670" s="56"/>
      <c r="B670" s="56"/>
      <c r="C670" s="229"/>
      <c r="K670" s="56"/>
      <c r="L670" s="56"/>
      <c r="O670" s="56"/>
    </row>
    <row r="671" spans="1:15" ht="13" x14ac:dyDescent="0.15">
      <c r="A671" s="56"/>
      <c r="B671" s="56"/>
      <c r="C671" s="229"/>
      <c r="K671" s="56"/>
      <c r="L671" s="56"/>
      <c r="O671" s="56"/>
    </row>
    <row r="672" spans="1:15" ht="13" x14ac:dyDescent="0.15">
      <c r="A672" s="56"/>
      <c r="B672" s="56"/>
      <c r="C672" s="229"/>
      <c r="K672" s="56"/>
      <c r="L672" s="56"/>
      <c r="O672" s="56"/>
    </row>
    <row r="673" spans="1:15" ht="13" x14ac:dyDescent="0.15">
      <c r="A673" s="56"/>
      <c r="B673" s="56"/>
      <c r="C673" s="229"/>
      <c r="K673" s="56"/>
      <c r="L673" s="56"/>
      <c r="O673" s="56"/>
    </row>
    <row r="674" spans="1:15" ht="13" x14ac:dyDescent="0.15">
      <c r="A674" s="56"/>
      <c r="B674" s="56"/>
      <c r="C674" s="229"/>
      <c r="K674" s="56"/>
      <c r="L674" s="56"/>
      <c r="O674" s="56"/>
    </row>
    <row r="675" spans="1:15" ht="13" x14ac:dyDescent="0.15">
      <c r="A675" s="56"/>
      <c r="B675" s="56"/>
      <c r="C675" s="229"/>
      <c r="K675" s="56"/>
      <c r="L675" s="56"/>
      <c r="O675" s="56"/>
    </row>
    <row r="676" spans="1:15" ht="13" x14ac:dyDescent="0.15">
      <c r="A676" s="56"/>
      <c r="B676" s="56"/>
      <c r="C676" s="229"/>
      <c r="K676" s="56"/>
      <c r="L676" s="56"/>
      <c r="O676" s="56"/>
    </row>
    <row r="677" spans="1:15" ht="13" x14ac:dyDescent="0.15">
      <c r="A677" s="56"/>
      <c r="B677" s="56"/>
      <c r="C677" s="229"/>
      <c r="K677" s="56"/>
      <c r="L677" s="56"/>
      <c r="O677" s="56"/>
    </row>
    <row r="678" spans="1:15" ht="13" x14ac:dyDescent="0.15">
      <c r="A678" s="56"/>
      <c r="B678" s="56"/>
      <c r="C678" s="229"/>
      <c r="K678" s="56"/>
      <c r="L678" s="56"/>
      <c r="O678" s="56"/>
    </row>
    <row r="679" spans="1:15" ht="13" x14ac:dyDescent="0.15">
      <c r="A679" s="56"/>
      <c r="B679" s="56"/>
      <c r="C679" s="229"/>
      <c r="K679" s="56"/>
      <c r="L679" s="56"/>
      <c r="O679" s="56"/>
    </row>
    <row r="680" spans="1:15" ht="13" x14ac:dyDescent="0.15">
      <c r="A680" s="56"/>
      <c r="B680" s="56"/>
      <c r="C680" s="229"/>
      <c r="K680" s="56"/>
      <c r="L680" s="56"/>
      <c r="O680" s="56"/>
    </row>
    <row r="681" spans="1:15" ht="13" x14ac:dyDescent="0.15">
      <c r="A681" s="56"/>
      <c r="B681" s="56"/>
      <c r="C681" s="229"/>
      <c r="K681" s="56"/>
      <c r="L681" s="56"/>
      <c r="O681" s="56"/>
    </row>
    <row r="682" spans="1:15" ht="13" x14ac:dyDescent="0.15">
      <c r="A682" s="56"/>
      <c r="B682" s="56"/>
      <c r="C682" s="229"/>
      <c r="K682" s="56"/>
      <c r="L682" s="56"/>
      <c r="O682" s="56"/>
    </row>
    <row r="683" spans="1:15" ht="13" x14ac:dyDescent="0.15">
      <c r="A683" s="56"/>
      <c r="B683" s="56"/>
      <c r="C683" s="229"/>
      <c r="K683" s="56"/>
      <c r="L683" s="56"/>
      <c r="O683" s="56"/>
    </row>
    <row r="684" spans="1:15" ht="13" x14ac:dyDescent="0.15">
      <c r="A684" s="56"/>
      <c r="B684" s="56"/>
      <c r="C684" s="229"/>
      <c r="K684" s="56"/>
      <c r="L684" s="56"/>
      <c r="O684" s="56"/>
    </row>
    <row r="685" spans="1:15" ht="13" x14ac:dyDescent="0.15">
      <c r="A685" s="56"/>
      <c r="B685" s="56"/>
      <c r="C685" s="229"/>
      <c r="K685" s="56"/>
      <c r="L685" s="56"/>
      <c r="O685" s="56"/>
    </row>
    <row r="686" spans="1:15" ht="13" x14ac:dyDescent="0.15">
      <c r="A686" s="56"/>
      <c r="B686" s="56"/>
      <c r="C686" s="229"/>
      <c r="K686" s="56"/>
      <c r="L686" s="56"/>
      <c r="O686" s="56"/>
    </row>
    <row r="687" spans="1:15" ht="13" x14ac:dyDescent="0.15">
      <c r="A687" s="56"/>
      <c r="B687" s="56"/>
      <c r="C687" s="229"/>
      <c r="K687" s="56"/>
      <c r="L687" s="56"/>
      <c r="O687" s="56"/>
    </row>
    <row r="688" spans="1:15" ht="13" x14ac:dyDescent="0.15">
      <c r="A688" s="56"/>
      <c r="B688" s="56"/>
      <c r="C688" s="229"/>
      <c r="K688" s="56"/>
      <c r="L688" s="56"/>
      <c r="O688" s="56"/>
    </row>
    <row r="689" spans="1:15" ht="13" x14ac:dyDescent="0.15">
      <c r="A689" s="56"/>
      <c r="B689" s="56"/>
      <c r="C689" s="229"/>
      <c r="K689" s="56"/>
      <c r="L689" s="56"/>
      <c r="O689" s="56"/>
    </row>
    <row r="690" spans="1:15" ht="13" x14ac:dyDescent="0.15">
      <c r="A690" s="56"/>
      <c r="B690" s="56"/>
      <c r="C690" s="229"/>
      <c r="K690" s="56"/>
      <c r="L690" s="56"/>
      <c r="O690" s="56"/>
    </row>
    <row r="691" spans="1:15" ht="13" x14ac:dyDescent="0.15">
      <c r="A691" s="56"/>
      <c r="B691" s="56"/>
      <c r="C691" s="229"/>
      <c r="K691" s="56"/>
      <c r="L691" s="56"/>
      <c r="O691" s="56"/>
    </row>
    <row r="692" spans="1:15" ht="13" x14ac:dyDescent="0.15">
      <c r="A692" s="56"/>
      <c r="B692" s="56"/>
      <c r="C692" s="229"/>
      <c r="K692" s="56"/>
      <c r="L692" s="56"/>
      <c r="O692" s="56"/>
    </row>
    <row r="693" spans="1:15" ht="13" x14ac:dyDescent="0.15">
      <c r="A693" s="56"/>
      <c r="B693" s="56"/>
      <c r="C693" s="229"/>
      <c r="K693" s="56"/>
      <c r="L693" s="56"/>
      <c r="O693" s="56"/>
    </row>
    <row r="694" spans="1:15" ht="13" x14ac:dyDescent="0.15">
      <c r="A694" s="56"/>
      <c r="B694" s="56"/>
      <c r="C694" s="229"/>
      <c r="K694" s="56"/>
      <c r="L694" s="56"/>
      <c r="O694" s="56"/>
    </row>
    <row r="695" spans="1:15" ht="13" x14ac:dyDescent="0.15">
      <c r="A695" s="56"/>
      <c r="B695" s="56"/>
      <c r="C695" s="229"/>
      <c r="K695" s="56"/>
      <c r="L695" s="56"/>
      <c r="O695" s="56"/>
    </row>
    <row r="696" spans="1:15" ht="13" x14ac:dyDescent="0.15">
      <c r="A696" s="56"/>
      <c r="B696" s="56"/>
      <c r="C696" s="229"/>
      <c r="K696" s="56"/>
      <c r="L696" s="56"/>
      <c r="O696" s="56"/>
    </row>
    <row r="697" spans="1:15" ht="13" x14ac:dyDescent="0.15">
      <c r="A697" s="56"/>
      <c r="B697" s="56"/>
      <c r="C697" s="229"/>
      <c r="K697" s="56"/>
      <c r="L697" s="56"/>
      <c r="O697" s="56"/>
    </row>
    <row r="698" spans="1:15" ht="13" x14ac:dyDescent="0.15">
      <c r="A698" s="56"/>
      <c r="B698" s="56"/>
      <c r="C698" s="229"/>
      <c r="K698" s="56"/>
      <c r="L698" s="56"/>
      <c r="O698" s="56"/>
    </row>
    <row r="699" spans="1:15" ht="13" x14ac:dyDescent="0.15">
      <c r="A699" s="56"/>
      <c r="B699" s="56"/>
      <c r="C699" s="229"/>
      <c r="K699" s="56"/>
      <c r="L699" s="56"/>
      <c r="O699" s="56"/>
    </row>
    <row r="700" spans="1:15" ht="13" x14ac:dyDescent="0.15">
      <c r="A700" s="56"/>
      <c r="B700" s="56"/>
      <c r="C700" s="229"/>
      <c r="K700" s="56"/>
      <c r="L700" s="56"/>
      <c r="O700" s="56"/>
    </row>
    <row r="701" spans="1:15" ht="13" x14ac:dyDescent="0.15">
      <c r="A701" s="56"/>
      <c r="B701" s="56"/>
      <c r="C701" s="229"/>
      <c r="K701" s="56"/>
      <c r="L701" s="56"/>
      <c r="O701" s="56"/>
    </row>
    <row r="702" spans="1:15" ht="13" x14ac:dyDescent="0.15">
      <c r="A702" s="56"/>
      <c r="B702" s="56"/>
      <c r="C702" s="229"/>
      <c r="K702" s="56"/>
      <c r="L702" s="56"/>
      <c r="O702" s="56"/>
    </row>
    <row r="703" spans="1:15" ht="13" x14ac:dyDescent="0.15">
      <c r="A703" s="56"/>
      <c r="B703" s="56"/>
      <c r="C703" s="229"/>
      <c r="K703" s="56"/>
      <c r="L703" s="56"/>
      <c r="O703" s="56"/>
    </row>
    <row r="704" spans="1:15" ht="13" x14ac:dyDescent="0.15">
      <c r="A704" s="56"/>
      <c r="B704" s="56"/>
      <c r="C704" s="229"/>
      <c r="K704" s="56"/>
      <c r="L704" s="56"/>
      <c r="O704" s="56"/>
    </row>
    <row r="705" spans="1:15" ht="13" x14ac:dyDescent="0.15">
      <c r="A705" s="56"/>
      <c r="B705" s="56"/>
      <c r="C705" s="229"/>
      <c r="K705" s="56"/>
      <c r="L705" s="56"/>
      <c r="O705" s="56"/>
    </row>
    <row r="706" spans="1:15" ht="13" x14ac:dyDescent="0.15">
      <c r="A706" s="56"/>
      <c r="B706" s="56"/>
      <c r="C706" s="229"/>
      <c r="K706" s="56"/>
      <c r="L706" s="56"/>
      <c r="O706" s="56"/>
    </row>
    <row r="707" spans="1:15" ht="13" x14ac:dyDescent="0.15">
      <c r="A707" s="56"/>
      <c r="B707" s="56"/>
      <c r="C707" s="229"/>
      <c r="K707" s="56"/>
      <c r="L707" s="56"/>
      <c r="O707" s="56"/>
    </row>
    <row r="708" spans="1:15" ht="13" x14ac:dyDescent="0.15">
      <c r="A708" s="56"/>
      <c r="B708" s="56"/>
      <c r="C708" s="229"/>
      <c r="K708" s="56"/>
      <c r="L708" s="56"/>
      <c r="O708" s="56"/>
    </row>
    <row r="709" spans="1:15" ht="13" x14ac:dyDescent="0.15">
      <c r="A709" s="56"/>
      <c r="B709" s="56"/>
      <c r="C709" s="229"/>
      <c r="K709" s="56"/>
      <c r="L709" s="56"/>
      <c r="O709" s="56"/>
    </row>
    <row r="710" spans="1:15" ht="13" x14ac:dyDescent="0.15">
      <c r="A710" s="56"/>
      <c r="B710" s="56"/>
      <c r="C710" s="229"/>
      <c r="K710" s="56"/>
      <c r="L710" s="56"/>
      <c r="O710" s="56"/>
    </row>
    <row r="711" spans="1:15" ht="13" x14ac:dyDescent="0.15">
      <c r="A711" s="56"/>
      <c r="B711" s="56"/>
      <c r="C711" s="229"/>
      <c r="K711" s="56"/>
      <c r="L711" s="56"/>
      <c r="O711" s="56"/>
    </row>
    <row r="712" spans="1:15" ht="13" x14ac:dyDescent="0.15">
      <c r="A712" s="56"/>
      <c r="B712" s="56"/>
      <c r="C712" s="229"/>
      <c r="K712" s="56"/>
      <c r="L712" s="56"/>
      <c r="O712" s="56"/>
    </row>
    <row r="713" spans="1:15" ht="13" x14ac:dyDescent="0.15">
      <c r="A713" s="56"/>
      <c r="B713" s="56"/>
      <c r="C713" s="229"/>
      <c r="K713" s="56"/>
      <c r="L713" s="56"/>
      <c r="O713" s="56"/>
    </row>
    <row r="714" spans="1:15" ht="13" x14ac:dyDescent="0.15">
      <c r="A714" s="56"/>
      <c r="B714" s="56"/>
      <c r="C714" s="229"/>
      <c r="K714" s="56"/>
      <c r="L714" s="56"/>
      <c r="O714" s="56"/>
    </row>
    <row r="715" spans="1:15" ht="13" x14ac:dyDescent="0.15">
      <c r="A715" s="56"/>
      <c r="B715" s="56"/>
      <c r="C715" s="229"/>
      <c r="K715" s="56"/>
      <c r="L715" s="56"/>
      <c r="O715" s="56"/>
    </row>
    <row r="716" spans="1:15" ht="13" x14ac:dyDescent="0.15">
      <c r="A716" s="56"/>
      <c r="B716" s="56"/>
      <c r="C716" s="229"/>
      <c r="K716" s="56"/>
      <c r="L716" s="56"/>
      <c r="O716" s="56"/>
    </row>
    <row r="717" spans="1:15" ht="13" x14ac:dyDescent="0.15">
      <c r="A717" s="56"/>
      <c r="B717" s="56"/>
      <c r="C717" s="229"/>
      <c r="K717" s="56"/>
      <c r="L717" s="56"/>
      <c r="O717" s="56"/>
    </row>
    <row r="718" spans="1:15" ht="13" x14ac:dyDescent="0.15">
      <c r="A718" s="56"/>
      <c r="B718" s="56"/>
      <c r="C718" s="229"/>
      <c r="K718" s="56"/>
      <c r="L718" s="56"/>
      <c r="O718" s="56"/>
    </row>
    <row r="719" spans="1:15" ht="13" x14ac:dyDescent="0.15">
      <c r="A719" s="56"/>
      <c r="B719" s="56"/>
      <c r="C719" s="229"/>
      <c r="K719" s="56"/>
      <c r="L719" s="56"/>
      <c r="O719" s="56"/>
    </row>
    <row r="720" spans="1:15" ht="13" x14ac:dyDescent="0.15">
      <c r="A720" s="56"/>
      <c r="B720" s="56"/>
      <c r="C720" s="229"/>
      <c r="K720" s="56"/>
      <c r="L720" s="56"/>
      <c r="O720" s="56"/>
    </row>
    <row r="721" spans="1:15" ht="13" x14ac:dyDescent="0.15">
      <c r="A721" s="56"/>
      <c r="B721" s="56"/>
      <c r="C721" s="229"/>
      <c r="K721" s="56"/>
      <c r="L721" s="56"/>
      <c r="O721" s="56"/>
    </row>
    <row r="722" spans="1:15" ht="13" x14ac:dyDescent="0.15">
      <c r="A722" s="56"/>
      <c r="B722" s="56"/>
      <c r="C722" s="229"/>
      <c r="K722" s="56"/>
      <c r="L722" s="56"/>
      <c r="O722" s="56"/>
    </row>
    <row r="723" spans="1:15" ht="13" x14ac:dyDescent="0.15">
      <c r="A723" s="56"/>
      <c r="B723" s="56"/>
      <c r="C723" s="229"/>
      <c r="K723" s="56"/>
      <c r="L723" s="56"/>
      <c r="O723" s="56"/>
    </row>
    <row r="724" spans="1:15" ht="13" x14ac:dyDescent="0.15">
      <c r="A724" s="56"/>
      <c r="B724" s="56"/>
      <c r="C724" s="229"/>
      <c r="K724" s="56"/>
      <c r="L724" s="56"/>
      <c r="O724" s="56"/>
    </row>
    <row r="725" spans="1:15" ht="13" x14ac:dyDescent="0.15">
      <c r="A725" s="56"/>
      <c r="B725" s="56"/>
      <c r="C725" s="229"/>
      <c r="K725" s="56"/>
      <c r="L725" s="56"/>
      <c r="O725" s="56"/>
    </row>
    <row r="726" spans="1:15" ht="13" x14ac:dyDescent="0.15">
      <c r="A726" s="56"/>
      <c r="B726" s="56"/>
      <c r="C726" s="229"/>
      <c r="K726" s="56"/>
      <c r="L726" s="56"/>
      <c r="O726" s="56"/>
    </row>
    <row r="727" spans="1:15" ht="13" x14ac:dyDescent="0.15">
      <c r="A727" s="56"/>
      <c r="B727" s="56"/>
      <c r="C727" s="229"/>
      <c r="K727" s="56"/>
      <c r="L727" s="56"/>
      <c r="O727" s="56"/>
    </row>
    <row r="728" spans="1:15" ht="13" x14ac:dyDescent="0.15">
      <c r="A728" s="56"/>
      <c r="B728" s="56"/>
      <c r="C728" s="229"/>
      <c r="K728" s="56"/>
      <c r="L728" s="56"/>
      <c r="O728" s="56"/>
    </row>
    <row r="729" spans="1:15" ht="13" x14ac:dyDescent="0.15">
      <c r="A729" s="56"/>
      <c r="B729" s="56"/>
      <c r="C729" s="229"/>
      <c r="K729" s="56"/>
      <c r="L729" s="56"/>
      <c r="O729" s="56"/>
    </row>
    <row r="730" spans="1:15" ht="13" x14ac:dyDescent="0.15">
      <c r="A730" s="56"/>
      <c r="B730" s="56"/>
      <c r="C730" s="229"/>
      <c r="K730" s="56"/>
      <c r="L730" s="56"/>
      <c r="O730" s="56"/>
    </row>
    <row r="731" spans="1:15" ht="13" x14ac:dyDescent="0.15">
      <c r="A731" s="56"/>
      <c r="B731" s="56"/>
      <c r="C731" s="229"/>
      <c r="K731" s="56"/>
      <c r="L731" s="56"/>
      <c r="O731" s="56"/>
    </row>
    <row r="732" spans="1:15" ht="13" x14ac:dyDescent="0.15">
      <c r="A732" s="56"/>
      <c r="B732" s="56"/>
      <c r="C732" s="229"/>
      <c r="K732" s="56"/>
      <c r="L732" s="56"/>
      <c r="O732" s="56"/>
    </row>
    <row r="733" spans="1:15" ht="13" x14ac:dyDescent="0.15">
      <c r="A733" s="56"/>
      <c r="B733" s="56"/>
      <c r="C733" s="229"/>
      <c r="K733" s="56"/>
      <c r="L733" s="56"/>
      <c r="O733" s="56"/>
    </row>
    <row r="734" spans="1:15" ht="13" x14ac:dyDescent="0.15">
      <c r="A734" s="56"/>
      <c r="B734" s="56"/>
      <c r="C734" s="229"/>
      <c r="K734" s="56"/>
      <c r="L734" s="56"/>
      <c r="O734" s="56"/>
    </row>
    <row r="735" spans="1:15" ht="13" x14ac:dyDescent="0.15">
      <c r="A735" s="56"/>
      <c r="B735" s="56"/>
      <c r="C735" s="229"/>
      <c r="K735" s="56"/>
      <c r="L735" s="56"/>
      <c r="O735" s="56"/>
    </row>
    <row r="736" spans="1:15" ht="13" x14ac:dyDescent="0.15">
      <c r="A736" s="56"/>
      <c r="B736" s="56"/>
      <c r="C736" s="229"/>
      <c r="K736" s="56"/>
      <c r="L736" s="56"/>
      <c r="O736" s="56"/>
    </row>
    <row r="737" spans="1:15" ht="13" x14ac:dyDescent="0.15">
      <c r="A737" s="56"/>
      <c r="B737" s="56"/>
      <c r="C737" s="229"/>
      <c r="K737" s="56"/>
      <c r="L737" s="56"/>
      <c r="O737" s="56"/>
    </row>
    <row r="738" spans="1:15" ht="13" x14ac:dyDescent="0.15">
      <c r="A738" s="56"/>
      <c r="B738" s="56"/>
      <c r="C738" s="229"/>
      <c r="K738" s="56"/>
      <c r="L738" s="56"/>
      <c r="O738" s="56"/>
    </row>
    <row r="739" spans="1:15" ht="13" x14ac:dyDescent="0.15">
      <c r="A739" s="56"/>
      <c r="B739" s="56"/>
      <c r="C739" s="229"/>
      <c r="K739" s="56"/>
      <c r="L739" s="56"/>
      <c r="O739" s="56"/>
    </row>
    <row r="740" spans="1:15" ht="13" x14ac:dyDescent="0.15">
      <c r="A740" s="56"/>
      <c r="B740" s="56"/>
      <c r="C740" s="229"/>
      <c r="K740" s="56"/>
      <c r="L740" s="56"/>
      <c r="O740" s="56"/>
    </row>
    <row r="741" spans="1:15" ht="13" x14ac:dyDescent="0.15">
      <c r="A741" s="56"/>
      <c r="B741" s="56"/>
      <c r="C741" s="229"/>
      <c r="K741" s="56"/>
      <c r="L741" s="56"/>
      <c r="O741" s="56"/>
    </row>
    <row r="742" spans="1:15" ht="13" x14ac:dyDescent="0.15">
      <c r="A742" s="56"/>
      <c r="B742" s="56"/>
      <c r="C742" s="229"/>
      <c r="K742" s="56"/>
      <c r="L742" s="56"/>
      <c r="O742" s="56"/>
    </row>
    <row r="743" spans="1:15" ht="13" x14ac:dyDescent="0.15">
      <c r="A743" s="56"/>
      <c r="B743" s="56"/>
      <c r="C743" s="229"/>
      <c r="K743" s="56"/>
      <c r="L743" s="56"/>
      <c r="O743" s="56"/>
    </row>
    <row r="744" spans="1:15" ht="13" x14ac:dyDescent="0.15">
      <c r="A744" s="56"/>
      <c r="B744" s="56"/>
      <c r="C744" s="229"/>
      <c r="K744" s="56"/>
      <c r="L744" s="56"/>
      <c r="O744" s="56"/>
    </row>
    <row r="745" spans="1:15" ht="13" x14ac:dyDescent="0.15">
      <c r="A745" s="56"/>
      <c r="B745" s="56"/>
      <c r="C745" s="229"/>
      <c r="K745" s="56"/>
      <c r="L745" s="56"/>
      <c r="O745" s="56"/>
    </row>
    <row r="746" spans="1:15" ht="13" x14ac:dyDescent="0.15">
      <c r="A746" s="56"/>
      <c r="B746" s="56"/>
      <c r="C746" s="229"/>
      <c r="K746" s="56"/>
      <c r="L746" s="56"/>
      <c r="O746" s="56"/>
    </row>
    <row r="747" spans="1:15" ht="13" x14ac:dyDescent="0.15">
      <c r="A747" s="56"/>
      <c r="B747" s="56"/>
      <c r="C747" s="229"/>
      <c r="K747" s="56"/>
      <c r="L747" s="56"/>
      <c r="O747" s="56"/>
    </row>
    <row r="748" spans="1:15" ht="13" x14ac:dyDescent="0.15">
      <c r="A748" s="56"/>
      <c r="B748" s="56"/>
      <c r="C748" s="229"/>
      <c r="K748" s="56"/>
      <c r="L748" s="56"/>
      <c r="O748" s="56"/>
    </row>
    <row r="749" spans="1:15" ht="13" x14ac:dyDescent="0.15">
      <c r="A749" s="56"/>
      <c r="B749" s="56"/>
      <c r="C749" s="229"/>
      <c r="K749" s="56"/>
      <c r="L749" s="56"/>
      <c r="O749" s="56"/>
    </row>
    <row r="750" spans="1:15" ht="13" x14ac:dyDescent="0.15">
      <c r="A750" s="56"/>
      <c r="B750" s="56"/>
      <c r="C750" s="229"/>
      <c r="K750" s="56"/>
      <c r="L750" s="56"/>
      <c r="O750" s="56"/>
    </row>
    <row r="751" spans="1:15" ht="13" x14ac:dyDescent="0.15">
      <c r="A751" s="56"/>
      <c r="B751" s="56"/>
      <c r="C751" s="229"/>
      <c r="K751" s="56"/>
      <c r="L751" s="56"/>
      <c r="O751" s="56"/>
    </row>
    <row r="752" spans="1:15" ht="13" x14ac:dyDescent="0.15">
      <c r="A752" s="56"/>
      <c r="B752" s="56"/>
      <c r="C752" s="229"/>
      <c r="K752" s="56"/>
      <c r="L752" s="56"/>
      <c r="O752" s="56"/>
    </row>
    <row r="753" spans="1:15" ht="13" x14ac:dyDescent="0.15">
      <c r="A753" s="56"/>
      <c r="B753" s="56"/>
      <c r="C753" s="229"/>
      <c r="K753" s="56"/>
      <c r="L753" s="56"/>
      <c r="O753" s="56"/>
    </row>
    <row r="754" spans="1:15" ht="13" x14ac:dyDescent="0.15">
      <c r="A754" s="56"/>
      <c r="B754" s="56"/>
      <c r="C754" s="229"/>
      <c r="K754" s="56"/>
      <c r="L754" s="56"/>
      <c r="O754" s="56"/>
    </row>
    <row r="755" spans="1:15" ht="13" x14ac:dyDescent="0.15">
      <c r="A755" s="56"/>
      <c r="B755" s="56"/>
      <c r="C755" s="229"/>
      <c r="K755" s="56"/>
      <c r="L755" s="56"/>
      <c r="O755" s="56"/>
    </row>
    <row r="756" spans="1:15" ht="13" x14ac:dyDescent="0.15">
      <c r="A756" s="56"/>
      <c r="B756" s="56"/>
      <c r="C756" s="229"/>
      <c r="K756" s="56"/>
      <c r="L756" s="56"/>
      <c r="O756" s="56"/>
    </row>
    <row r="757" spans="1:15" ht="13" x14ac:dyDescent="0.15">
      <c r="A757" s="56"/>
      <c r="B757" s="56"/>
      <c r="C757" s="229"/>
      <c r="K757" s="56"/>
      <c r="L757" s="56"/>
      <c r="O757" s="56"/>
    </row>
    <row r="758" spans="1:15" ht="13" x14ac:dyDescent="0.15">
      <c r="A758" s="56"/>
      <c r="B758" s="56"/>
      <c r="C758" s="229"/>
      <c r="K758" s="56"/>
      <c r="L758" s="56"/>
      <c r="O758" s="56"/>
    </row>
    <row r="759" spans="1:15" ht="13" x14ac:dyDescent="0.15">
      <c r="A759" s="56"/>
      <c r="B759" s="56"/>
      <c r="C759" s="229"/>
      <c r="K759" s="56"/>
      <c r="L759" s="56"/>
      <c r="O759" s="56"/>
    </row>
    <row r="760" spans="1:15" ht="13" x14ac:dyDescent="0.15">
      <c r="A760" s="56"/>
      <c r="B760" s="56"/>
      <c r="C760" s="229"/>
      <c r="K760" s="56"/>
      <c r="L760" s="56"/>
      <c r="O760" s="56"/>
    </row>
    <row r="761" spans="1:15" ht="13" x14ac:dyDescent="0.15">
      <c r="A761" s="56"/>
      <c r="B761" s="56"/>
      <c r="C761" s="229"/>
      <c r="K761" s="56"/>
      <c r="L761" s="56"/>
      <c r="O761" s="56"/>
    </row>
    <row r="762" spans="1:15" ht="13" x14ac:dyDescent="0.15">
      <c r="A762" s="56"/>
      <c r="B762" s="56"/>
      <c r="C762" s="229"/>
      <c r="K762" s="56"/>
      <c r="L762" s="56"/>
      <c r="O762" s="56"/>
    </row>
    <row r="763" spans="1:15" ht="13" x14ac:dyDescent="0.15">
      <c r="A763" s="56"/>
      <c r="B763" s="56"/>
      <c r="C763" s="229"/>
      <c r="K763" s="56"/>
      <c r="L763" s="56"/>
      <c r="O763" s="56"/>
    </row>
    <row r="764" spans="1:15" ht="13" x14ac:dyDescent="0.15">
      <c r="A764" s="56"/>
      <c r="B764" s="56"/>
      <c r="C764" s="229"/>
      <c r="K764" s="56"/>
      <c r="L764" s="56"/>
      <c r="O764" s="56"/>
    </row>
    <row r="765" spans="1:15" ht="13" x14ac:dyDescent="0.15">
      <c r="A765" s="56"/>
      <c r="B765" s="56"/>
      <c r="C765" s="229"/>
      <c r="K765" s="56"/>
      <c r="L765" s="56"/>
      <c r="O765" s="56"/>
    </row>
    <row r="766" spans="1:15" ht="13" x14ac:dyDescent="0.15">
      <c r="A766" s="56"/>
      <c r="B766" s="56"/>
      <c r="C766" s="229"/>
      <c r="K766" s="56"/>
      <c r="L766" s="56"/>
      <c r="O766" s="56"/>
    </row>
    <row r="767" spans="1:15" ht="13" x14ac:dyDescent="0.15">
      <c r="A767" s="56"/>
      <c r="B767" s="56"/>
      <c r="C767" s="229"/>
      <c r="K767" s="56"/>
      <c r="L767" s="56"/>
      <c r="O767" s="56"/>
    </row>
    <row r="768" spans="1:15" ht="13" x14ac:dyDescent="0.15">
      <c r="A768" s="56"/>
      <c r="B768" s="56"/>
      <c r="C768" s="229"/>
      <c r="K768" s="56"/>
      <c r="L768" s="56"/>
      <c r="O768" s="56"/>
    </row>
    <row r="769" spans="1:15" ht="13" x14ac:dyDescent="0.15">
      <c r="A769" s="56"/>
      <c r="B769" s="56"/>
      <c r="C769" s="229"/>
      <c r="K769" s="56"/>
      <c r="L769" s="56"/>
      <c r="O769" s="56"/>
    </row>
    <row r="770" spans="1:15" ht="13" x14ac:dyDescent="0.15">
      <c r="A770" s="56"/>
      <c r="B770" s="56"/>
      <c r="C770" s="229"/>
      <c r="K770" s="56"/>
      <c r="L770" s="56"/>
      <c r="O770" s="56"/>
    </row>
    <row r="771" spans="1:15" ht="13" x14ac:dyDescent="0.15">
      <c r="A771" s="56"/>
      <c r="B771" s="56"/>
      <c r="C771" s="229"/>
      <c r="K771" s="56"/>
      <c r="L771" s="56"/>
      <c r="O771" s="56"/>
    </row>
    <row r="772" spans="1:15" ht="13" x14ac:dyDescent="0.15">
      <c r="A772" s="56"/>
      <c r="B772" s="56"/>
      <c r="C772" s="229"/>
      <c r="K772" s="56"/>
      <c r="L772" s="56"/>
      <c r="O772" s="56"/>
    </row>
    <row r="773" spans="1:15" ht="13" x14ac:dyDescent="0.15">
      <c r="A773" s="56"/>
      <c r="B773" s="56"/>
      <c r="C773" s="229"/>
      <c r="K773" s="56"/>
      <c r="L773" s="56"/>
      <c r="O773" s="56"/>
    </row>
    <row r="774" spans="1:15" ht="13" x14ac:dyDescent="0.15">
      <c r="A774" s="56"/>
      <c r="B774" s="56"/>
      <c r="C774" s="229"/>
      <c r="K774" s="56"/>
      <c r="L774" s="56"/>
      <c r="O774" s="56"/>
    </row>
    <row r="775" spans="1:15" ht="13" x14ac:dyDescent="0.15">
      <c r="A775" s="56"/>
      <c r="B775" s="56"/>
      <c r="C775" s="229"/>
      <c r="K775" s="56"/>
      <c r="L775" s="56"/>
      <c r="O775" s="56"/>
    </row>
    <row r="776" spans="1:15" ht="13" x14ac:dyDescent="0.15">
      <c r="A776" s="56"/>
      <c r="B776" s="56"/>
      <c r="C776" s="229"/>
      <c r="K776" s="56"/>
      <c r="L776" s="56"/>
      <c r="O776" s="56"/>
    </row>
    <row r="777" spans="1:15" ht="13" x14ac:dyDescent="0.15">
      <c r="A777" s="56"/>
      <c r="B777" s="56"/>
      <c r="C777" s="229"/>
      <c r="K777" s="56"/>
      <c r="L777" s="56"/>
      <c r="O777" s="56"/>
    </row>
    <row r="778" spans="1:15" ht="13" x14ac:dyDescent="0.15">
      <c r="A778" s="56"/>
      <c r="B778" s="56"/>
      <c r="C778" s="229"/>
      <c r="K778" s="56"/>
      <c r="L778" s="56"/>
      <c r="O778" s="56"/>
    </row>
    <row r="779" spans="1:15" ht="13" x14ac:dyDescent="0.15">
      <c r="A779" s="56"/>
      <c r="B779" s="56"/>
      <c r="C779" s="229"/>
      <c r="K779" s="56"/>
      <c r="L779" s="56"/>
      <c r="O779" s="56"/>
    </row>
    <row r="780" spans="1:15" ht="13" x14ac:dyDescent="0.15">
      <c r="A780" s="56"/>
      <c r="B780" s="56"/>
      <c r="C780" s="229"/>
      <c r="K780" s="56"/>
      <c r="L780" s="56"/>
      <c r="O780" s="56"/>
    </row>
    <row r="781" spans="1:15" ht="13" x14ac:dyDescent="0.15">
      <c r="A781" s="56"/>
      <c r="B781" s="56"/>
      <c r="C781" s="229"/>
      <c r="K781" s="56"/>
      <c r="L781" s="56"/>
      <c r="O781" s="56"/>
    </row>
    <row r="782" spans="1:15" ht="13" x14ac:dyDescent="0.15">
      <c r="A782" s="56"/>
      <c r="B782" s="56"/>
      <c r="C782" s="229"/>
      <c r="K782" s="56"/>
      <c r="L782" s="56"/>
      <c r="O782" s="56"/>
    </row>
    <row r="783" spans="1:15" ht="13" x14ac:dyDescent="0.15">
      <c r="A783" s="56"/>
      <c r="B783" s="56"/>
      <c r="C783" s="229"/>
      <c r="K783" s="56"/>
      <c r="L783" s="56"/>
      <c r="O783" s="56"/>
    </row>
    <row r="784" spans="1:15" ht="13" x14ac:dyDescent="0.15">
      <c r="A784" s="56"/>
      <c r="B784" s="56"/>
      <c r="C784" s="229"/>
      <c r="K784" s="56"/>
      <c r="L784" s="56"/>
      <c r="O784" s="56"/>
    </row>
    <row r="785" spans="1:15" ht="13" x14ac:dyDescent="0.15">
      <c r="A785" s="56"/>
      <c r="B785" s="56"/>
      <c r="C785" s="229"/>
      <c r="K785" s="56"/>
      <c r="L785" s="56"/>
      <c r="O785" s="56"/>
    </row>
    <row r="786" spans="1:15" ht="13" x14ac:dyDescent="0.15">
      <c r="A786" s="56"/>
      <c r="B786" s="56"/>
      <c r="C786" s="229"/>
      <c r="K786" s="56"/>
      <c r="L786" s="56"/>
      <c r="O786" s="56"/>
    </row>
    <row r="787" spans="1:15" ht="13" x14ac:dyDescent="0.15">
      <c r="A787" s="56"/>
      <c r="B787" s="56"/>
      <c r="C787" s="229"/>
      <c r="K787" s="56"/>
      <c r="L787" s="56"/>
      <c r="O787" s="56"/>
    </row>
    <row r="788" spans="1:15" ht="13" x14ac:dyDescent="0.15">
      <c r="A788" s="56"/>
      <c r="B788" s="56"/>
      <c r="C788" s="229"/>
      <c r="K788" s="56"/>
      <c r="L788" s="56"/>
      <c r="O788" s="56"/>
    </row>
    <row r="789" spans="1:15" ht="13" x14ac:dyDescent="0.15">
      <c r="A789" s="56"/>
      <c r="B789" s="56"/>
      <c r="C789" s="229"/>
      <c r="K789" s="56"/>
      <c r="L789" s="56"/>
      <c r="O789" s="56"/>
    </row>
    <row r="790" spans="1:15" ht="13" x14ac:dyDescent="0.15">
      <c r="A790" s="56"/>
      <c r="B790" s="56"/>
      <c r="C790" s="229"/>
      <c r="K790" s="56"/>
      <c r="L790" s="56"/>
      <c r="O790" s="56"/>
    </row>
    <row r="791" spans="1:15" ht="13" x14ac:dyDescent="0.15">
      <c r="A791" s="56"/>
      <c r="B791" s="56"/>
      <c r="C791" s="229"/>
      <c r="K791" s="56"/>
      <c r="L791" s="56"/>
      <c r="O791" s="56"/>
    </row>
    <row r="792" spans="1:15" ht="13" x14ac:dyDescent="0.15">
      <c r="A792" s="56"/>
      <c r="B792" s="56"/>
      <c r="C792" s="229"/>
      <c r="K792" s="56"/>
      <c r="L792" s="56"/>
      <c r="O792" s="56"/>
    </row>
    <row r="793" spans="1:15" ht="13" x14ac:dyDescent="0.15">
      <c r="A793" s="56"/>
      <c r="B793" s="56"/>
      <c r="C793" s="229"/>
      <c r="K793" s="56"/>
      <c r="L793" s="56"/>
      <c r="O793" s="56"/>
    </row>
    <row r="794" spans="1:15" ht="13" x14ac:dyDescent="0.15">
      <c r="A794" s="56"/>
      <c r="B794" s="56"/>
      <c r="C794" s="229"/>
      <c r="K794" s="56"/>
      <c r="L794" s="56"/>
      <c r="O794" s="56"/>
    </row>
    <row r="795" spans="1:15" ht="13" x14ac:dyDescent="0.15">
      <c r="A795" s="56"/>
      <c r="B795" s="56"/>
      <c r="C795" s="229"/>
      <c r="K795" s="56"/>
      <c r="L795" s="56"/>
      <c r="O795" s="56"/>
    </row>
    <row r="796" spans="1:15" ht="13" x14ac:dyDescent="0.15">
      <c r="A796" s="56"/>
      <c r="B796" s="56"/>
      <c r="C796" s="229"/>
      <c r="K796" s="56"/>
      <c r="L796" s="56"/>
      <c r="O796" s="56"/>
    </row>
    <row r="797" spans="1:15" ht="13" x14ac:dyDescent="0.15">
      <c r="A797" s="56"/>
      <c r="B797" s="56"/>
      <c r="C797" s="229"/>
      <c r="K797" s="56"/>
      <c r="L797" s="56"/>
      <c r="O797" s="56"/>
    </row>
    <row r="798" spans="1:15" ht="13" x14ac:dyDescent="0.15">
      <c r="A798" s="56"/>
      <c r="B798" s="56"/>
      <c r="C798" s="229"/>
      <c r="K798" s="56"/>
      <c r="L798" s="56"/>
      <c r="O798" s="56"/>
    </row>
    <row r="799" spans="1:15" ht="13" x14ac:dyDescent="0.15">
      <c r="A799" s="56"/>
      <c r="B799" s="56"/>
      <c r="C799" s="229"/>
      <c r="K799" s="56"/>
      <c r="L799" s="56"/>
      <c r="O799" s="56"/>
    </row>
    <row r="800" spans="1:15" ht="13" x14ac:dyDescent="0.15">
      <c r="A800" s="56"/>
      <c r="B800" s="56"/>
      <c r="C800" s="229"/>
      <c r="K800" s="56"/>
      <c r="L800" s="56"/>
      <c r="O800" s="56"/>
    </row>
    <row r="801" spans="1:15" ht="13" x14ac:dyDescent="0.15">
      <c r="A801" s="56"/>
      <c r="B801" s="56"/>
      <c r="C801" s="229"/>
      <c r="K801" s="56"/>
      <c r="L801" s="56"/>
      <c r="O801" s="56"/>
    </row>
    <row r="802" spans="1:15" ht="13" x14ac:dyDescent="0.15">
      <c r="A802" s="56"/>
      <c r="B802" s="56"/>
      <c r="C802" s="229"/>
      <c r="K802" s="56"/>
      <c r="L802" s="56"/>
      <c r="O802" s="56"/>
    </row>
    <row r="803" spans="1:15" ht="13" x14ac:dyDescent="0.15">
      <c r="A803" s="56"/>
      <c r="B803" s="56"/>
      <c r="C803" s="229"/>
      <c r="K803" s="56"/>
      <c r="L803" s="56"/>
      <c r="O803" s="56"/>
    </row>
    <row r="804" spans="1:15" ht="13" x14ac:dyDescent="0.15">
      <c r="A804" s="56"/>
      <c r="B804" s="56"/>
      <c r="C804" s="229"/>
      <c r="K804" s="56"/>
      <c r="L804" s="56"/>
      <c r="O804" s="56"/>
    </row>
    <row r="805" spans="1:15" ht="13" x14ac:dyDescent="0.15">
      <c r="A805" s="56"/>
      <c r="B805" s="56"/>
      <c r="C805" s="229"/>
      <c r="K805" s="56"/>
      <c r="L805" s="56"/>
      <c r="O805" s="56"/>
    </row>
    <row r="806" spans="1:15" ht="13" x14ac:dyDescent="0.15">
      <c r="A806" s="56"/>
      <c r="B806" s="56"/>
      <c r="C806" s="229"/>
      <c r="K806" s="56"/>
      <c r="L806" s="56"/>
      <c r="O806" s="56"/>
    </row>
    <row r="807" spans="1:15" ht="13" x14ac:dyDescent="0.15">
      <c r="A807" s="56"/>
      <c r="B807" s="56"/>
      <c r="C807" s="229"/>
      <c r="K807" s="56"/>
      <c r="L807" s="56"/>
      <c r="O807" s="56"/>
    </row>
    <row r="808" spans="1:15" ht="13" x14ac:dyDescent="0.15">
      <c r="A808" s="56"/>
      <c r="B808" s="56"/>
      <c r="C808" s="229"/>
      <c r="K808" s="56"/>
      <c r="L808" s="56"/>
      <c r="O808" s="56"/>
    </row>
    <row r="809" spans="1:15" ht="13" x14ac:dyDescent="0.15">
      <c r="A809" s="56"/>
      <c r="B809" s="56"/>
      <c r="C809" s="229"/>
      <c r="K809" s="56"/>
      <c r="L809" s="56"/>
      <c r="O809" s="56"/>
    </row>
    <row r="810" spans="1:15" ht="13" x14ac:dyDescent="0.15">
      <c r="A810" s="56"/>
      <c r="B810" s="56"/>
      <c r="C810" s="229"/>
      <c r="K810" s="56"/>
      <c r="L810" s="56"/>
      <c r="O810" s="56"/>
    </row>
    <row r="811" spans="1:15" ht="13" x14ac:dyDescent="0.15">
      <c r="A811" s="56"/>
      <c r="B811" s="56"/>
      <c r="C811" s="229"/>
      <c r="K811" s="56"/>
      <c r="L811" s="56"/>
      <c r="O811" s="56"/>
    </row>
    <row r="812" spans="1:15" ht="13" x14ac:dyDescent="0.15">
      <c r="A812" s="56"/>
      <c r="B812" s="56"/>
      <c r="C812" s="229"/>
      <c r="K812" s="56"/>
      <c r="L812" s="56"/>
      <c r="O812" s="56"/>
    </row>
    <row r="813" spans="1:15" ht="13" x14ac:dyDescent="0.15">
      <c r="A813" s="56"/>
      <c r="B813" s="56"/>
      <c r="C813" s="229"/>
      <c r="K813" s="56"/>
      <c r="L813" s="56"/>
      <c r="O813" s="56"/>
    </row>
    <row r="814" spans="1:15" ht="13" x14ac:dyDescent="0.15">
      <c r="A814" s="56"/>
      <c r="B814" s="56"/>
      <c r="C814" s="229"/>
      <c r="K814" s="56"/>
      <c r="L814" s="56"/>
      <c r="O814" s="56"/>
    </row>
    <row r="815" spans="1:15" ht="13" x14ac:dyDescent="0.15">
      <c r="A815" s="56"/>
      <c r="B815" s="56"/>
      <c r="C815" s="229"/>
      <c r="K815" s="56"/>
      <c r="L815" s="56"/>
      <c r="O815" s="56"/>
    </row>
    <row r="816" spans="1:15" ht="13" x14ac:dyDescent="0.15">
      <c r="A816" s="56"/>
      <c r="B816" s="56"/>
      <c r="C816" s="229"/>
      <c r="K816" s="56"/>
      <c r="L816" s="56"/>
      <c r="O816" s="56"/>
    </row>
    <row r="817" spans="1:15" ht="13" x14ac:dyDescent="0.15">
      <c r="A817" s="56"/>
      <c r="B817" s="56"/>
      <c r="C817" s="229"/>
      <c r="K817" s="56"/>
      <c r="L817" s="56"/>
      <c r="O817" s="56"/>
    </row>
    <row r="818" spans="1:15" ht="13" x14ac:dyDescent="0.15">
      <c r="A818" s="56"/>
      <c r="B818" s="56"/>
      <c r="C818" s="229"/>
      <c r="K818" s="56"/>
      <c r="L818" s="56"/>
      <c r="O818" s="56"/>
    </row>
    <row r="819" spans="1:15" ht="13" x14ac:dyDescent="0.15">
      <c r="A819" s="56"/>
      <c r="B819" s="56"/>
      <c r="C819" s="229"/>
      <c r="K819" s="56"/>
      <c r="L819" s="56"/>
      <c r="O819" s="56"/>
    </row>
    <row r="820" spans="1:15" ht="13" x14ac:dyDescent="0.15">
      <c r="A820" s="56"/>
      <c r="B820" s="56"/>
      <c r="C820" s="229"/>
      <c r="K820" s="56"/>
      <c r="L820" s="56"/>
      <c r="O820" s="56"/>
    </row>
    <row r="821" spans="1:15" ht="13" x14ac:dyDescent="0.15">
      <c r="A821" s="56"/>
      <c r="B821" s="56"/>
      <c r="C821" s="229"/>
      <c r="K821" s="56"/>
      <c r="L821" s="56"/>
      <c r="O821" s="56"/>
    </row>
    <row r="822" spans="1:15" ht="13" x14ac:dyDescent="0.15">
      <c r="A822" s="56"/>
      <c r="B822" s="56"/>
      <c r="C822" s="229"/>
      <c r="K822" s="56"/>
      <c r="L822" s="56"/>
      <c r="O822" s="56"/>
    </row>
    <row r="823" spans="1:15" ht="13" x14ac:dyDescent="0.15">
      <c r="A823" s="56"/>
      <c r="B823" s="56"/>
      <c r="C823" s="229"/>
      <c r="K823" s="56"/>
      <c r="L823" s="56"/>
      <c r="O823" s="56"/>
    </row>
    <row r="824" spans="1:15" ht="13" x14ac:dyDescent="0.15">
      <c r="A824" s="56"/>
      <c r="B824" s="56"/>
      <c r="C824" s="229"/>
      <c r="K824" s="56"/>
      <c r="L824" s="56"/>
      <c r="O824" s="56"/>
    </row>
    <row r="825" spans="1:15" ht="13" x14ac:dyDescent="0.15">
      <c r="A825" s="56"/>
      <c r="B825" s="56"/>
      <c r="C825" s="229"/>
      <c r="K825" s="56"/>
      <c r="L825" s="56"/>
      <c r="O825" s="56"/>
    </row>
    <row r="826" spans="1:15" ht="13" x14ac:dyDescent="0.15">
      <c r="A826" s="56"/>
      <c r="B826" s="56"/>
      <c r="C826" s="229"/>
      <c r="K826" s="56"/>
      <c r="L826" s="56"/>
      <c r="O826" s="56"/>
    </row>
    <row r="827" spans="1:15" ht="13" x14ac:dyDescent="0.15">
      <c r="A827" s="56"/>
      <c r="B827" s="56"/>
      <c r="C827" s="229"/>
      <c r="K827" s="56"/>
      <c r="L827" s="56"/>
      <c r="O827" s="56"/>
    </row>
    <row r="828" spans="1:15" ht="13" x14ac:dyDescent="0.15">
      <c r="A828" s="56"/>
      <c r="B828" s="56"/>
      <c r="C828" s="229"/>
      <c r="K828" s="56"/>
      <c r="L828" s="56"/>
      <c r="O828" s="56"/>
    </row>
    <row r="829" spans="1:15" ht="13" x14ac:dyDescent="0.15">
      <c r="A829" s="56"/>
      <c r="B829" s="56"/>
      <c r="C829" s="229"/>
      <c r="K829" s="56"/>
      <c r="L829" s="56"/>
      <c r="O829" s="56"/>
    </row>
    <row r="830" spans="1:15" ht="13" x14ac:dyDescent="0.15">
      <c r="A830" s="56"/>
      <c r="B830" s="56"/>
      <c r="C830" s="229"/>
      <c r="K830" s="56"/>
      <c r="L830" s="56"/>
      <c r="O830" s="56"/>
    </row>
    <row r="831" spans="1:15" ht="13" x14ac:dyDescent="0.15">
      <c r="A831" s="56"/>
      <c r="B831" s="56"/>
      <c r="C831" s="229"/>
      <c r="K831" s="56"/>
      <c r="L831" s="56"/>
      <c r="O831" s="56"/>
    </row>
    <row r="832" spans="1:15" ht="13" x14ac:dyDescent="0.15">
      <c r="A832" s="56"/>
      <c r="B832" s="56"/>
      <c r="C832" s="229"/>
      <c r="K832" s="56"/>
      <c r="L832" s="56"/>
      <c r="O832" s="56"/>
    </row>
    <row r="833" spans="1:15" ht="13" x14ac:dyDescent="0.15">
      <c r="A833" s="56"/>
      <c r="B833" s="56"/>
      <c r="C833" s="229"/>
      <c r="K833" s="56"/>
      <c r="L833" s="56"/>
      <c r="O833" s="56"/>
    </row>
    <row r="834" spans="1:15" ht="13" x14ac:dyDescent="0.15">
      <c r="A834" s="56"/>
      <c r="B834" s="56"/>
      <c r="C834" s="229"/>
      <c r="K834" s="56"/>
      <c r="L834" s="56"/>
      <c r="O834" s="56"/>
    </row>
    <row r="835" spans="1:15" ht="13" x14ac:dyDescent="0.15">
      <c r="A835" s="56"/>
      <c r="B835" s="56"/>
      <c r="C835" s="229"/>
      <c r="K835" s="56"/>
      <c r="L835" s="56"/>
      <c r="O835" s="56"/>
    </row>
    <row r="836" spans="1:15" ht="13" x14ac:dyDescent="0.15">
      <c r="A836" s="56"/>
      <c r="B836" s="56"/>
      <c r="C836" s="229"/>
      <c r="K836" s="56"/>
      <c r="L836" s="56"/>
      <c r="O836" s="56"/>
    </row>
    <row r="837" spans="1:15" ht="13" x14ac:dyDescent="0.15">
      <c r="A837" s="56"/>
      <c r="B837" s="56"/>
      <c r="C837" s="229"/>
      <c r="K837" s="56"/>
      <c r="L837" s="56"/>
      <c r="O837" s="56"/>
    </row>
    <row r="838" spans="1:15" ht="13" x14ac:dyDescent="0.15">
      <c r="A838" s="56"/>
      <c r="B838" s="56"/>
      <c r="C838" s="229"/>
      <c r="K838" s="56"/>
      <c r="L838" s="56"/>
      <c r="O838" s="56"/>
    </row>
    <row r="839" spans="1:15" ht="13" x14ac:dyDescent="0.15">
      <c r="A839" s="56"/>
      <c r="B839" s="56"/>
      <c r="C839" s="229"/>
      <c r="K839" s="56"/>
      <c r="L839" s="56"/>
      <c r="O839" s="56"/>
    </row>
    <row r="840" spans="1:15" ht="13" x14ac:dyDescent="0.15">
      <c r="A840" s="56"/>
      <c r="B840" s="56"/>
      <c r="C840" s="229"/>
      <c r="K840" s="56"/>
      <c r="L840" s="56"/>
      <c r="O840" s="56"/>
    </row>
    <row r="841" spans="1:15" ht="13" x14ac:dyDescent="0.15">
      <c r="A841" s="56"/>
      <c r="B841" s="56"/>
      <c r="C841" s="229"/>
      <c r="K841" s="56"/>
      <c r="L841" s="56"/>
      <c r="O841" s="56"/>
    </row>
    <row r="842" spans="1:15" ht="13" x14ac:dyDescent="0.15">
      <c r="A842" s="56"/>
      <c r="B842" s="56"/>
      <c r="C842" s="229"/>
      <c r="K842" s="56"/>
      <c r="L842" s="56"/>
      <c r="O842" s="56"/>
    </row>
    <row r="843" spans="1:15" ht="13" x14ac:dyDescent="0.15">
      <c r="A843" s="56"/>
      <c r="B843" s="56"/>
      <c r="C843" s="229"/>
      <c r="K843" s="56"/>
      <c r="L843" s="56"/>
      <c r="O843" s="56"/>
    </row>
    <row r="844" spans="1:15" ht="13" x14ac:dyDescent="0.15">
      <c r="A844" s="56"/>
      <c r="B844" s="56"/>
      <c r="C844" s="229"/>
      <c r="K844" s="56"/>
      <c r="L844" s="56"/>
      <c r="O844" s="56"/>
    </row>
    <row r="845" spans="1:15" ht="13" x14ac:dyDescent="0.15">
      <c r="A845" s="56"/>
      <c r="B845" s="56"/>
      <c r="C845" s="229"/>
      <c r="K845" s="56"/>
      <c r="L845" s="56"/>
      <c r="O845" s="56"/>
    </row>
    <row r="846" spans="1:15" ht="13" x14ac:dyDescent="0.15">
      <c r="A846" s="56"/>
      <c r="B846" s="56"/>
      <c r="C846" s="229"/>
      <c r="K846" s="56"/>
      <c r="L846" s="56"/>
      <c r="O846" s="56"/>
    </row>
    <row r="847" spans="1:15" ht="13" x14ac:dyDescent="0.15">
      <c r="A847" s="56"/>
      <c r="B847" s="56"/>
      <c r="C847" s="229"/>
      <c r="K847" s="56"/>
      <c r="L847" s="56"/>
      <c r="O847" s="56"/>
    </row>
    <row r="848" spans="1:15" ht="13" x14ac:dyDescent="0.15">
      <c r="A848" s="56"/>
      <c r="B848" s="56"/>
      <c r="C848" s="229"/>
      <c r="K848" s="56"/>
      <c r="L848" s="56"/>
      <c r="O848" s="56"/>
    </row>
    <row r="849" spans="1:15" ht="13" x14ac:dyDescent="0.15">
      <c r="A849" s="56"/>
      <c r="B849" s="56"/>
      <c r="C849" s="229"/>
      <c r="K849" s="56"/>
      <c r="L849" s="56"/>
      <c r="O849" s="56"/>
    </row>
    <row r="850" spans="1:15" ht="13" x14ac:dyDescent="0.15">
      <c r="A850" s="56"/>
      <c r="B850" s="56"/>
      <c r="C850" s="229"/>
      <c r="K850" s="56"/>
      <c r="L850" s="56"/>
      <c r="O850" s="56"/>
    </row>
    <row r="851" spans="1:15" ht="13" x14ac:dyDescent="0.15">
      <c r="A851" s="56"/>
      <c r="B851" s="56"/>
      <c r="C851" s="229"/>
      <c r="K851" s="56"/>
      <c r="L851" s="56"/>
      <c r="O851" s="56"/>
    </row>
    <row r="852" spans="1:15" ht="13" x14ac:dyDescent="0.15">
      <c r="A852" s="56"/>
      <c r="B852" s="56"/>
      <c r="C852" s="229"/>
      <c r="K852" s="56"/>
      <c r="L852" s="56"/>
      <c r="O852" s="56"/>
    </row>
    <row r="853" spans="1:15" ht="13" x14ac:dyDescent="0.15">
      <c r="A853" s="56"/>
      <c r="B853" s="56"/>
      <c r="C853" s="229"/>
      <c r="K853" s="56"/>
      <c r="L853" s="56"/>
      <c r="O853" s="56"/>
    </row>
    <row r="854" spans="1:15" ht="13" x14ac:dyDescent="0.15">
      <c r="A854" s="56"/>
      <c r="B854" s="56"/>
      <c r="C854" s="229"/>
      <c r="K854" s="56"/>
      <c r="L854" s="56"/>
      <c r="O854" s="56"/>
    </row>
    <row r="855" spans="1:15" ht="13" x14ac:dyDescent="0.15">
      <c r="A855" s="56"/>
      <c r="B855" s="56"/>
      <c r="C855" s="229"/>
      <c r="K855" s="56"/>
      <c r="L855" s="56"/>
      <c r="O855" s="56"/>
    </row>
    <row r="856" spans="1:15" ht="13" x14ac:dyDescent="0.15">
      <c r="A856" s="56"/>
      <c r="B856" s="56"/>
      <c r="C856" s="229"/>
      <c r="K856" s="56"/>
      <c r="L856" s="56"/>
      <c r="O856" s="56"/>
    </row>
    <row r="857" spans="1:15" ht="13" x14ac:dyDescent="0.15">
      <c r="A857" s="56"/>
      <c r="B857" s="56"/>
      <c r="C857" s="229"/>
      <c r="K857" s="56"/>
      <c r="L857" s="56"/>
      <c r="O857" s="56"/>
    </row>
    <row r="858" spans="1:15" ht="13" x14ac:dyDescent="0.15">
      <c r="A858" s="56"/>
      <c r="B858" s="56"/>
      <c r="C858" s="229"/>
      <c r="K858" s="56"/>
      <c r="L858" s="56"/>
      <c r="O858" s="56"/>
    </row>
    <row r="859" spans="1:15" ht="13" x14ac:dyDescent="0.15">
      <c r="A859" s="56"/>
      <c r="B859" s="56"/>
      <c r="C859" s="229"/>
      <c r="K859" s="56"/>
      <c r="L859" s="56"/>
      <c r="O859" s="56"/>
    </row>
    <row r="860" spans="1:15" ht="13" x14ac:dyDescent="0.15">
      <c r="A860" s="56"/>
      <c r="B860" s="56"/>
      <c r="C860" s="229"/>
      <c r="K860" s="56"/>
      <c r="L860" s="56"/>
      <c r="O860" s="56"/>
    </row>
    <row r="861" spans="1:15" ht="13" x14ac:dyDescent="0.15">
      <c r="A861" s="56"/>
      <c r="B861" s="56"/>
      <c r="C861" s="229"/>
      <c r="K861" s="56"/>
      <c r="L861" s="56"/>
      <c r="O861" s="56"/>
    </row>
    <row r="862" spans="1:15" ht="13" x14ac:dyDescent="0.15">
      <c r="A862" s="56"/>
      <c r="B862" s="56"/>
      <c r="C862" s="229"/>
      <c r="K862" s="56"/>
      <c r="L862" s="56"/>
      <c r="O862" s="56"/>
    </row>
    <row r="863" spans="1:15" ht="13" x14ac:dyDescent="0.15">
      <c r="A863" s="56"/>
      <c r="B863" s="56"/>
      <c r="C863" s="229"/>
      <c r="K863" s="56"/>
      <c r="L863" s="56"/>
      <c r="O863" s="56"/>
    </row>
    <row r="864" spans="1:15" ht="13" x14ac:dyDescent="0.15">
      <c r="A864" s="56"/>
      <c r="B864" s="56"/>
      <c r="C864" s="229"/>
      <c r="K864" s="56"/>
      <c r="L864" s="56"/>
      <c r="O864" s="56"/>
    </row>
    <row r="865" spans="1:15" ht="13" x14ac:dyDescent="0.15">
      <c r="A865" s="56"/>
      <c r="B865" s="56"/>
      <c r="C865" s="229"/>
      <c r="K865" s="56"/>
      <c r="L865" s="56"/>
      <c r="O865" s="56"/>
    </row>
    <row r="866" spans="1:15" ht="13" x14ac:dyDescent="0.15">
      <c r="A866" s="56"/>
      <c r="B866" s="56"/>
      <c r="C866" s="229"/>
      <c r="K866" s="56"/>
      <c r="L866" s="56"/>
      <c r="O866" s="56"/>
    </row>
    <row r="867" spans="1:15" ht="13" x14ac:dyDescent="0.15">
      <c r="A867" s="56"/>
      <c r="B867" s="56"/>
      <c r="C867" s="229"/>
      <c r="K867" s="56"/>
      <c r="L867" s="56"/>
      <c r="O867" s="56"/>
    </row>
    <row r="868" spans="1:15" ht="13" x14ac:dyDescent="0.15">
      <c r="A868" s="56"/>
      <c r="B868" s="56"/>
      <c r="C868" s="229"/>
      <c r="K868" s="56"/>
      <c r="L868" s="56"/>
      <c r="O868" s="56"/>
    </row>
    <row r="869" spans="1:15" ht="13" x14ac:dyDescent="0.15">
      <c r="A869" s="56"/>
      <c r="B869" s="56"/>
      <c r="C869" s="229"/>
      <c r="K869" s="56"/>
      <c r="L869" s="56"/>
      <c r="O869" s="56"/>
    </row>
    <row r="870" spans="1:15" ht="13" x14ac:dyDescent="0.15">
      <c r="A870" s="56"/>
      <c r="B870" s="56"/>
      <c r="C870" s="229"/>
      <c r="K870" s="56"/>
      <c r="L870" s="56"/>
      <c r="O870" s="56"/>
    </row>
    <row r="871" spans="1:15" ht="13" x14ac:dyDescent="0.15">
      <c r="A871" s="56"/>
      <c r="B871" s="56"/>
      <c r="C871" s="229"/>
      <c r="K871" s="56"/>
      <c r="L871" s="56"/>
      <c r="O871" s="56"/>
    </row>
    <row r="872" spans="1:15" ht="13" x14ac:dyDescent="0.15">
      <c r="A872" s="56"/>
      <c r="B872" s="56"/>
      <c r="C872" s="229"/>
      <c r="K872" s="56"/>
      <c r="L872" s="56"/>
      <c r="O872" s="56"/>
    </row>
    <row r="873" spans="1:15" ht="13" x14ac:dyDescent="0.15">
      <c r="A873" s="56"/>
      <c r="B873" s="56"/>
      <c r="C873" s="229"/>
      <c r="K873" s="56"/>
      <c r="L873" s="56"/>
      <c r="O873" s="56"/>
    </row>
    <row r="874" spans="1:15" ht="13" x14ac:dyDescent="0.15">
      <c r="A874" s="56"/>
      <c r="B874" s="56"/>
      <c r="C874" s="229"/>
      <c r="K874" s="56"/>
      <c r="L874" s="56"/>
      <c r="O874" s="56"/>
    </row>
    <row r="875" spans="1:15" ht="13" x14ac:dyDescent="0.15">
      <c r="A875" s="56"/>
      <c r="B875" s="56"/>
      <c r="C875" s="229"/>
      <c r="K875" s="56"/>
      <c r="L875" s="56"/>
      <c r="O875" s="56"/>
    </row>
    <row r="876" spans="1:15" ht="13" x14ac:dyDescent="0.15">
      <c r="A876" s="56"/>
      <c r="B876" s="56"/>
      <c r="C876" s="229"/>
      <c r="K876" s="56"/>
      <c r="L876" s="56"/>
      <c r="O876" s="56"/>
    </row>
    <row r="877" spans="1:15" ht="13" x14ac:dyDescent="0.15">
      <c r="A877" s="56"/>
      <c r="B877" s="56"/>
      <c r="C877" s="229"/>
      <c r="K877" s="56"/>
      <c r="L877" s="56"/>
      <c r="O877" s="56"/>
    </row>
    <row r="878" spans="1:15" ht="13" x14ac:dyDescent="0.15">
      <c r="A878" s="56"/>
      <c r="B878" s="56"/>
      <c r="C878" s="229"/>
      <c r="K878" s="56"/>
      <c r="L878" s="56"/>
      <c r="O878" s="56"/>
    </row>
    <row r="879" spans="1:15" ht="13" x14ac:dyDescent="0.15">
      <c r="A879" s="56"/>
      <c r="B879" s="56"/>
      <c r="C879" s="229"/>
      <c r="K879" s="56"/>
      <c r="L879" s="56"/>
      <c r="O879" s="56"/>
    </row>
    <row r="880" spans="1:15" ht="13" x14ac:dyDescent="0.15">
      <c r="A880" s="56"/>
      <c r="B880" s="56"/>
      <c r="C880" s="229"/>
      <c r="K880" s="56"/>
      <c r="L880" s="56"/>
      <c r="O880" s="56"/>
    </row>
    <row r="881" spans="1:15" ht="13" x14ac:dyDescent="0.15">
      <c r="A881" s="56"/>
      <c r="B881" s="56"/>
      <c r="C881" s="229"/>
      <c r="K881" s="56"/>
      <c r="L881" s="56"/>
      <c r="O881" s="56"/>
    </row>
    <row r="882" spans="1:15" ht="13" x14ac:dyDescent="0.15">
      <c r="A882" s="56"/>
      <c r="B882" s="56"/>
      <c r="C882" s="229"/>
      <c r="K882" s="56"/>
      <c r="L882" s="56"/>
      <c r="O882" s="56"/>
    </row>
    <row r="883" spans="1:15" ht="13" x14ac:dyDescent="0.15">
      <c r="A883" s="56"/>
      <c r="B883" s="56"/>
      <c r="C883" s="229"/>
      <c r="K883" s="56"/>
      <c r="L883" s="56"/>
      <c r="O883" s="56"/>
    </row>
    <row r="884" spans="1:15" ht="13" x14ac:dyDescent="0.15">
      <c r="A884" s="56"/>
      <c r="B884" s="56"/>
      <c r="C884" s="229"/>
      <c r="K884" s="56"/>
      <c r="L884" s="56"/>
      <c r="O884" s="56"/>
    </row>
    <row r="885" spans="1:15" ht="13" x14ac:dyDescent="0.15">
      <c r="A885" s="56"/>
      <c r="B885" s="56"/>
      <c r="C885" s="229"/>
      <c r="K885" s="56"/>
      <c r="L885" s="56"/>
      <c r="O885" s="56"/>
    </row>
    <row r="886" spans="1:15" ht="13" x14ac:dyDescent="0.15">
      <c r="A886" s="56"/>
      <c r="B886" s="56"/>
      <c r="C886" s="229"/>
      <c r="K886" s="56"/>
      <c r="L886" s="56"/>
      <c r="O886" s="56"/>
    </row>
    <row r="887" spans="1:15" ht="13" x14ac:dyDescent="0.15">
      <c r="A887" s="56"/>
      <c r="B887" s="56"/>
      <c r="C887" s="229"/>
      <c r="K887" s="56"/>
      <c r="L887" s="56"/>
      <c r="O887" s="56"/>
    </row>
    <row r="888" spans="1:15" ht="13" x14ac:dyDescent="0.15">
      <c r="A888" s="56"/>
      <c r="B888" s="56"/>
      <c r="C888" s="229"/>
      <c r="K888" s="56"/>
      <c r="L888" s="56"/>
      <c r="O888" s="56"/>
    </row>
    <row r="889" spans="1:15" ht="13" x14ac:dyDescent="0.15">
      <c r="A889" s="56"/>
      <c r="B889" s="56"/>
      <c r="C889" s="229"/>
      <c r="K889" s="56"/>
      <c r="L889" s="56"/>
      <c r="O889" s="56"/>
    </row>
    <row r="890" spans="1:15" ht="13" x14ac:dyDescent="0.15">
      <c r="A890" s="56"/>
      <c r="B890" s="56"/>
      <c r="C890" s="229"/>
      <c r="K890" s="56"/>
      <c r="L890" s="56"/>
      <c r="O890" s="56"/>
    </row>
    <row r="891" spans="1:15" ht="13" x14ac:dyDescent="0.15">
      <c r="A891" s="56"/>
      <c r="B891" s="56"/>
      <c r="C891" s="229"/>
      <c r="K891" s="56"/>
      <c r="L891" s="56"/>
      <c r="O891" s="56"/>
    </row>
    <row r="892" spans="1:15" ht="13" x14ac:dyDescent="0.15">
      <c r="A892" s="56"/>
      <c r="B892" s="56"/>
      <c r="C892" s="229"/>
      <c r="K892" s="56"/>
      <c r="L892" s="56"/>
      <c r="O892" s="56"/>
    </row>
    <row r="893" spans="1:15" ht="13" x14ac:dyDescent="0.15">
      <c r="A893" s="56"/>
      <c r="B893" s="56"/>
      <c r="C893" s="229"/>
      <c r="K893" s="56"/>
      <c r="L893" s="56"/>
      <c r="O893" s="56"/>
    </row>
    <row r="894" spans="1:15" ht="13" x14ac:dyDescent="0.15">
      <c r="A894" s="56"/>
      <c r="B894" s="56"/>
      <c r="C894" s="229"/>
      <c r="K894" s="56"/>
      <c r="L894" s="56"/>
      <c r="O894" s="56"/>
    </row>
    <row r="895" spans="1:15" ht="13" x14ac:dyDescent="0.15">
      <c r="A895" s="56"/>
      <c r="B895" s="56"/>
      <c r="C895" s="229"/>
      <c r="K895" s="56"/>
      <c r="L895" s="56"/>
      <c r="O895" s="56"/>
    </row>
    <row r="896" spans="1:15" ht="13" x14ac:dyDescent="0.15">
      <c r="A896" s="56"/>
      <c r="B896" s="56"/>
      <c r="C896" s="229"/>
      <c r="K896" s="56"/>
      <c r="L896" s="56"/>
      <c r="O896" s="56"/>
    </row>
    <row r="897" spans="1:15" ht="13" x14ac:dyDescent="0.15">
      <c r="A897" s="56"/>
      <c r="B897" s="56"/>
      <c r="C897" s="229"/>
      <c r="K897" s="56"/>
      <c r="L897" s="56"/>
      <c r="O897" s="56"/>
    </row>
    <row r="898" spans="1:15" ht="13" x14ac:dyDescent="0.15">
      <c r="A898" s="56"/>
      <c r="B898" s="56"/>
      <c r="C898" s="229"/>
      <c r="K898" s="56"/>
      <c r="L898" s="56"/>
      <c r="O898" s="56"/>
    </row>
    <row r="899" spans="1:15" ht="13" x14ac:dyDescent="0.15">
      <c r="A899" s="56"/>
      <c r="B899" s="56"/>
      <c r="C899" s="229"/>
      <c r="K899" s="56"/>
      <c r="L899" s="56"/>
      <c r="O899" s="56"/>
    </row>
    <row r="900" spans="1:15" ht="13" x14ac:dyDescent="0.15">
      <c r="A900" s="56"/>
      <c r="B900" s="56"/>
      <c r="C900" s="229"/>
      <c r="K900" s="56"/>
      <c r="L900" s="56"/>
      <c r="O900" s="56"/>
    </row>
    <row r="901" spans="1:15" ht="13" x14ac:dyDescent="0.15">
      <c r="A901" s="56"/>
      <c r="B901" s="56"/>
      <c r="C901" s="229"/>
      <c r="K901" s="56"/>
      <c r="L901" s="56"/>
      <c r="O901" s="56"/>
    </row>
    <row r="902" spans="1:15" ht="13" x14ac:dyDescent="0.15">
      <c r="A902" s="56"/>
      <c r="B902" s="56"/>
      <c r="C902" s="229"/>
      <c r="K902" s="56"/>
      <c r="L902" s="56"/>
      <c r="O902" s="56"/>
    </row>
    <row r="903" spans="1:15" ht="13" x14ac:dyDescent="0.15">
      <c r="A903" s="56"/>
      <c r="B903" s="56"/>
      <c r="C903" s="229"/>
      <c r="K903" s="56"/>
      <c r="L903" s="56"/>
      <c r="O903" s="56"/>
    </row>
    <row r="904" spans="1:15" ht="13" x14ac:dyDescent="0.15">
      <c r="A904" s="56"/>
      <c r="B904" s="56"/>
      <c r="C904" s="229"/>
      <c r="K904" s="56"/>
      <c r="L904" s="56"/>
      <c r="O904" s="56"/>
    </row>
    <row r="905" spans="1:15" ht="13" x14ac:dyDescent="0.15">
      <c r="A905" s="56"/>
      <c r="B905" s="56"/>
      <c r="C905" s="229"/>
      <c r="K905" s="56"/>
      <c r="L905" s="56"/>
      <c r="O905" s="56"/>
    </row>
    <row r="906" spans="1:15" ht="13" x14ac:dyDescent="0.15">
      <c r="A906" s="56"/>
      <c r="B906" s="56"/>
      <c r="C906" s="229"/>
      <c r="K906" s="56"/>
      <c r="L906" s="56"/>
      <c r="O906" s="56"/>
    </row>
    <row r="907" spans="1:15" ht="13" x14ac:dyDescent="0.15">
      <c r="A907" s="56"/>
      <c r="B907" s="56"/>
      <c r="C907" s="229"/>
      <c r="K907" s="56"/>
      <c r="L907" s="56"/>
      <c r="O907" s="56"/>
    </row>
    <row r="908" spans="1:15" ht="13" x14ac:dyDescent="0.15">
      <c r="A908" s="56"/>
      <c r="B908" s="56"/>
      <c r="C908" s="229"/>
      <c r="K908" s="56"/>
      <c r="L908" s="56"/>
      <c r="O908" s="56"/>
    </row>
    <row r="909" spans="1:15" ht="13" x14ac:dyDescent="0.15">
      <c r="A909" s="56"/>
      <c r="B909" s="56"/>
      <c r="C909" s="229"/>
      <c r="K909" s="56"/>
      <c r="L909" s="56"/>
      <c r="O909" s="56"/>
    </row>
    <row r="910" spans="1:15" ht="13" x14ac:dyDescent="0.15">
      <c r="A910" s="56"/>
      <c r="B910" s="56"/>
      <c r="C910" s="229"/>
      <c r="K910" s="56"/>
      <c r="L910" s="56"/>
      <c r="O910" s="56"/>
    </row>
    <row r="911" spans="1:15" ht="13" x14ac:dyDescent="0.15">
      <c r="A911" s="56"/>
      <c r="B911" s="56"/>
      <c r="C911" s="229"/>
      <c r="K911" s="56"/>
      <c r="L911" s="56"/>
      <c r="O911" s="56"/>
    </row>
    <row r="912" spans="1:15" ht="13" x14ac:dyDescent="0.15">
      <c r="A912" s="56"/>
      <c r="B912" s="56"/>
      <c r="C912" s="229"/>
      <c r="K912" s="56"/>
      <c r="L912" s="56"/>
      <c r="O912" s="56"/>
    </row>
    <row r="913" spans="1:15" ht="13" x14ac:dyDescent="0.15">
      <c r="A913" s="56"/>
      <c r="B913" s="56"/>
      <c r="C913" s="229"/>
      <c r="K913" s="56"/>
      <c r="L913" s="56"/>
      <c r="O913" s="56"/>
    </row>
    <row r="914" spans="1:15" ht="13" x14ac:dyDescent="0.15">
      <c r="A914" s="56"/>
      <c r="B914" s="56"/>
      <c r="C914" s="229"/>
      <c r="K914" s="56"/>
      <c r="L914" s="56"/>
      <c r="O914" s="56"/>
    </row>
    <row r="915" spans="1:15" ht="13" x14ac:dyDescent="0.15">
      <c r="A915" s="56"/>
      <c r="B915" s="56"/>
      <c r="C915" s="229"/>
      <c r="K915" s="56"/>
      <c r="L915" s="56"/>
      <c r="O915" s="56"/>
    </row>
    <row r="916" spans="1:15" ht="13" x14ac:dyDescent="0.15">
      <c r="A916" s="56"/>
      <c r="B916" s="56"/>
      <c r="C916" s="229"/>
      <c r="K916" s="56"/>
      <c r="L916" s="56"/>
      <c r="O916" s="56"/>
    </row>
    <row r="917" spans="1:15" ht="13" x14ac:dyDescent="0.15">
      <c r="A917" s="56"/>
      <c r="B917" s="56"/>
      <c r="C917" s="229"/>
      <c r="K917" s="56"/>
      <c r="L917" s="56"/>
      <c r="O917" s="56"/>
    </row>
    <row r="918" spans="1:15" ht="13" x14ac:dyDescent="0.15">
      <c r="A918" s="56"/>
      <c r="B918" s="56"/>
      <c r="C918" s="229"/>
      <c r="K918" s="56"/>
      <c r="L918" s="56"/>
      <c r="O918" s="56"/>
    </row>
    <row r="919" spans="1:15" ht="13" x14ac:dyDescent="0.15">
      <c r="A919" s="56"/>
      <c r="B919" s="56"/>
      <c r="C919" s="229"/>
      <c r="K919" s="56"/>
      <c r="L919" s="56"/>
      <c r="O919" s="56"/>
    </row>
    <row r="920" spans="1:15" ht="13" x14ac:dyDescent="0.15">
      <c r="A920" s="56"/>
      <c r="B920" s="56"/>
      <c r="C920" s="229"/>
      <c r="K920" s="56"/>
      <c r="L920" s="56"/>
      <c r="O920" s="56"/>
    </row>
    <row r="921" spans="1:15" ht="13" x14ac:dyDescent="0.15">
      <c r="A921" s="56"/>
      <c r="B921" s="56"/>
      <c r="C921" s="229"/>
      <c r="K921" s="56"/>
      <c r="L921" s="56"/>
      <c r="O921" s="56"/>
    </row>
    <row r="922" spans="1:15" ht="13" x14ac:dyDescent="0.15">
      <c r="A922" s="56"/>
      <c r="B922" s="56"/>
      <c r="C922" s="229"/>
      <c r="K922" s="56"/>
      <c r="L922" s="56"/>
      <c r="O922" s="56"/>
    </row>
    <row r="923" spans="1:15" ht="13" x14ac:dyDescent="0.15">
      <c r="A923" s="56"/>
      <c r="B923" s="56"/>
      <c r="C923" s="229"/>
      <c r="K923" s="56"/>
      <c r="L923" s="56"/>
      <c r="O923" s="56"/>
    </row>
    <row r="924" spans="1:15" ht="13" x14ac:dyDescent="0.15">
      <c r="A924" s="56"/>
      <c r="B924" s="56"/>
      <c r="C924" s="229"/>
      <c r="K924" s="56"/>
      <c r="L924" s="56"/>
      <c r="O924" s="56"/>
    </row>
    <row r="925" spans="1:15" ht="13" x14ac:dyDescent="0.15">
      <c r="A925" s="56"/>
      <c r="B925" s="56"/>
      <c r="C925" s="229"/>
      <c r="K925" s="56"/>
      <c r="L925" s="56"/>
      <c r="O925" s="56"/>
    </row>
    <row r="926" spans="1:15" ht="13" x14ac:dyDescent="0.15">
      <c r="A926" s="56"/>
      <c r="B926" s="56"/>
      <c r="C926" s="229"/>
      <c r="K926" s="56"/>
      <c r="L926" s="56"/>
      <c r="O926" s="56"/>
    </row>
    <row r="927" spans="1:15" ht="13" x14ac:dyDescent="0.15">
      <c r="A927" s="56"/>
      <c r="B927" s="56"/>
      <c r="C927" s="229"/>
      <c r="K927" s="56"/>
      <c r="L927" s="56"/>
      <c r="O927" s="56"/>
    </row>
    <row r="928" spans="1:15" ht="13" x14ac:dyDescent="0.15">
      <c r="A928" s="56"/>
      <c r="B928" s="56"/>
      <c r="C928" s="229"/>
      <c r="K928" s="56"/>
      <c r="L928" s="56"/>
      <c r="O928" s="56"/>
    </row>
    <row r="929" spans="1:15" ht="13" x14ac:dyDescent="0.15">
      <c r="A929" s="56"/>
      <c r="B929" s="56"/>
      <c r="C929" s="229"/>
      <c r="K929" s="56"/>
      <c r="L929" s="56"/>
      <c r="O929" s="56"/>
    </row>
    <row r="930" spans="1:15" ht="13" x14ac:dyDescent="0.15">
      <c r="A930" s="56"/>
      <c r="B930" s="56"/>
      <c r="C930" s="229"/>
      <c r="K930" s="56"/>
      <c r="L930" s="56"/>
      <c r="O930" s="56"/>
    </row>
    <row r="931" spans="1:15" ht="13" x14ac:dyDescent="0.15">
      <c r="A931" s="56"/>
      <c r="B931" s="56"/>
      <c r="C931" s="229"/>
      <c r="K931" s="56"/>
      <c r="L931" s="56"/>
      <c r="O931" s="56"/>
    </row>
    <row r="932" spans="1:15" ht="13" x14ac:dyDescent="0.15">
      <c r="A932" s="56"/>
      <c r="B932" s="56"/>
      <c r="C932" s="229"/>
      <c r="K932" s="56"/>
      <c r="L932" s="56"/>
      <c r="O932" s="56"/>
    </row>
    <row r="933" spans="1:15" ht="13" x14ac:dyDescent="0.15">
      <c r="A933" s="56"/>
      <c r="B933" s="56"/>
      <c r="C933" s="229"/>
      <c r="K933" s="56"/>
      <c r="L933" s="56"/>
      <c r="O933" s="56"/>
    </row>
    <row r="934" spans="1:15" ht="13" x14ac:dyDescent="0.15">
      <c r="A934" s="56"/>
      <c r="B934" s="56"/>
      <c r="C934" s="229"/>
      <c r="K934" s="56"/>
      <c r="L934" s="56"/>
      <c r="O934" s="56"/>
    </row>
    <row r="935" spans="1:15" ht="13" x14ac:dyDescent="0.15">
      <c r="A935" s="56"/>
      <c r="B935" s="56"/>
      <c r="C935" s="229"/>
      <c r="K935" s="56"/>
      <c r="L935" s="56"/>
      <c r="O935" s="56"/>
    </row>
    <row r="936" spans="1:15" ht="13" x14ac:dyDescent="0.15">
      <c r="A936" s="56"/>
      <c r="B936" s="56"/>
      <c r="C936" s="229"/>
      <c r="K936" s="56"/>
      <c r="L936" s="56"/>
      <c r="O936" s="56"/>
    </row>
    <row r="937" spans="1:15" ht="13" x14ac:dyDescent="0.15">
      <c r="A937" s="56"/>
      <c r="B937" s="56"/>
      <c r="C937" s="229"/>
      <c r="K937" s="56"/>
      <c r="L937" s="56"/>
      <c r="O937" s="56"/>
    </row>
    <row r="938" spans="1:15" ht="13" x14ac:dyDescent="0.15">
      <c r="A938" s="56"/>
      <c r="B938" s="56"/>
      <c r="C938" s="229"/>
      <c r="K938" s="56"/>
      <c r="L938" s="56"/>
      <c r="O938" s="56"/>
    </row>
    <row r="939" spans="1:15" ht="13" x14ac:dyDescent="0.15">
      <c r="A939" s="56"/>
      <c r="B939" s="56"/>
      <c r="C939" s="229"/>
      <c r="K939" s="56"/>
      <c r="L939" s="56"/>
      <c r="O939" s="56"/>
    </row>
    <row r="940" spans="1:15" ht="13" x14ac:dyDescent="0.15">
      <c r="A940" s="56"/>
      <c r="B940" s="56"/>
      <c r="C940" s="229"/>
      <c r="K940" s="56"/>
      <c r="L940" s="56"/>
      <c r="O940" s="56"/>
    </row>
    <row r="941" spans="1:15" ht="13" x14ac:dyDescent="0.15">
      <c r="A941" s="56"/>
      <c r="B941" s="56"/>
      <c r="C941" s="229"/>
      <c r="K941" s="56"/>
      <c r="L941" s="56"/>
      <c r="O941" s="56"/>
    </row>
    <row r="942" spans="1:15" ht="13" x14ac:dyDescent="0.15">
      <c r="A942" s="56"/>
      <c r="B942" s="56"/>
      <c r="C942" s="229"/>
      <c r="K942" s="56"/>
      <c r="L942" s="56"/>
      <c r="O942" s="56"/>
    </row>
    <row r="943" spans="1:15" ht="13" x14ac:dyDescent="0.15">
      <c r="A943" s="56"/>
      <c r="B943" s="56"/>
      <c r="C943" s="229"/>
      <c r="K943" s="56"/>
      <c r="L943" s="56"/>
      <c r="O943" s="56"/>
    </row>
    <row r="944" spans="1:15" ht="13" x14ac:dyDescent="0.15">
      <c r="A944" s="56"/>
      <c r="B944" s="56"/>
      <c r="C944" s="229"/>
      <c r="K944" s="56"/>
      <c r="L944" s="56"/>
      <c r="O944" s="56"/>
    </row>
    <row r="945" spans="1:15" ht="13" x14ac:dyDescent="0.15">
      <c r="A945" s="56"/>
      <c r="B945" s="56"/>
      <c r="C945" s="229"/>
      <c r="K945" s="56"/>
      <c r="L945" s="56"/>
      <c r="O945" s="56"/>
    </row>
    <row r="946" spans="1:15" ht="13" x14ac:dyDescent="0.15">
      <c r="A946" s="56"/>
      <c r="B946" s="56"/>
      <c r="C946" s="229"/>
      <c r="K946" s="56"/>
      <c r="L946" s="56"/>
      <c r="O946" s="56"/>
    </row>
    <row r="947" spans="1:15" ht="13" x14ac:dyDescent="0.15">
      <c r="A947" s="56"/>
      <c r="B947" s="56"/>
      <c r="C947" s="229"/>
      <c r="K947" s="56"/>
      <c r="L947" s="56"/>
      <c r="O947" s="56"/>
    </row>
    <row r="948" spans="1:15" ht="13" x14ac:dyDescent="0.15">
      <c r="A948" s="56"/>
      <c r="B948" s="56"/>
      <c r="C948" s="229"/>
      <c r="K948" s="56"/>
      <c r="L948" s="56"/>
      <c r="O948" s="56"/>
    </row>
    <row r="949" spans="1:15" ht="13" x14ac:dyDescent="0.15">
      <c r="A949" s="56"/>
      <c r="B949" s="56"/>
      <c r="C949" s="229"/>
      <c r="K949" s="56"/>
      <c r="L949" s="56"/>
      <c r="O949" s="56"/>
    </row>
    <row r="950" spans="1:15" ht="13" x14ac:dyDescent="0.15">
      <c r="A950" s="56"/>
      <c r="B950" s="56"/>
      <c r="C950" s="229"/>
      <c r="K950" s="56"/>
      <c r="L950" s="56"/>
      <c r="O950" s="56"/>
    </row>
    <row r="951" spans="1:15" ht="13" x14ac:dyDescent="0.15">
      <c r="A951" s="56"/>
      <c r="B951" s="56"/>
      <c r="C951" s="229"/>
      <c r="K951" s="56"/>
      <c r="L951" s="56"/>
      <c r="O951" s="56"/>
    </row>
    <row r="952" spans="1:15" ht="13" x14ac:dyDescent="0.15">
      <c r="A952" s="56"/>
      <c r="B952" s="56"/>
      <c r="C952" s="229"/>
      <c r="K952" s="56"/>
      <c r="L952" s="56"/>
      <c r="O952" s="56"/>
    </row>
    <row r="953" spans="1:15" ht="13" x14ac:dyDescent="0.15">
      <c r="A953" s="56"/>
      <c r="B953" s="56"/>
      <c r="C953" s="229"/>
      <c r="K953" s="56"/>
      <c r="L953" s="56"/>
      <c r="O953" s="56"/>
    </row>
    <row r="954" spans="1:15" ht="13" x14ac:dyDescent="0.15">
      <c r="A954" s="56"/>
      <c r="B954" s="56"/>
      <c r="C954" s="229"/>
      <c r="K954" s="56"/>
      <c r="L954" s="56"/>
      <c r="O954" s="56"/>
    </row>
    <row r="955" spans="1:15" ht="13" x14ac:dyDescent="0.15">
      <c r="A955" s="56"/>
      <c r="B955" s="56"/>
      <c r="C955" s="229"/>
      <c r="K955" s="56"/>
      <c r="L955" s="56"/>
      <c r="O955" s="56"/>
    </row>
    <row r="956" spans="1:15" ht="13" x14ac:dyDescent="0.15">
      <c r="A956" s="56"/>
      <c r="B956" s="56"/>
      <c r="C956" s="229"/>
      <c r="K956" s="56"/>
      <c r="L956" s="56"/>
      <c r="O956" s="56"/>
    </row>
    <row r="957" spans="1:15" ht="13" x14ac:dyDescent="0.15">
      <c r="A957" s="56"/>
      <c r="B957" s="56"/>
      <c r="C957" s="229"/>
      <c r="K957" s="56"/>
      <c r="L957" s="56"/>
      <c r="O957" s="56"/>
    </row>
    <row r="958" spans="1:15" ht="13" x14ac:dyDescent="0.15">
      <c r="A958" s="56"/>
      <c r="B958" s="56"/>
      <c r="C958" s="229"/>
      <c r="K958" s="56"/>
      <c r="L958" s="56"/>
      <c r="O958" s="56"/>
    </row>
    <row r="959" spans="1:15" ht="13" x14ac:dyDescent="0.15">
      <c r="A959" s="56"/>
      <c r="B959" s="56"/>
      <c r="C959" s="229"/>
      <c r="K959" s="56"/>
      <c r="L959" s="56"/>
      <c r="O959" s="56"/>
    </row>
    <row r="960" spans="1:15" ht="13" x14ac:dyDescent="0.15">
      <c r="A960" s="56"/>
      <c r="B960" s="56"/>
      <c r="C960" s="229"/>
      <c r="K960" s="56"/>
      <c r="L960" s="56"/>
      <c r="O960" s="56"/>
    </row>
    <row r="961" spans="1:15" ht="13" x14ac:dyDescent="0.15">
      <c r="A961" s="56"/>
      <c r="B961" s="56"/>
      <c r="C961" s="229"/>
      <c r="K961" s="56"/>
      <c r="L961" s="56"/>
      <c r="O961" s="56"/>
    </row>
    <row r="962" spans="1:15" ht="13" x14ac:dyDescent="0.15">
      <c r="A962" s="56"/>
      <c r="B962" s="56"/>
      <c r="C962" s="229"/>
      <c r="K962" s="56"/>
      <c r="L962" s="56"/>
      <c r="O962" s="56"/>
    </row>
    <row r="963" spans="1:15" ht="13" x14ac:dyDescent="0.15">
      <c r="A963" s="56"/>
      <c r="B963" s="56"/>
      <c r="C963" s="229"/>
      <c r="K963" s="56"/>
      <c r="L963" s="56"/>
      <c r="O963" s="56"/>
    </row>
    <row r="964" spans="1:15" ht="13" x14ac:dyDescent="0.15">
      <c r="A964" s="56"/>
      <c r="B964" s="56"/>
      <c r="C964" s="229"/>
      <c r="K964" s="56"/>
      <c r="L964" s="56"/>
      <c r="O964" s="56"/>
    </row>
    <row r="965" spans="1:15" ht="13" x14ac:dyDescent="0.15">
      <c r="A965" s="56"/>
      <c r="B965" s="56"/>
      <c r="C965" s="229"/>
      <c r="K965" s="56"/>
      <c r="L965" s="56"/>
      <c r="O965" s="56"/>
    </row>
    <row r="966" spans="1:15" ht="13" x14ac:dyDescent="0.15">
      <c r="A966" s="56"/>
      <c r="B966" s="56"/>
      <c r="C966" s="229"/>
      <c r="K966" s="56"/>
      <c r="L966" s="56"/>
      <c r="O966" s="56"/>
    </row>
    <row r="967" spans="1:15" ht="13" x14ac:dyDescent="0.15">
      <c r="A967" s="56"/>
      <c r="B967" s="56"/>
      <c r="C967" s="229"/>
      <c r="K967" s="56"/>
      <c r="L967" s="56"/>
      <c r="O967" s="56"/>
    </row>
    <row r="968" spans="1:15" ht="13" x14ac:dyDescent="0.15">
      <c r="A968" s="56"/>
      <c r="B968" s="56"/>
      <c r="C968" s="229"/>
      <c r="K968" s="56"/>
      <c r="L968" s="56"/>
      <c r="O968" s="56"/>
    </row>
    <row r="969" spans="1:15" ht="13" x14ac:dyDescent="0.15">
      <c r="A969" s="56"/>
      <c r="B969" s="56"/>
      <c r="C969" s="229"/>
      <c r="K969" s="56"/>
      <c r="L969" s="56"/>
      <c r="O969" s="56"/>
    </row>
    <row r="970" spans="1:15" ht="13" x14ac:dyDescent="0.15">
      <c r="A970" s="56"/>
      <c r="B970" s="56"/>
      <c r="C970" s="229"/>
      <c r="K970" s="56"/>
      <c r="L970" s="56"/>
      <c r="O970" s="56"/>
    </row>
    <row r="971" spans="1:15" ht="13" x14ac:dyDescent="0.15">
      <c r="A971" s="56"/>
      <c r="B971" s="56"/>
      <c r="C971" s="229"/>
      <c r="K971" s="56"/>
      <c r="L971" s="56"/>
      <c r="O971" s="56"/>
    </row>
    <row r="972" spans="1:15" ht="13" x14ac:dyDescent="0.15">
      <c r="A972" s="56"/>
      <c r="B972" s="56"/>
      <c r="C972" s="229"/>
      <c r="K972" s="56"/>
      <c r="L972" s="56"/>
      <c r="O972" s="56"/>
    </row>
    <row r="973" spans="1:15" ht="13" x14ac:dyDescent="0.15">
      <c r="A973" s="56"/>
      <c r="B973" s="56"/>
      <c r="C973" s="229"/>
      <c r="K973" s="56"/>
      <c r="L973" s="56"/>
      <c r="O973" s="56"/>
    </row>
    <row r="974" spans="1:15" ht="13" x14ac:dyDescent="0.15">
      <c r="A974" s="56"/>
      <c r="B974" s="56"/>
      <c r="C974" s="229"/>
      <c r="K974" s="56"/>
      <c r="L974" s="56"/>
      <c r="O974" s="56"/>
    </row>
    <row r="975" spans="1:15" ht="13" x14ac:dyDescent="0.15">
      <c r="A975" s="56"/>
      <c r="B975" s="56"/>
      <c r="C975" s="229"/>
      <c r="K975" s="56"/>
      <c r="L975" s="56"/>
      <c r="O975" s="56"/>
    </row>
    <row r="976" spans="1:15" ht="13" x14ac:dyDescent="0.15">
      <c r="A976" s="56"/>
      <c r="B976" s="56"/>
      <c r="C976" s="229"/>
      <c r="K976" s="56"/>
      <c r="L976" s="56"/>
      <c r="O976" s="56"/>
    </row>
    <row r="977" spans="1:15" ht="13" x14ac:dyDescent="0.15">
      <c r="A977" s="56"/>
      <c r="B977" s="56"/>
      <c r="C977" s="229"/>
      <c r="K977" s="56"/>
      <c r="L977" s="56"/>
      <c r="O977" s="56"/>
    </row>
    <row r="978" spans="1:15" ht="13" x14ac:dyDescent="0.15">
      <c r="A978" s="56"/>
      <c r="B978" s="56"/>
      <c r="C978" s="229"/>
      <c r="K978" s="56"/>
      <c r="L978" s="56"/>
      <c r="O978" s="56"/>
    </row>
    <row r="979" spans="1:15" ht="13" x14ac:dyDescent="0.15">
      <c r="A979" s="56"/>
      <c r="B979" s="56"/>
      <c r="C979" s="229"/>
      <c r="K979" s="56"/>
      <c r="L979" s="56"/>
      <c r="O979" s="56"/>
    </row>
    <row r="980" spans="1:15" ht="13" x14ac:dyDescent="0.15">
      <c r="A980" s="56"/>
      <c r="B980" s="56"/>
      <c r="C980" s="229"/>
      <c r="K980" s="56"/>
      <c r="L980" s="56"/>
      <c r="O980" s="56"/>
    </row>
    <row r="981" spans="1:15" ht="13" x14ac:dyDescent="0.15">
      <c r="A981" s="56"/>
      <c r="B981" s="56"/>
      <c r="C981" s="229"/>
      <c r="K981" s="56"/>
      <c r="L981" s="56"/>
      <c r="O981" s="56"/>
    </row>
    <row r="982" spans="1:15" ht="13" x14ac:dyDescent="0.15">
      <c r="A982" s="56"/>
      <c r="B982" s="56"/>
      <c r="C982" s="229"/>
      <c r="K982" s="56"/>
      <c r="L982" s="56"/>
      <c r="O982" s="56"/>
    </row>
    <row r="983" spans="1:15" ht="13" x14ac:dyDescent="0.15">
      <c r="A983" s="56"/>
      <c r="B983" s="56"/>
      <c r="C983" s="229"/>
      <c r="K983" s="56"/>
      <c r="L983" s="56"/>
      <c r="O983" s="56"/>
    </row>
    <row r="984" spans="1:15" ht="13" x14ac:dyDescent="0.15">
      <c r="A984" s="56"/>
      <c r="B984" s="56"/>
      <c r="C984" s="229"/>
      <c r="K984" s="56"/>
      <c r="L984" s="56"/>
      <c r="O984" s="56"/>
    </row>
    <row r="985" spans="1:15" ht="13" x14ac:dyDescent="0.15">
      <c r="A985" s="56"/>
      <c r="B985" s="56"/>
      <c r="C985" s="229"/>
      <c r="K985" s="56"/>
      <c r="L985" s="56"/>
      <c r="O985" s="56"/>
    </row>
    <row r="986" spans="1:15" ht="13" x14ac:dyDescent="0.15">
      <c r="A986" s="56"/>
      <c r="B986" s="56"/>
      <c r="C986" s="229"/>
      <c r="K986" s="56"/>
      <c r="L986" s="56"/>
      <c r="O986" s="56"/>
    </row>
    <row r="987" spans="1:15" ht="13" x14ac:dyDescent="0.15">
      <c r="A987" s="56"/>
      <c r="B987" s="56"/>
      <c r="C987" s="229"/>
      <c r="K987" s="56"/>
      <c r="L987" s="56"/>
      <c r="O987" s="56"/>
    </row>
    <row r="988" spans="1:15" ht="13" x14ac:dyDescent="0.15">
      <c r="A988" s="56"/>
      <c r="B988" s="56"/>
      <c r="C988" s="229"/>
      <c r="K988" s="56"/>
      <c r="L988" s="56"/>
      <c r="O988" s="56"/>
    </row>
    <row r="989" spans="1:15" ht="13" x14ac:dyDescent="0.15">
      <c r="A989" s="56"/>
      <c r="B989" s="56"/>
      <c r="C989" s="229"/>
      <c r="K989" s="56"/>
      <c r="L989" s="56"/>
      <c r="O989" s="56"/>
    </row>
    <row r="990" spans="1:15" ht="13" x14ac:dyDescent="0.15">
      <c r="A990" s="56"/>
      <c r="B990" s="56"/>
      <c r="C990" s="229"/>
      <c r="K990" s="56"/>
      <c r="L990" s="56"/>
      <c r="O990" s="56"/>
    </row>
    <row r="991" spans="1:15" ht="13" x14ac:dyDescent="0.15">
      <c r="A991" s="56"/>
      <c r="B991" s="56"/>
      <c r="C991" s="229"/>
      <c r="K991" s="56"/>
      <c r="L991" s="56"/>
      <c r="O991" s="56"/>
    </row>
    <row r="992" spans="1:15" ht="13" x14ac:dyDescent="0.15">
      <c r="A992" s="56"/>
      <c r="B992" s="56"/>
      <c r="C992" s="229"/>
      <c r="K992" s="56"/>
      <c r="L992" s="56"/>
      <c r="O992" s="56"/>
    </row>
  </sheetData>
  <hyperlinks>
    <hyperlink ref="M2" r:id="rId1" xr:uid="{00000000-0004-0000-0F00-000000000000}"/>
    <hyperlink ref="M3" r:id="rId2" xr:uid="{00000000-0004-0000-0F00-000001000000}"/>
    <hyperlink ref="M5" r:id="rId3" xr:uid="{00000000-0004-0000-0F00-000002000000}"/>
    <hyperlink ref="M6" r:id="rId4" xr:uid="{00000000-0004-0000-0F00-000003000000}"/>
    <hyperlink ref="M7" r:id="rId5" xr:uid="{00000000-0004-0000-0F00-000004000000}"/>
    <hyperlink ref="M8" r:id="rId6" xr:uid="{00000000-0004-0000-0F00-000005000000}"/>
    <hyperlink ref="M9" r:id="rId7" xr:uid="{00000000-0004-0000-0F00-000006000000}"/>
    <hyperlink ref="M11" r:id="rId8" xr:uid="{00000000-0004-0000-0F00-000007000000}"/>
    <hyperlink ref="M12" r:id="rId9" xr:uid="{00000000-0004-0000-0F00-000008000000}"/>
    <hyperlink ref="M16" r:id="rId10" xr:uid="{00000000-0004-0000-0F00-000009000000}"/>
    <hyperlink ref="N26" r:id="rId11" xr:uid="{00000000-0004-0000-0F00-00000A000000}"/>
    <hyperlink ref="M48" r:id="rId12" xr:uid="{00000000-0004-0000-0F00-00000B000000}"/>
    <hyperlink ref="M49" r:id="rId13" xr:uid="{00000000-0004-0000-0F00-00000C000000}"/>
    <hyperlink ref="M52" r:id="rId14" xr:uid="{00000000-0004-0000-0F00-00000D000000}"/>
  </hyperlinks>
  <pageMargins left="0.63" right="0.11811023622047245" top="0.31496062992125984" bottom="0.15748031496062992" header="0" footer="0"/>
  <pageSetup paperSize="9" scale="60" orientation="landscape"/>
  <legacyDrawing r:id="rId1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982"/>
  <sheetViews>
    <sheetView workbookViewId="0"/>
  </sheetViews>
  <sheetFormatPr baseColWidth="10" defaultColWidth="12.6640625" defaultRowHeight="15.75" customHeight="1" x14ac:dyDescent="0.15"/>
  <cols>
    <col min="1" max="1" width="8.1640625" customWidth="1"/>
    <col min="2" max="2" width="15.1640625" customWidth="1"/>
    <col min="3" max="3" width="6.33203125" customWidth="1"/>
    <col min="4" max="4" width="8.5" customWidth="1"/>
    <col min="5" max="5" width="61.1640625" customWidth="1"/>
    <col min="6" max="6" width="79.6640625" customWidth="1"/>
    <col min="7" max="7" width="24.83203125" customWidth="1"/>
    <col min="8" max="8" width="34" customWidth="1"/>
    <col min="9" max="9" width="27.83203125" customWidth="1"/>
    <col min="10" max="10" width="92.6640625" customWidth="1"/>
    <col min="11" max="11" width="32.33203125" customWidth="1"/>
    <col min="12" max="12" width="36.83203125" customWidth="1"/>
    <col min="13" max="13" width="45.5" customWidth="1"/>
    <col min="14" max="14" width="35.5" customWidth="1"/>
    <col min="15" max="15" width="34.6640625" customWidth="1"/>
    <col min="16" max="16" width="33.83203125" customWidth="1"/>
    <col min="17" max="17" width="29.6640625" customWidth="1"/>
    <col min="18" max="18" width="23.1640625" customWidth="1"/>
    <col min="19" max="19" width="30.1640625" customWidth="1"/>
    <col min="20" max="20" width="17.1640625" customWidth="1"/>
    <col min="21" max="27" width="7.6640625" customWidth="1"/>
  </cols>
  <sheetData>
    <row r="1" spans="1:20" x14ac:dyDescent="0.2">
      <c r="A1" s="60" t="s">
        <v>36</v>
      </c>
      <c r="B1" s="60" t="s">
        <v>37</v>
      </c>
      <c r="C1" s="59" t="s">
        <v>38</v>
      </c>
      <c r="D1" s="59"/>
      <c r="E1" s="59" t="s">
        <v>39</v>
      </c>
      <c r="F1" s="59" t="s">
        <v>40</v>
      </c>
      <c r="G1" s="59" t="s">
        <v>41</v>
      </c>
      <c r="H1" s="59" t="s">
        <v>42</v>
      </c>
      <c r="I1" s="59" t="s">
        <v>43</v>
      </c>
      <c r="J1" s="59" t="s">
        <v>5511</v>
      </c>
      <c r="K1" s="59" t="s">
        <v>5512</v>
      </c>
      <c r="L1" s="59" t="s">
        <v>5513</v>
      </c>
      <c r="M1" s="59" t="s">
        <v>5514</v>
      </c>
      <c r="N1" s="59" t="s">
        <v>5515</v>
      </c>
      <c r="O1" s="59" t="s">
        <v>5516</v>
      </c>
      <c r="P1" s="59" t="s">
        <v>5517</v>
      </c>
      <c r="Q1" s="59" t="s">
        <v>5518</v>
      </c>
      <c r="R1" s="59" t="s">
        <v>47</v>
      </c>
      <c r="S1" s="59" t="s">
        <v>48</v>
      </c>
      <c r="T1" s="59" t="s">
        <v>49</v>
      </c>
    </row>
    <row r="2" spans="1:20" x14ac:dyDescent="0.2">
      <c r="A2" s="61">
        <v>20</v>
      </c>
      <c r="B2" s="61">
        <v>16</v>
      </c>
      <c r="C2" s="62" t="s">
        <v>51</v>
      </c>
      <c r="D2" s="62" t="str">
        <f t="shared" ref="D2:D24" si="0">A2&amp;B2&amp;C2</f>
        <v>2016001</v>
      </c>
      <c r="E2" s="230" t="s">
        <v>5519</v>
      </c>
      <c r="F2" s="230" t="s">
        <v>5520</v>
      </c>
      <c r="G2" s="67" t="s">
        <v>5521</v>
      </c>
      <c r="H2" s="67" t="s">
        <v>5522</v>
      </c>
      <c r="I2" s="67" t="s">
        <v>5523</v>
      </c>
      <c r="J2" s="67" t="s">
        <v>5524</v>
      </c>
      <c r="K2" s="67" t="s">
        <v>5525</v>
      </c>
      <c r="L2" s="67" t="s">
        <v>5525</v>
      </c>
      <c r="M2" s="67" t="s">
        <v>5525</v>
      </c>
      <c r="N2" s="67" t="s">
        <v>5526</v>
      </c>
      <c r="O2" s="67" t="s">
        <v>5527</v>
      </c>
      <c r="P2" s="67" t="s">
        <v>742</v>
      </c>
      <c r="Q2" s="61">
        <v>81336493936</v>
      </c>
      <c r="R2" s="67"/>
      <c r="S2" s="67" t="s">
        <v>5528</v>
      </c>
      <c r="T2" s="62">
        <v>7</v>
      </c>
    </row>
    <row r="3" spans="1:20" x14ac:dyDescent="0.2">
      <c r="A3" s="61">
        <v>20</v>
      </c>
      <c r="B3" s="61">
        <v>16</v>
      </c>
      <c r="C3" s="62" t="s">
        <v>60</v>
      </c>
      <c r="D3" s="62" t="str">
        <f t="shared" si="0"/>
        <v>2016002</v>
      </c>
      <c r="E3" s="230" t="s">
        <v>5529</v>
      </c>
      <c r="F3" s="230" t="s">
        <v>5530</v>
      </c>
      <c r="G3" s="67" t="s">
        <v>5521</v>
      </c>
      <c r="H3" s="67" t="s">
        <v>5531</v>
      </c>
      <c r="I3" s="67" t="s">
        <v>5532</v>
      </c>
      <c r="J3" s="67" t="s">
        <v>5533</v>
      </c>
      <c r="K3" s="67" t="s">
        <v>5533</v>
      </c>
      <c r="L3" s="67" t="s">
        <v>5533</v>
      </c>
      <c r="M3" s="67"/>
      <c r="N3" s="67" t="s">
        <v>5533</v>
      </c>
      <c r="O3" s="67" t="s">
        <v>5534</v>
      </c>
      <c r="P3" s="67" t="s">
        <v>5535</v>
      </c>
      <c r="Q3" s="61" t="s">
        <v>5536</v>
      </c>
      <c r="R3" s="67"/>
      <c r="S3" s="67"/>
      <c r="T3" s="62">
        <v>18</v>
      </c>
    </row>
    <row r="4" spans="1:20" x14ac:dyDescent="0.2">
      <c r="A4" s="61">
        <v>20</v>
      </c>
      <c r="B4" s="61">
        <v>16</v>
      </c>
      <c r="C4" s="62" t="s">
        <v>68</v>
      </c>
      <c r="D4" s="62" t="str">
        <f t="shared" si="0"/>
        <v>2016003</v>
      </c>
      <c r="E4" s="230" t="s">
        <v>5537</v>
      </c>
      <c r="F4" s="230" t="s">
        <v>5538</v>
      </c>
      <c r="G4" s="67" t="s">
        <v>5521</v>
      </c>
      <c r="H4" s="67" t="s">
        <v>5539</v>
      </c>
      <c r="I4" s="54" t="s">
        <v>5540</v>
      </c>
      <c r="J4" s="67" t="s">
        <v>5541</v>
      </c>
      <c r="K4" s="67" t="s">
        <v>5542</v>
      </c>
      <c r="L4" s="67" t="s">
        <v>5542</v>
      </c>
      <c r="M4" s="67" t="s">
        <v>663</v>
      </c>
      <c r="N4" s="67" t="s">
        <v>5542</v>
      </c>
      <c r="O4" s="67"/>
      <c r="P4" s="67"/>
      <c r="Q4" s="231" t="s">
        <v>5543</v>
      </c>
      <c r="R4" s="67"/>
      <c r="S4" s="67" t="s">
        <v>5544</v>
      </c>
      <c r="T4" s="62">
        <v>10</v>
      </c>
    </row>
    <row r="5" spans="1:20" x14ac:dyDescent="0.2">
      <c r="A5" s="61">
        <v>21</v>
      </c>
      <c r="B5" s="61">
        <v>16</v>
      </c>
      <c r="C5" s="62" t="s">
        <v>76</v>
      </c>
      <c r="D5" s="62" t="str">
        <f t="shared" si="0"/>
        <v>2116004</v>
      </c>
      <c r="E5" s="230" t="s">
        <v>5545</v>
      </c>
      <c r="F5" s="230" t="s">
        <v>5546</v>
      </c>
      <c r="G5" s="67" t="s">
        <v>5521</v>
      </c>
      <c r="H5" s="67" t="s">
        <v>5547</v>
      </c>
      <c r="I5" s="67" t="s">
        <v>5534</v>
      </c>
      <c r="J5" s="67" t="s">
        <v>5548</v>
      </c>
      <c r="K5" s="67" t="s">
        <v>5548</v>
      </c>
      <c r="L5" s="67" t="s">
        <v>5548</v>
      </c>
      <c r="M5" s="67"/>
      <c r="N5" s="67"/>
      <c r="O5" s="67" t="s">
        <v>5549</v>
      </c>
      <c r="P5" s="67" t="s">
        <v>742</v>
      </c>
      <c r="Q5" s="61">
        <v>85600839218</v>
      </c>
      <c r="R5" s="67"/>
      <c r="S5" s="67" t="s">
        <v>5550</v>
      </c>
      <c r="T5" s="62">
        <v>3</v>
      </c>
    </row>
    <row r="6" spans="1:20" x14ac:dyDescent="0.2">
      <c r="A6" s="61">
        <v>21</v>
      </c>
      <c r="B6" s="61">
        <v>16</v>
      </c>
      <c r="C6" s="62" t="s">
        <v>84</v>
      </c>
      <c r="D6" s="62" t="str">
        <f t="shared" si="0"/>
        <v>2116005</v>
      </c>
      <c r="E6" s="230" t="s">
        <v>5551</v>
      </c>
      <c r="F6" s="230" t="s">
        <v>5552</v>
      </c>
      <c r="G6" s="67" t="s">
        <v>5521</v>
      </c>
      <c r="H6" s="67" t="s">
        <v>5553</v>
      </c>
      <c r="I6" s="54" t="s">
        <v>5554</v>
      </c>
      <c r="J6" s="67" t="s">
        <v>5555</v>
      </c>
      <c r="K6" s="67" t="s">
        <v>5556</v>
      </c>
      <c r="L6" s="67" t="s">
        <v>5556</v>
      </c>
      <c r="M6" s="67"/>
      <c r="N6" s="67" t="s">
        <v>5557</v>
      </c>
      <c r="O6" s="67"/>
      <c r="P6" s="67"/>
      <c r="Q6" s="231" t="s">
        <v>5558</v>
      </c>
      <c r="R6" s="67"/>
      <c r="S6" s="67" t="s">
        <v>5559</v>
      </c>
      <c r="T6" s="62">
        <v>1</v>
      </c>
    </row>
    <row r="7" spans="1:20" x14ac:dyDescent="0.2">
      <c r="A7" s="61">
        <v>21</v>
      </c>
      <c r="B7" s="61">
        <v>16</v>
      </c>
      <c r="C7" s="62" t="s">
        <v>92</v>
      </c>
      <c r="D7" s="62" t="str">
        <f t="shared" si="0"/>
        <v>2116006</v>
      </c>
      <c r="E7" s="230" t="s">
        <v>5560</v>
      </c>
      <c r="F7" s="230" t="s">
        <v>5561</v>
      </c>
      <c r="G7" s="67" t="s">
        <v>5521</v>
      </c>
      <c r="H7" s="67" t="s">
        <v>5562</v>
      </c>
      <c r="I7" s="67" t="s">
        <v>5563</v>
      </c>
      <c r="J7" s="67" t="s">
        <v>5564</v>
      </c>
      <c r="K7" s="67" t="s">
        <v>5564</v>
      </c>
      <c r="L7" s="67" t="s">
        <v>5564</v>
      </c>
      <c r="M7" s="67" t="s">
        <v>653</v>
      </c>
      <c r="N7" s="67" t="s">
        <v>5564</v>
      </c>
      <c r="O7" s="67" t="s">
        <v>5565</v>
      </c>
      <c r="P7" s="67" t="s">
        <v>2141</v>
      </c>
      <c r="Q7" s="61">
        <v>81249063237</v>
      </c>
      <c r="R7" s="67"/>
      <c r="S7" s="67" t="s">
        <v>5564</v>
      </c>
      <c r="T7" s="62">
        <v>10</v>
      </c>
    </row>
    <row r="8" spans="1:20" x14ac:dyDescent="0.2">
      <c r="A8" s="61">
        <v>21</v>
      </c>
      <c r="B8" s="61">
        <v>16</v>
      </c>
      <c r="C8" s="62" t="s">
        <v>100</v>
      </c>
      <c r="D8" s="62" t="str">
        <f t="shared" si="0"/>
        <v>2116007</v>
      </c>
      <c r="E8" s="230" t="s">
        <v>5566</v>
      </c>
      <c r="F8" s="230" t="s">
        <v>5567</v>
      </c>
      <c r="G8" s="67" t="s">
        <v>5521</v>
      </c>
      <c r="H8" s="67" t="s">
        <v>5568</v>
      </c>
      <c r="I8" s="67" t="s">
        <v>5569</v>
      </c>
      <c r="J8" s="67"/>
      <c r="K8" s="67"/>
      <c r="L8" s="67"/>
      <c r="M8" s="67"/>
      <c r="N8" s="67"/>
      <c r="O8" s="67" t="s">
        <v>5570</v>
      </c>
      <c r="P8" s="67" t="s">
        <v>5571</v>
      </c>
      <c r="Q8" s="61">
        <v>6285895132432</v>
      </c>
      <c r="R8" s="67"/>
      <c r="S8" s="67"/>
      <c r="T8" s="62">
        <v>4</v>
      </c>
    </row>
    <row r="9" spans="1:20" x14ac:dyDescent="0.2">
      <c r="A9" s="61">
        <v>21</v>
      </c>
      <c r="B9" s="61">
        <v>16</v>
      </c>
      <c r="C9" s="62" t="s">
        <v>108</v>
      </c>
      <c r="D9" s="62" t="str">
        <f t="shared" si="0"/>
        <v>2116008</v>
      </c>
      <c r="E9" s="230" t="s">
        <v>5572</v>
      </c>
      <c r="F9" s="230" t="s">
        <v>5573</v>
      </c>
      <c r="G9" s="67" t="s">
        <v>5521</v>
      </c>
      <c r="H9" s="67" t="s">
        <v>5574</v>
      </c>
      <c r="I9" s="67" t="s">
        <v>5565</v>
      </c>
      <c r="J9" s="67" t="s">
        <v>5575</v>
      </c>
      <c r="K9" s="67" t="s">
        <v>5576</v>
      </c>
      <c r="L9" s="67" t="s">
        <v>5576</v>
      </c>
      <c r="M9" s="67" t="s">
        <v>663</v>
      </c>
      <c r="N9" s="67" t="s">
        <v>5577</v>
      </c>
      <c r="O9" s="67" t="s">
        <v>5523</v>
      </c>
      <c r="P9" s="67" t="s">
        <v>5578</v>
      </c>
      <c r="Q9" s="61" t="s">
        <v>5579</v>
      </c>
      <c r="R9" s="67"/>
      <c r="S9" s="67" t="s">
        <v>5580</v>
      </c>
      <c r="T9" s="62">
        <v>10</v>
      </c>
    </row>
    <row r="10" spans="1:20" x14ac:dyDescent="0.2">
      <c r="A10" s="61">
        <v>21</v>
      </c>
      <c r="B10" s="61">
        <v>16</v>
      </c>
      <c r="C10" s="62" t="s">
        <v>116</v>
      </c>
      <c r="D10" s="62" t="str">
        <f t="shared" si="0"/>
        <v>2116009</v>
      </c>
      <c r="E10" s="230" t="s">
        <v>5581</v>
      </c>
      <c r="F10" s="230" t="s">
        <v>5582</v>
      </c>
      <c r="G10" s="67" t="s">
        <v>5521</v>
      </c>
      <c r="H10" s="67" t="s">
        <v>5583</v>
      </c>
      <c r="I10" s="67" t="s">
        <v>5570</v>
      </c>
      <c r="J10" s="67" t="s">
        <v>5584</v>
      </c>
      <c r="K10" s="67" t="s">
        <v>5585</v>
      </c>
      <c r="L10" s="67" t="s">
        <v>5585</v>
      </c>
      <c r="M10" s="67"/>
      <c r="N10" s="67" t="s">
        <v>5584</v>
      </c>
      <c r="O10" s="67" t="s">
        <v>5586</v>
      </c>
      <c r="P10" s="67" t="s">
        <v>5587</v>
      </c>
      <c r="Q10" s="61">
        <v>85231658616</v>
      </c>
      <c r="R10" s="67"/>
      <c r="S10" s="67" t="s">
        <v>5588</v>
      </c>
      <c r="T10" s="62">
        <v>5</v>
      </c>
    </row>
    <row r="11" spans="1:20" x14ac:dyDescent="0.2">
      <c r="A11" s="61">
        <v>21</v>
      </c>
      <c r="B11" s="61">
        <v>16</v>
      </c>
      <c r="C11" s="62" t="s">
        <v>124</v>
      </c>
      <c r="D11" s="62" t="str">
        <f t="shared" si="0"/>
        <v>2116010</v>
      </c>
      <c r="E11" s="230" t="s">
        <v>4806</v>
      </c>
      <c r="F11" s="230" t="s">
        <v>5589</v>
      </c>
      <c r="G11" s="67" t="s">
        <v>5521</v>
      </c>
      <c r="H11" s="67" t="s">
        <v>5590</v>
      </c>
      <c r="I11" s="67" t="s">
        <v>5165</v>
      </c>
      <c r="J11" s="67" t="s">
        <v>5591</v>
      </c>
      <c r="K11" s="67" t="s">
        <v>5592</v>
      </c>
      <c r="L11" s="67" t="s">
        <v>5593</v>
      </c>
      <c r="M11" s="67" t="s">
        <v>5594</v>
      </c>
      <c r="N11" s="67" t="s">
        <v>5594</v>
      </c>
      <c r="O11" s="67" t="s">
        <v>5595</v>
      </c>
      <c r="P11" s="67"/>
      <c r="Q11" s="93" t="s">
        <v>5596</v>
      </c>
      <c r="R11" s="67"/>
      <c r="S11" s="67" t="s">
        <v>5597</v>
      </c>
      <c r="T11" s="62">
        <v>2</v>
      </c>
    </row>
    <row r="12" spans="1:20" x14ac:dyDescent="0.2">
      <c r="A12" s="61">
        <v>21</v>
      </c>
      <c r="B12" s="61">
        <v>16</v>
      </c>
      <c r="C12" s="62" t="s">
        <v>132</v>
      </c>
      <c r="D12" s="62" t="str">
        <f t="shared" si="0"/>
        <v>2116011</v>
      </c>
      <c r="E12" s="230" t="s">
        <v>5598</v>
      </c>
      <c r="F12" s="230" t="s">
        <v>5599</v>
      </c>
      <c r="G12" s="67" t="s">
        <v>5521</v>
      </c>
      <c r="H12" s="67" t="s">
        <v>5600</v>
      </c>
      <c r="I12" s="54" t="s">
        <v>5601</v>
      </c>
      <c r="J12" s="67"/>
      <c r="K12" s="67" t="s">
        <v>5602</v>
      </c>
      <c r="L12" s="67" t="s">
        <v>5603</v>
      </c>
      <c r="M12" s="67" t="s">
        <v>5604</v>
      </c>
      <c r="N12" s="67" t="s">
        <v>5605</v>
      </c>
      <c r="O12" s="67" t="s">
        <v>5601</v>
      </c>
      <c r="P12" s="67" t="s">
        <v>5606</v>
      </c>
      <c r="Q12" s="93" t="s">
        <v>5607</v>
      </c>
      <c r="R12" s="67"/>
      <c r="S12" s="67" t="s">
        <v>5608</v>
      </c>
      <c r="T12" s="62">
        <v>13</v>
      </c>
    </row>
    <row r="13" spans="1:20" x14ac:dyDescent="0.2">
      <c r="A13" s="61">
        <v>21</v>
      </c>
      <c r="B13" s="61">
        <v>16</v>
      </c>
      <c r="C13" s="62" t="s">
        <v>140</v>
      </c>
      <c r="D13" s="62" t="str">
        <f t="shared" si="0"/>
        <v>2116012</v>
      </c>
      <c r="E13" s="230" t="s">
        <v>5609</v>
      </c>
      <c r="F13" s="230" t="s">
        <v>5610</v>
      </c>
      <c r="G13" s="67" t="s">
        <v>5521</v>
      </c>
      <c r="H13" s="67" t="s">
        <v>5611</v>
      </c>
      <c r="I13" s="54" t="s">
        <v>5612</v>
      </c>
      <c r="J13" s="67" t="s">
        <v>5613</v>
      </c>
      <c r="K13" s="67" t="s">
        <v>5614</v>
      </c>
      <c r="L13" s="67" t="s">
        <v>5615</v>
      </c>
      <c r="M13" s="67"/>
      <c r="N13" s="67" t="s">
        <v>5616</v>
      </c>
      <c r="O13" s="67" t="s">
        <v>5617</v>
      </c>
      <c r="P13" s="67" t="s">
        <v>742</v>
      </c>
      <c r="Q13" s="61">
        <v>85258862602</v>
      </c>
      <c r="R13" s="67"/>
      <c r="S13" s="67"/>
      <c r="T13" s="62">
        <v>15</v>
      </c>
    </row>
    <row r="14" spans="1:20" x14ac:dyDescent="0.2">
      <c r="A14" s="61">
        <v>21</v>
      </c>
      <c r="B14" s="61">
        <v>16</v>
      </c>
      <c r="C14" s="62" t="s">
        <v>148</v>
      </c>
      <c r="D14" s="62" t="str">
        <f t="shared" si="0"/>
        <v>2116013</v>
      </c>
      <c r="E14" s="230" t="s">
        <v>5618</v>
      </c>
      <c r="F14" s="230" t="s">
        <v>5619</v>
      </c>
      <c r="G14" s="67" t="s">
        <v>5521</v>
      </c>
      <c r="H14" s="67" t="s">
        <v>5620</v>
      </c>
      <c r="I14" s="67"/>
      <c r="J14" s="67"/>
      <c r="K14" s="67" t="s">
        <v>5621</v>
      </c>
      <c r="L14" s="67" t="s">
        <v>5622</v>
      </c>
      <c r="M14" s="67"/>
      <c r="N14" s="67"/>
      <c r="O14" s="67" t="s">
        <v>5623</v>
      </c>
      <c r="P14" s="67" t="s">
        <v>5624</v>
      </c>
      <c r="Q14" s="61">
        <v>81339807372</v>
      </c>
      <c r="R14" s="67"/>
      <c r="S14" s="67" t="s">
        <v>5625</v>
      </c>
      <c r="T14" s="62">
        <v>3</v>
      </c>
    </row>
    <row r="15" spans="1:20" x14ac:dyDescent="0.2">
      <c r="A15" s="61">
        <v>22</v>
      </c>
      <c r="B15" s="61">
        <v>16</v>
      </c>
      <c r="C15" s="62" t="s">
        <v>156</v>
      </c>
      <c r="D15" s="62" t="str">
        <f t="shared" si="0"/>
        <v>2216014</v>
      </c>
      <c r="E15" s="230" t="s">
        <v>5626</v>
      </c>
      <c r="F15" s="230" t="s">
        <v>5627</v>
      </c>
      <c r="G15" s="67" t="s">
        <v>5521</v>
      </c>
      <c r="H15" s="54" t="s">
        <v>5628</v>
      </c>
      <c r="I15" s="67"/>
      <c r="J15" s="67" t="s">
        <v>5629</v>
      </c>
      <c r="K15" s="67" t="s">
        <v>5629</v>
      </c>
      <c r="L15" s="67" t="s">
        <v>5630</v>
      </c>
      <c r="M15" s="67"/>
      <c r="N15" s="67" t="s">
        <v>5629</v>
      </c>
      <c r="O15" s="54" t="s">
        <v>5631</v>
      </c>
      <c r="P15" s="67" t="s">
        <v>2982</v>
      </c>
      <c r="Q15" s="93" t="s">
        <v>5632</v>
      </c>
      <c r="R15" s="67"/>
      <c r="S15" s="67"/>
      <c r="T15" s="62">
        <v>14</v>
      </c>
    </row>
    <row r="16" spans="1:20" x14ac:dyDescent="0.2">
      <c r="A16" s="61">
        <v>22</v>
      </c>
      <c r="B16" s="61">
        <v>16</v>
      </c>
      <c r="C16" s="62" t="s">
        <v>164</v>
      </c>
      <c r="D16" s="62" t="str">
        <f t="shared" si="0"/>
        <v>2216015</v>
      </c>
      <c r="E16" s="230" t="s">
        <v>5633</v>
      </c>
      <c r="F16" s="230" t="s">
        <v>5634</v>
      </c>
      <c r="G16" s="67" t="s">
        <v>5521</v>
      </c>
      <c r="H16" s="67" t="s">
        <v>5635</v>
      </c>
      <c r="I16" s="67"/>
      <c r="J16" s="67" t="s">
        <v>5636</v>
      </c>
      <c r="K16" s="67" t="s">
        <v>5637</v>
      </c>
      <c r="L16" s="67" t="s">
        <v>5638</v>
      </c>
      <c r="M16" s="67"/>
      <c r="N16" s="67" t="s">
        <v>5639</v>
      </c>
      <c r="O16" s="54" t="s">
        <v>5640</v>
      </c>
      <c r="P16" s="67" t="s">
        <v>785</v>
      </c>
      <c r="Q16" s="93" t="s">
        <v>5641</v>
      </c>
      <c r="R16" s="67"/>
      <c r="S16" s="67" t="s">
        <v>5642</v>
      </c>
      <c r="T16" s="62">
        <v>5</v>
      </c>
    </row>
    <row r="17" spans="1:27" x14ac:dyDescent="0.2">
      <c r="A17" s="96">
        <v>22</v>
      </c>
      <c r="B17" s="61">
        <v>16</v>
      </c>
      <c r="C17" s="62" t="s">
        <v>173</v>
      </c>
      <c r="D17" s="232" t="str">
        <f t="shared" si="0"/>
        <v>2216016</v>
      </c>
      <c r="E17" s="54" t="s">
        <v>5643</v>
      </c>
      <c r="F17" s="54" t="s">
        <v>5644</v>
      </c>
      <c r="G17" s="54" t="s">
        <v>5521</v>
      </c>
      <c r="H17" s="54" t="s">
        <v>5645</v>
      </c>
      <c r="I17" s="54" t="s">
        <v>5646</v>
      </c>
      <c r="J17" s="54"/>
      <c r="K17" s="155"/>
      <c r="L17" s="54"/>
      <c r="M17" s="54"/>
      <c r="N17" s="54"/>
      <c r="O17" s="155"/>
      <c r="P17" s="54"/>
      <c r="Q17" s="93" t="s">
        <v>5647</v>
      </c>
      <c r="R17" s="54"/>
      <c r="S17" s="54"/>
      <c r="T17" s="96">
        <v>3</v>
      </c>
      <c r="U17" s="43"/>
      <c r="V17" s="43"/>
      <c r="W17" s="43"/>
      <c r="X17" s="43"/>
      <c r="Y17" s="43"/>
      <c r="Z17" s="43"/>
      <c r="AA17" s="43"/>
    </row>
    <row r="18" spans="1:27" x14ac:dyDescent="0.2">
      <c r="A18" s="96">
        <v>23</v>
      </c>
      <c r="B18" s="61">
        <v>16</v>
      </c>
      <c r="C18" s="62" t="s">
        <v>180</v>
      </c>
      <c r="D18" s="232" t="str">
        <f t="shared" si="0"/>
        <v>2316017</v>
      </c>
      <c r="E18" s="54" t="s">
        <v>4902</v>
      </c>
      <c r="F18" s="54" t="s">
        <v>5648</v>
      </c>
      <c r="G18" s="54" t="s">
        <v>5521</v>
      </c>
      <c r="H18" s="54" t="s">
        <v>5649</v>
      </c>
      <c r="I18" s="54" t="s">
        <v>5650</v>
      </c>
      <c r="J18" s="54"/>
      <c r="K18" s="155"/>
      <c r="L18" s="54"/>
      <c r="M18" s="54"/>
      <c r="N18" s="54"/>
      <c r="O18" s="155"/>
      <c r="P18" s="54"/>
      <c r="Q18" s="93" t="s">
        <v>5651</v>
      </c>
      <c r="R18" s="54"/>
      <c r="S18" s="54"/>
      <c r="T18" s="96">
        <v>2</v>
      </c>
      <c r="U18" s="43"/>
      <c r="V18" s="43"/>
      <c r="W18" s="43"/>
      <c r="X18" s="43"/>
      <c r="Y18" s="43"/>
      <c r="Z18" s="43"/>
      <c r="AA18" s="43"/>
    </row>
    <row r="19" spans="1:27" x14ac:dyDescent="0.2">
      <c r="A19" s="96">
        <v>23</v>
      </c>
      <c r="B19" s="61">
        <v>16</v>
      </c>
      <c r="C19" s="62" t="s">
        <v>188</v>
      </c>
      <c r="D19" s="232" t="str">
        <f t="shared" si="0"/>
        <v>2316018</v>
      </c>
      <c r="E19" s="54" t="s">
        <v>964</v>
      </c>
      <c r="F19" s="54" t="s">
        <v>5652</v>
      </c>
      <c r="G19" s="54" t="s">
        <v>5521</v>
      </c>
      <c r="H19" s="54" t="s">
        <v>5653</v>
      </c>
      <c r="I19" s="54" t="s">
        <v>5654</v>
      </c>
      <c r="J19" s="54"/>
      <c r="K19" s="155"/>
      <c r="L19" s="54"/>
      <c r="M19" s="54"/>
      <c r="N19" s="155"/>
      <c r="O19" s="155"/>
      <c r="P19" s="54"/>
      <c r="Q19" s="96">
        <v>85171051935</v>
      </c>
      <c r="R19" s="54"/>
      <c r="S19" s="54" t="s">
        <v>5655</v>
      </c>
      <c r="T19" s="96">
        <v>5</v>
      </c>
      <c r="U19" s="43"/>
      <c r="V19" s="43"/>
      <c r="W19" s="43"/>
      <c r="X19" s="43"/>
      <c r="Y19" s="43"/>
      <c r="Z19" s="43"/>
      <c r="AA19" s="43"/>
    </row>
    <row r="20" spans="1:27" x14ac:dyDescent="0.2">
      <c r="A20" s="233">
        <v>25</v>
      </c>
      <c r="B20" s="61">
        <v>16</v>
      </c>
      <c r="C20" s="62" t="s">
        <v>196</v>
      </c>
      <c r="D20" s="232" t="str">
        <f t="shared" si="0"/>
        <v>2516019</v>
      </c>
      <c r="E20" s="54" t="s">
        <v>5656</v>
      </c>
      <c r="F20" s="54" t="s">
        <v>5657</v>
      </c>
      <c r="G20" s="54" t="s">
        <v>5521</v>
      </c>
      <c r="H20" s="54" t="s">
        <v>5658</v>
      </c>
      <c r="I20" s="54" t="s">
        <v>5659</v>
      </c>
      <c r="J20" s="54"/>
      <c r="K20" s="54"/>
      <c r="L20" s="54"/>
      <c r="M20" s="234"/>
      <c r="N20" s="54"/>
      <c r="O20" s="54"/>
      <c r="P20" s="54"/>
      <c r="Q20" s="93" t="s">
        <v>5660</v>
      </c>
      <c r="R20" s="54"/>
      <c r="S20" s="54" t="s">
        <v>5661</v>
      </c>
      <c r="T20" s="96">
        <v>4</v>
      </c>
    </row>
    <row r="21" spans="1:27" x14ac:dyDescent="0.2">
      <c r="A21" s="233">
        <v>25</v>
      </c>
      <c r="B21" s="61">
        <v>16</v>
      </c>
      <c r="C21" s="62" t="s">
        <v>204</v>
      </c>
      <c r="D21" s="232" t="str">
        <f t="shared" si="0"/>
        <v>2516020</v>
      </c>
      <c r="E21" s="54" t="s">
        <v>5662</v>
      </c>
      <c r="F21" s="54" t="s">
        <v>5663</v>
      </c>
      <c r="G21" s="54" t="s">
        <v>5521</v>
      </c>
      <c r="H21" s="54" t="s">
        <v>5664</v>
      </c>
      <c r="I21" s="54" t="s">
        <v>5662</v>
      </c>
      <c r="J21" s="54"/>
      <c r="K21" s="54"/>
      <c r="L21" s="54"/>
      <c r="M21" s="54"/>
      <c r="N21" s="54"/>
      <c r="O21" s="54"/>
      <c r="P21" s="54"/>
      <c r="Q21" s="93" t="s">
        <v>5665</v>
      </c>
      <c r="R21" s="54"/>
      <c r="S21" s="155"/>
      <c r="T21" s="96">
        <v>2</v>
      </c>
      <c r="U21" s="43"/>
    </row>
    <row r="22" spans="1:27" x14ac:dyDescent="0.2">
      <c r="A22" s="233">
        <v>25</v>
      </c>
      <c r="B22" s="61">
        <v>16</v>
      </c>
      <c r="C22" s="62" t="s">
        <v>212</v>
      </c>
      <c r="D22" s="232" t="str">
        <f t="shared" si="0"/>
        <v>2516021</v>
      </c>
      <c r="E22" s="43" t="s">
        <v>5666</v>
      </c>
      <c r="F22" s="43" t="s">
        <v>5667</v>
      </c>
      <c r="G22" s="43" t="s">
        <v>5521</v>
      </c>
      <c r="H22" s="43" t="s">
        <v>5668</v>
      </c>
      <c r="I22" s="43" t="s">
        <v>5669</v>
      </c>
      <c r="J22" s="43" t="s">
        <v>5670</v>
      </c>
      <c r="K22" s="43" t="s">
        <v>5671</v>
      </c>
      <c r="L22" s="43"/>
      <c r="M22" s="43"/>
      <c r="N22" s="43" t="s">
        <v>5672</v>
      </c>
      <c r="O22" s="43" t="s">
        <v>5673</v>
      </c>
      <c r="P22" s="44">
        <v>10</v>
      </c>
      <c r="Q22" s="43" t="s">
        <v>5674</v>
      </c>
      <c r="R22" s="43" t="s">
        <v>5675</v>
      </c>
      <c r="S22" s="43" t="s">
        <v>5676</v>
      </c>
      <c r="T22" s="44">
        <v>0</v>
      </c>
      <c r="U22" s="43" t="s">
        <v>5673</v>
      </c>
      <c r="V22" s="43"/>
      <c r="W22" s="43"/>
      <c r="X22" s="43"/>
      <c r="Y22" s="43"/>
      <c r="Z22" s="43"/>
      <c r="AA22" s="43"/>
    </row>
    <row r="23" spans="1:27" x14ac:dyDescent="0.2">
      <c r="A23" s="233">
        <v>25</v>
      </c>
      <c r="B23" s="61">
        <v>16</v>
      </c>
      <c r="C23" s="62" t="s">
        <v>219</v>
      </c>
      <c r="D23" s="232" t="str">
        <f t="shared" si="0"/>
        <v>2516022</v>
      </c>
      <c r="E23" s="43" t="s">
        <v>5677</v>
      </c>
      <c r="F23" s="43" t="s">
        <v>5678</v>
      </c>
      <c r="G23" s="43" t="s">
        <v>5521</v>
      </c>
      <c r="H23" s="43" t="s">
        <v>5679</v>
      </c>
      <c r="I23" s="43" t="s">
        <v>5680</v>
      </c>
      <c r="J23" s="43" t="s">
        <v>5681</v>
      </c>
      <c r="K23" s="43" t="s">
        <v>5682</v>
      </c>
      <c r="L23" s="43"/>
      <c r="M23" s="43"/>
      <c r="N23" s="43" t="s">
        <v>5683</v>
      </c>
      <c r="O23" s="43"/>
      <c r="P23" s="44">
        <v>5</v>
      </c>
      <c r="Q23" s="43" t="s">
        <v>5684</v>
      </c>
      <c r="R23" s="43" t="s">
        <v>2150</v>
      </c>
      <c r="S23" s="55" t="s">
        <v>5685</v>
      </c>
      <c r="T23" s="44">
        <v>0</v>
      </c>
      <c r="U23" s="43" t="s">
        <v>5642</v>
      </c>
      <c r="V23" s="43"/>
      <c r="W23" s="43"/>
      <c r="X23" s="43"/>
      <c r="Y23" s="43"/>
      <c r="Z23" s="43"/>
      <c r="AA23" s="43"/>
    </row>
    <row r="24" spans="1:27" x14ac:dyDescent="0.2">
      <c r="A24" s="233">
        <v>25</v>
      </c>
      <c r="B24" s="61">
        <v>16</v>
      </c>
      <c r="C24" s="62" t="s">
        <v>226</v>
      </c>
      <c r="D24" s="232" t="str">
        <f t="shared" si="0"/>
        <v>2516023</v>
      </c>
      <c r="E24" s="43" t="s">
        <v>5686</v>
      </c>
      <c r="F24" s="43" t="s">
        <v>5687</v>
      </c>
      <c r="G24" s="43" t="s">
        <v>5521</v>
      </c>
      <c r="H24" s="43" t="s">
        <v>5688</v>
      </c>
      <c r="I24" s="43" t="s">
        <v>5689</v>
      </c>
      <c r="J24" s="43" t="s">
        <v>5686</v>
      </c>
      <c r="K24" s="43" t="s">
        <v>5690</v>
      </c>
      <c r="L24" s="43"/>
      <c r="M24" s="43"/>
      <c r="N24" s="43" t="s">
        <v>5691</v>
      </c>
      <c r="O24" s="43"/>
      <c r="P24" s="43" t="s">
        <v>4600</v>
      </c>
      <c r="Q24" s="43" t="s">
        <v>5692</v>
      </c>
      <c r="R24" s="43" t="s">
        <v>742</v>
      </c>
      <c r="S24" s="55" t="s">
        <v>5693</v>
      </c>
      <c r="T24" s="44">
        <v>0</v>
      </c>
      <c r="U24" s="43" t="s">
        <v>5694</v>
      </c>
      <c r="V24" s="43"/>
      <c r="W24" s="43"/>
      <c r="X24" s="43"/>
      <c r="Y24" s="43"/>
      <c r="Z24" s="43"/>
      <c r="AA24" s="43"/>
    </row>
    <row r="25" spans="1:27" x14ac:dyDescent="0.2">
      <c r="A25" s="235"/>
      <c r="B25" s="235"/>
      <c r="Q25" s="79"/>
    </row>
    <row r="26" spans="1:27" x14ac:dyDescent="0.2">
      <c r="A26" s="235"/>
      <c r="B26" s="235"/>
      <c r="Q26" s="79"/>
    </row>
    <row r="27" spans="1:27" x14ac:dyDescent="0.2">
      <c r="A27" s="235"/>
      <c r="B27" s="235"/>
      <c r="Q27" s="79"/>
    </row>
    <row r="28" spans="1:27" x14ac:dyDescent="0.2">
      <c r="A28" s="235"/>
      <c r="B28" s="235"/>
      <c r="Q28" s="79"/>
    </row>
    <row r="29" spans="1:27" x14ac:dyDescent="0.2">
      <c r="A29" s="235"/>
      <c r="B29" s="235"/>
      <c r="Q29" s="79"/>
    </row>
    <row r="30" spans="1:27" x14ac:dyDescent="0.2">
      <c r="A30" s="235"/>
      <c r="B30" s="235"/>
      <c r="Q30" s="79"/>
    </row>
    <row r="31" spans="1:27" x14ac:dyDescent="0.2">
      <c r="A31" s="235"/>
      <c r="B31" s="235"/>
      <c r="Q31" s="79"/>
    </row>
    <row r="32" spans="1:27" x14ac:dyDescent="0.2">
      <c r="A32" s="235"/>
      <c r="B32" s="235"/>
      <c r="Q32" s="79"/>
    </row>
    <row r="33" spans="1:17" x14ac:dyDescent="0.2">
      <c r="A33" s="235"/>
      <c r="B33" s="235"/>
      <c r="Q33" s="79"/>
    </row>
    <row r="34" spans="1:17" x14ac:dyDescent="0.2">
      <c r="A34" s="235"/>
      <c r="B34" s="235"/>
      <c r="Q34" s="79"/>
    </row>
    <row r="35" spans="1:17" x14ac:dyDescent="0.2">
      <c r="A35" s="235"/>
      <c r="B35" s="235"/>
      <c r="Q35" s="79"/>
    </row>
    <row r="36" spans="1:17" x14ac:dyDescent="0.2">
      <c r="A36" s="235"/>
      <c r="B36" s="235"/>
      <c r="Q36" s="79"/>
    </row>
    <row r="37" spans="1:17" x14ac:dyDescent="0.2">
      <c r="A37" s="235"/>
      <c r="B37" s="235"/>
      <c r="Q37" s="79"/>
    </row>
    <row r="38" spans="1:17" x14ac:dyDescent="0.2">
      <c r="A38" s="235"/>
      <c r="B38" s="235"/>
      <c r="Q38" s="79"/>
    </row>
    <row r="39" spans="1:17" x14ac:dyDescent="0.2">
      <c r="A39" s="235"/>
      <c r="B39" s="235"/>
      <c r="Q39" s="79"/>
    </row>
    <row r="40" spans="1:17" x14ac:dyDescent="0.2">
      <c r="A40" s="235"/>
      <c r="B40" s="235"/>
      <c r="Q40" s="79"/>
    </row>
    <row r="41" spans="1:17" x14ac:dyDescent="0.2">
      <c r="A41" s="235"/>
      <c r="B41" s="235"/>
      <c r="Q41" s="79"/>
    </row>
    <row r="42" spans="1:17" x14ac:dyDescent="0.2">
      <c r="A42" s="235"/>
      <c r="B42" s="235"/>
      <c r="Q42" s="79"/>
    </row>
    <row r="43" spans="1:17" x14ac:dyDescent="0.2">
      <c r="A43" s="235"/>
      <c r="B43" s="235"/>
      <c r="Q43" s="79"/>
    </row>
    <row r="44" spans="1:17" x14ac:dyDescent="0.2">
      <c r="A44" s="235"/>
      <c r="B44" s="235"/>
      <c r="Q44" s="79"/>
    </row>
    <row r="45" spans="1:17" x14ac:dyDescent="0.2">
      <c r="A45" s="235"/>
      <c r="B45" s="235"/>
      <c r="Q45" s="79"/>
    </row>
    <row r="46" spans="1:17" x14ac:dyDescent="0.2">
      <c r="A46" s="235"/>
      <c r="B46" s="235"/>
      <c r="Q46" s="79"/>
    </row>
    <row r="47" spans="1:17" x14ac:dyDescent="0.2">
      <c r="A47" s="235"/>
      <c r="B47" s="235"/>
      <c r="Q47" s="79"/>
    </row>
    <row r="48" spans="1:17" x14ac:dyDescent="0.2">
      <c r="A48" s="235"/>
      <c r="B48" s="235"/>
      <c r="Q48" s="79"/>
    </row>
    <row r="49" spans="1:17" x14ac:dyDescent="0.2">
      <c r="A49" s="235"/>
      <c r="B49" s="235"/>
      <c r="Q49" s="79"/>
    </row>
    <row r="50" spans="1:17" x14ac:dyDescent="0.2">
      <c r="A50" s="235"/>
      <c r="B50" s="235"/>
      <c r="Q50" s="79"/>
    </row>
    <row r="51" spans="1:17" x14ac:dyDescent="0.2">
      <c r="A51" s="235"/>
      <c r="B51" s="235"/>
      <c r="Q51" s="79"/>
    </row>
    <row r="52" spans="1:17" x14ac:dyDescent="0.2">
      <c r="A52" s="235"/>
      <c r="B52" s="235"/>
      <c r="Q52" s="79"/>
    </row>
    <row r="53" spans="1:17" x14ac:dyDescent="0.2">
      <c r="A53" s="235"/>
      <c r="B53" s="235"/>
      <c r="Q53" s="79"/>
    </row>
    <row r="54" spans="1:17" x14ac:dyDescent="0.2">
      <c r="A54" s="235"/>
      <c r="B54" s="235"/>
      <c r="Q54" s="79"/>
    </row>
    <row r="55" spans="1:17" x14ac:dyDescent="0.2">
      <c r="A55" s="235"/>
      <c r="B55" s="235"/>
      <c r="Q55" s="79"/>
    </row>
    <row r="56" spans="1:17" x14ac:dyDescent="0.2">
      <c r="A56" s="235"/>
      <c r="B56" s="235"/>
      <c r="Q56" s="79"/>
    </row>
    <row r="57" spans="1:17" x14ac:dyDescent="0.2">
      <c r="A57" s="235"/>
      <c r="B57" s="235"/>
      <c r="Q57" s="79"/>
    </row>
    <row r="58" spans="1:17" x14ac:dyDescent="0.2">
      <c r="A58" s="235"/>
      <c r="B58" s="235"/>
      <c r="Q58" s="79"/>
    </row>
    <row r="59" spans="1:17" x14ac:dyDescent="0.2">
      <c r="A59" s="235"/>
      <c r="B59" s="235"/>
      <c r="Q59" s="79"/>
    </row>
    <row r="60" spans="1:17" x14ac:dyDescent="0.2">
      <c r="A60" s="235"/>
      <c r="B60" s="235"/>
      <c r="Q60" s="79"/>
    </row>
    <row r="61" spans="1:17" x14ac:dyDescent="0.2">
      <c r="A61" s="235"/>
      <c r="B61" s="235"/>
      <c r="Q61" s="79"/>
    </row>
    <row r="62" spans="1:17" x14ac:dyDescent="0.2">
      <c r="A62" s="235"/>
      <c r="B62" s="235"/>
      <c r="Q62" s="79"/>
    </row>
    <row r="63" spans="1:17" x14ac:dyDescent="0.2">
      <c r="A63" s="235"/>
      <c r="B63" s="235"/>
      <c r="Q63" s="79"/>
    </row>
    <row r="64" spans="1:17" x14ac:dyDescent="0.2">
      <c r="A64" s="235"/>
      <c r="B64" s="235"/>
      <c r="Q64" s="79"/>
    </row>
    <row r="65" spans="1:17" x14ac:dyDescent="0.2">
      <c r="A65" s="235"/>
      <c r="B65" s="235"/>
      <c r="Q65" s="79"/>
    </row>
    <row r="66" spans="1:17" x14ac:dyDescent="0.2">
      <c r="A66" s="235"/>
      <c r="B66" s="235"/>
      <c r="Q66" s="79"/>
    </row>
    <row r="67" spans="1:17" x14ac:dyDescent="0.2">
      <c r="A67" s="235"/>
      <c r="B67" s="235"/>
      <c r="Q67" s="79"/>
    </row>
    <row r="68" spans="1:17" x14ac:dyDescent="0.2">
      <c r="A68" s="235"/>
      <c r="B68" s="235"/>
      <c r="Q68" s="79"/>
    </row>
    <row r="69" spans="1:17" x14ac:dyDescent="0.2">
      <c r="A69" s="235"/>
      <c r="B69" s="235"/>
      <c r="Q69" s="79"/>
    </row>
    <row r="70" spans="1:17" x14ac:dyDescent="0.2">
      <c r="A70" s="235"/>
      <c r="B70" s="235"/>
      <c r="Q70" s="79"/>
    </row>
    <row r="71" spans="1:17" x14ac:dyDescent="0.2">
      <c r="A71" s="235"/>
      <c r="B71" s="235"/>
      <c r="Q71" s="79"/>
    </row>
    <row r="72" spans="1:17" x14ac:dyDescent="0.2">
      <c r="A72" s="235"/>
      <c r="B72" s="235"/>
      <c r="Q72" s="79"/>
    </row>
    <row r="73" spans="1:17" x14ac:dyDescent="0.2">
      <c r="A73" s="235"/>
      <c r="B73" s="235"/>
      <c r="Q73" s="79"/>
    </row>
    <row r="74" spans="1:17" x14ac:dyDescent="0.2">
      <c r="A74" s="235"/>
      <c r="B74" s="235"/>
      <c r="Q74" s="79"/>
    </row>
    <row r="75" spans="1:17" x14ac:dyDescent="0.2">
      <c r="A75" s="235"/>
      <c r="B75" s="235"/>
      <c r="Q75" s="79"/>
    </row>
    <row r="76" spans="1:17" x14ac:dyDescent="0.2">
      <c r="A76" s="235"/>
      <c r="B76" s="235"/>
      <c r="Q76" s="79"/>
    </row>
    <row r="77" spans="1:17" x14ac:dyDescent="0.2">
      <c r="A77" s="235"/>
      <c r="B77" s="235"/>
      <c r="Q77" s="79"/>
    </row>
    <row r="78" spans="1:17" x14ac:dyDescent="0.2">
      <c r="A78" s="235"/>
      <c r="B78" s="235"/>
      <c r="Q78" s="79"/>
    </row>
    <row r="79" spans="1:17" x14ac:dyDescent="0.2">
      <c r="A79" s="235"/>
      <c r="B79" s="235"/>
      <c r="Q79" s="79"/>
    </row>
    <row r="80" spans="1:17" x14ac:dyDescent="0.2">
      <c r="A80" s="235"/>
      <c r="B80" s="235"/>
      <c r="Q80" s="79"/>
    </row>
    <row r="81" spans="1:17" x14ac:dyDescent="0.2">
      <c r="A81" s="235"/>
      <c r="B81" s="235"/>
      <c r="Q81" s="79"/>
    </row>
    <row r="82" spans="1:17" x14ac:dyDescent="0.2">
      <c r="A82" s="235"/>
      <c r="B82" s="235"/>
      <c r="Q82" s="79"/>
    </row>
    <row r="83" spans="1:17" x14ac:dyDescent="0.2">
      <c r="A83" s="235"/>
      <c r="B83" s="235"/>
      <c r="Q83" s="79"/>
    </row>
    <row r="84" spans="1:17" x14ac:dyDescent="0.2">
      <c r="A84" s="235"/>
      <c r="B84" s="235"/>
      <c r="Q84" s="79"/>
    </row>
    <row r="85" spans="1:17" x14ac:dyDescent="0.2">
      <c r="A85" s="235"/>
      <c r="B85" s="235"/>
      <c r="Q85" s="79"/>
    </row>
    <row r="86" spans="1:17" x14ac:dyDescent="0.2">
      <c r="A86" s="235"/>
      <c r="B86" s="235"/>
      <c r="Q86" s="79"/>
    </row>
    <row r="87" spans="1:17" x14ac:dyDescent="0.2">
      <c r="A87" s="235"/>
      <c r="B87" s="235"/>
      <c r="Q87" s="79"/>
    </row>
    <row r="88" spans="1:17" x14ac:dyDescent="0.2">
      <c r="A88" s="235"/>
      <c r="B88" s="235"/>
      <c r="Q88" s="79"/>
    </row>
    <row r="89" spans="1:17" x14ac:dyDescent="0.2">
      <c r="A89" s="235"/>
      <c r="B89" s="235"/>
      <c r="Q89" s="79"/>
    </row>
    <row r="90" spans="1:17" x14ac:dyDescent="0.2">
      <c r="A90" s="235"/>
      <c r="B90" s="235"/>
      <c r="Q90" s="79"/>
    </row>
    <row r="91" spans="1:17" x14ac:dyDescent="0.2">
      <c r="A91" s="235"/>
      <c r="B91" s="235"/>
      <c r="Q91" s="79"/>
    </row>
    <row r="92" spans="1:17" x14ac:dyDescent="0.2">
      <c r="A92" s="235"/>
      <c r="B92" s="235"/>
      <c r="Q92" s="79"/>
    </row>
    <row r="93" spans="1:17" x14ac:dyDescent="0.2">
      <c r="A93" s="235"/>
      <c r="B93" s="235"/>
      <c r="Q93" s="79"/>
    </row>
    <row r="94" spans="1:17" x14ac:dyDescent="0.2">
      <c r="A94" s="235"/>
      <c r="B94" s="235"/>
      <c r="Q94" s="79"/>
    </row>
    <row r="95" spans="1:17" x14ac:dyDescent="0.2">
      <c r="A95" s="235"/>
      <c r="B95" s="235"/>
      <c r="Q95" s="79"/>
    </row>
    <row r="96" spans="1:17" x14ac:dyDescent="0.2">
      <c r="A96" s="235"/>
      <c r="B96" s="235"/>
      <c r="Q96" s="79"/>
    </row>
    <row r="97" spans="1:17" x14ac:dyDescent="0.2">
      <c r="A97" s="235"/>
      <c r="B97" s="235"/>
      <c r="Q97" s="79"/>
    </row>
    <row r="98" spans="1:17" x14ac:dyDescent="0.2">
      <c r="A98" s="235"/>
      <c r="B98" s="235"/>
      <c r="Q98" s="79"/>
    </row>
    <row r="99" spans="1:17" x14ac:dyDescent="0.2">
      <c r="A99" s="235"/>
      <c r="B99" s="235"/>
      <c r="Q99" s="79"/>
    </row>
    <row r="100" spans="1:17" x14ac:dyDescent="0.2">
      <c r="A100" s="235"/>
      <c r="B100" s="235"/>
      <c r="Q100" s="79"/>
    </row>
    <row r="101" spans="1:17" x14ac:dyDescent="0.2">
      <c r="A101" s="235"/>
      <c r="B101" s="235"/>
      <c r="Q101" s="79"/>
    </row>
    <row r="102" spans="1:17" x14ac:dyDescent="0.2">
      <c r="A102" s="235"/>
      <c r="B102" s="235"/>
      <c r="Q102" s="79"/>
    </row>
    <row r="103" spans="1:17" x14ac:dyDescent="0.2">
      <c r="A103" s="235"/>
      <c r="B103" s="235"/>
      <c r="Q103" s="79"/>
    </row>
    <row r="104" spans="1:17" x14ac:dyDescent="0.2">
      <c r="A104" s="235"/>
      <c r="B104" s="235"/>
      <c r="Q104" s="79"/>
    </row>
    <row r="105" spans="1:17" x14ac:dyDescent="0.2">
      <c r="A105" s="235"/>
      <c r="B105" s="235"/>
      <c r="Q105" s="79"/>
    </row>
    <row r="106" spans="1:17" x14ac:dyDescent="0.2">
      <c r="A106" s="235"/>
      <c r="B106" s="235"/>
      <c r="Q106" s="79"/>
    </row>
    <row r="107" spans="1:17" x14ac:dyDescent="0.2">
      <c r="A107" s="235"/>
      <c r="B107" s="235"/>
      <c r="Q107" s="79"/>
    </row>
    <row r="108" spans="1:17" x14ac:dyDescent="0.2">
      <c r="A108" s="235"/>
      <c r="B108" s="235"/>
      <c r="Q108" s="79"/>
    </row>
    <row r="109" spans="1:17" x14ac:dyDescent="0.2">
      <c r="A109" s="235"/>
      <c r="B109" s="235"/>
      <c r="Q109" s="79"/>
    </row>
    <row r="110" spans="1:17" x14ac:dyDescent="0.2">
      <c r="A110" s="235"/>
      <c r="B110" s="235"/>
      <c r="Q110" s="79"/>
    </row>
    <row r="111" spans="1:17" x14ac:dyDescent="0.2">
      <c r="A111" s="235"/>
      <c r="B111" s="235"/>
      <c r="Q111" s="79"/>
    </row>
    <row r="112" spans="1:17" x14ac:dyDescent="0.2">
      <c r="A112" s="235"/>
      <c r="B112" s="235"/>
      <c r="Q112" s="79"/>
    </row>
    <row r="113" spans="1:17" x14ac:dyDescent="0.2">
      <c r="A113" s="235"/>
      <c r="B113" s="235"/>
      <c r="Q113" s="79"/>
    </row>
    <row r="114" spans="1:17" x14ac:dyDescent="0.2">
      <c r="A114" s="235"/>
      <c r="B114" s="235"/>
      <c r="Q114" s="79"/>
    </row>
    <row r="115" spans="1:17" x14ac:dyDescent="0.2">
      <c r="A115" s="235"/>
      <c r="B115" s="235"/>
      <c r="Q115" s="79"/>
    </row>
    <row r="116" spans="1:17" x14ac:dyDescent="0.2">
      <c r="A116" s="235"/>
      <c r="B116" s="235"/>
      <c r="Q116" s="79"/>
    </row>
    <row r="117" spans="1:17" x14ac:dyDescent="0.2">
      <c r="A117" s="235"/>
      <c r="B117" s="235"/>
      <c r="Q117" s="79"/>
    </row>
    <row r="118" spans="1:17" x14ac:dyDescent="0.2">
      <c r="A118" s="235"/>
      <c r="B118" s="235"/>
      <c r="Q118" s="79"/>
    </row>
    <row r="119" spans="1:17" x14ac:dyDescent="0.2">
      <c r="A119" s="235"/>
      <c r="B119" s="235"/>
      <c r="Q119" s="79"/>
    </row>
    <row r="120" spans="1:17" x14ac:dyDescent="0.2">
      <c r="A120" s="235"/>
      <c r="B120" s="235"/>
      <c r="Q120" s="79"/>
    </row>
    <row r="121" spans="1:17" x14ac:dyDescent="0.2">
      <c r="A121" s="235"/>
      <c r="B121" s="235"/>
      <c r="Q121" s="79"/>
    </row>
    <row r="122" spans="1:17" x14ac:dyDescent="0.2">
      <c r="A122" s="235"/>
      <c r="B122" s="235"/>
      <c r="Q122" s="79"/>
    </row>
    <row r="123" spans="1:17" x14ac:dyDescent="0.2">
      <c r="A123" s="235"/>
      <c r="B123" s="235"/>
      <c r="Q123" s="79"/>
    </row>
    <row r="124" spans="1:17" x14ac:dyDescent="0.2">
      <c r="A124" s="235"/>
      <c r="B124" s="235"/>
      <c r="Q124" s="79"/>
    </row>
    <row r="125" spans="1:17" x14ac:dyDescent="0.2">
      <c r="A125" s="235"/>
      <c r="B125" s="235"/>
      <c r="Q125" s="79"/>
    </row>
    <row r="126" spans="1:17" x14ac:dyDescent="0.2">
      <c r="A126" s="235"/>
      <c r="B126" s="235"/>
      <c r="Q126" s="79"/>
    </row>
    <row r="127" spans="1:17" x14ac:dyDescent="0.2">
      <c r="A127" s="235"/>
      <c r="B127" s="235"/>
      <c r="Q127" s="79"/>
    </row>
    <row r="128" spans="1:17" x14ac:dyDescent="0.2">
      <c r="A128" s="235"/>
      <c r="B128" s="235"/>
      <c r="Q128" s="79"/>
    </row>
    <row r="129" spans="1:17" x14ac:dyDescent="0.2">
      <c r="A129" s="235"/>
      <c r="B129" s="235"/>
      <c r="Q129" s="79"/>
    </row>
    <row r="130" spans="1:17" x14ac:dyDescent="0.2">
      <c r="A130" s="235"/>
      <c r="B130" s="235"/>
      <c r="Q130" s="79"/>
    </row>
    <row r="131" spans="1:17" x14ac:dyDescent="0.2">
      <c r="A131" s="235"/>
      <c r="B131" s="235"/>
      <c r="Q131" s="79"/>
    </row>
    <row r="132" spans="1:17" x14ac:dyDescent="0.2">
      <c r="A132" s="235"/>
      <c r="B132" s="235"/>
      <c r="Q132" s="79"/>
    </row>
    <row r="133" spans="1:17" x14ac:dyDescent="0.2">
      <c r="A133" s="235"/>
      <c r="B133" s="235"/>
      <c r="Q133" s="79"/>
    </row>
    <row r="134" spans="1:17" x14ac:dyDescent="0.2">
      <c r="A134" s="235"/>
      <c r="B134" s="235"/>
      <c r="Q134" s="79"/>
    </row>
    <row r="135" spans="1:17" x14ac:dyDescent="0.2">
      <c r="A135" s="235"/>
      <c r="B135" s="235"/>
      <c r="Q135" s="79"/>
    </row>
    <row r="136" spans="1:17" x14ac:dyDescent="0.2">
      <c r="A136" s="235"/>
      <c r="B136" s="235"/>
      <c r="Q136" s="79"/>
    </row>
    <row r="137" spans="1:17" x14ac:dyDescent="0.2">
      <c r="A137" s="235"/>
      <c r="B137" s="235"/>
      <c r="Q137" s="79"/>
    </row>
    <row r="138" spans="1:17" x14ac:dyDescent="0.2">
      <c r="A138" s="235"/>
      <c r="B138" s="235"/>
      <c r="Q138" s="79"/>
    </row>
    <row r="139" spans="1:17" x14ac:dyDescent="0.2">
      <c r="A139" s="235"/>
      <c r="B139" s="235"/>
      <c r="Q139" s="79"/>
    </row>
    <row r="140" spans="1:17" x14ac:dyDescent="0.2">
      <c r="A140" s="235"/>
      <c r="B140" s="235"/>
      <c r="Q140" s="79"/>
    </row>
    <row r="141" spans="1:17" x14ac:dyDescent="0.2">
      <c r="A141" s="235"/>
      <c r="B141" s="235"/>
      <c r="Q141" s="79"/>
    </row>
    <row r="142" spans="1:17" x14ac:dyDescent="0.2">
      <c r="A142" s="235"/>
      <c r="B142" s="235"/>
      <c r="Q142" s="79"/>
    </row>
    <row r="143" spans="1:17" x14ac:dyDescent="0.2">
      <c r="A143" s="235"/>
      <c r="B143" s="235"/>
      <c r="Q143" s="79"/>
    </row>
    <row r="144" spans="1:17" x14ac:dyDescent="0.2">
      <c r="A144" s="235"/>
      <c r="B144" s="235"/>
      <c r="Q144" s="79"/>
    </row>
    <row r="145" spans="1:17" x14ac:dyDescent="0.2">
      <c r="A145" s="235"/>
      <c r="B145" s="235"/>
      <c r="Q145" s="79"/>
    </row>
    <row r="146" spans="1:17" x14ac:dyDescent="0.2">
      <c r="A146" s="235"/>
      <c r="B146" s="235"/>
      <c r="Q146" s="79"/>
    </row>
    <row r="147" spans="1:17" x14ac:dyDescent="0.2">
      <c r="A147" s="235"/>
      <c r="B147" s="235"/>
      <c r="Q147" s="79"/>
    </row>
    <row r="148" spans="1:17" x14ac:dyDescent="0.2">
      <c r="A148" s="235"/>
      <c r="B148" s="235"/>
      <c r="Q148" s="79"/>
    </row>
    <row r="149" spans="1:17" x14ac:dyDescent="0.2">
      <c r="A149" s="235"/>
      <c r="B149" s="235"/>
      <c r="Q149" s="79"/>
    </row>
    <row r="150" spans="1:17" x14ac:dyDescent="0.2">
      <c r="A150" s="235"/>
      <c r="B150" s="235"/>
      <c r="Q150" s="79"/>
    </row>
    <row r="151" spans="1:17" x14ac:dyDescent="0.2">
      <c r="A151" s="235"/>
      <c r="B151" s="235"/>
      <c r="Q151" s="79"/>
    </row>
    <row r="152" spans="1:17" x14ac:dyDescent="0.2">
      <c r="A152" s="235"/>
      <c r="B152" s="235"/>
      <c r="Q152" s="79"/>
    </row>
    <row r="153" spans="1:17" x14ac:dyDescent="0.2">
      <c r="A153" s="235"/>
      <c r="B153" s="235"/>
      <c r="Q153" s="79"/>
    </row>
    <row r="154" spans="1:17" x14ac:dyDescent="0.2">
      <c r="A154" s="235"/>
      <c r="B154" s="235"/>
      <c r="Q154" s="79"/>
    </row>
    <row r="155" spans="1:17" x14ac:dyDescent="0.2">
      <c r="A155" s="235"/>
      <c r="B155" s="235"/>
      <c r="Q155" s="79"/>
    </row>
    <row r="156" spans="1:17" x14ac:dyDescent="0.2">
      <c r="A156" s="235"/>
      <c r="B156" s="235"/>
      <c r="Q156" s="79"/>
    </row>
    <row r="157" spans="1:17" x14ac:dyDescent="0.2">
      <c r="A157" s="235"/>
      <c r="B157" s="235"/>
      <c r="Q157" s="79"/>
    </row>
    <row r="158" spans="1:17" x14ac:dyDescent="0.2">
      <c r="A158" s="235"/>
      <c r="B158" s="235"/>
      <c r="Q158" s="79"/>
    </row>
    <row r="159" spans="1:17" x14ac:dyDescent="0.2">
      <c r="A159" s="235"/>
      <c r="B159" s="235"/>
      <c r="Q159" s="79"/>
    </row>
    <row r="160" spans="1:17" x14ac:dyDescent="0.2">
      <c r="A160" s="235"/>
      <c r="B160" s="235"/>
      <c r="Q160" s="79"/>
    </row>
    <row r="161" spans="1:17" x14ac:dyDescent="0.2">
      <c r="A161" s="235"/>
      <c r="B161" s="235"/>
      <c r="Q161" s="79"/>
    </row>
    <row r="162" spans="1:17" x14ac:dyDescent="0.2">
      <c r="A162" s="235"/>
      <c r="B162" s="235"/>
      <c r="Q162" s="79"/>
    </row>
    <row r="163" spans="1:17" x14ac:dyDescent="0.2">
      <c r="A163" s="235"/>
      <c r="B163" s="235"/>
      <c r="Q163" s="79"/>
    </row>
    <row r="164" spans="1:17" x14ac:dyDescent="0.2">
      <c r="A164" s="235"/>
      <c r="B164" s="235"/>
      <c r="Q164" s="79"/>
    </row>
    <row r="165" spans="1:17" x14ac:dyDescent="0.2">
      <c r="A165" s="235"/>
      <c r="B165" s="235"/>
      <c r="Q165" s="79"/>
    </row>
    <row r="166" spans="1:17" x14ac:dyDescent="0.2">
      <c r="A166" s="235"/>
      <c r="B166" s="235"/>
      <c r="Q166" s="79"/>
    </row>
    <row r="167" spans="1:17" x14ac:dyDescent="0.2">
      <c r="A167" s="235"/>
      <c r="B167" s="235"/>
      <c r="Q167" s="79"/>
    </row>
    <row r="168" spans="1:17" x14ac:dyDescent="0.2">
      <c r="A168" s="235"/>
      <c r="B168" s="235"/>
      <c r="Q168" s="79"/>
    </row>
    <row r="169" spans="1:17" x14ac:dyDescent="0.2">
      <c r="A169" s="235"/>
      <c r="B169" s="235"/>
      <c r="Q169" s="79"/>
    </row>
    <row r="170" spans="1:17" x14ac:dyDescent="0.2">
      <c r="A170" s="235"/>
      <c r="B170" s="235"/>
      <c r="Q170" s="79"/>
    </row>
    <row r="171" spans="1:17" x14ac:dyDescent="0.2">
      <c r="A171" s="235"/>
      <c r="B171" s="235"/>
      <c r="Q171" s="79"/>
    </row>
    <row r="172" spans="1:17" x14ac:dyDescent="0.2">
      <c r="A172" s="235"/>
      <c r="B172" s="235"/>
      <c r="Q172" s="79"/>
    </row>
    <row r="173" spans="1:17" x14ac:dyDescent="0.2">
      <c r="A173" s="235"/>
      <c r="B173" s="235"/>
      <c r="Q173" s="79"/>
    </row>
    <row r="174" spans="1:17" x14ac:dyDescent="0.2">
      <c r="A174" s="235"/>
      <c r="B174" s="235"/>
      <c r="Q174" s="79"/>
    </row>
    <row r="175" spans="1:17" x14ac:dyDescent="0.2">
      <c r="A175" s="235"/>
      <c r="B175" s="235"/>
      <c r="Q175" s="79"/>
    </row>
    <row r="176" spans="1:17" x14ac:dyDescent="0.2">
      <c r="A176" s="235"/>
      <c r="B176" s="235"/>
      <c r="Q176" s="79"/>
    </row>
    <row r="177" spans="1:17" x14ac:dyDescent="0.2">
      <c r="A177" s="235"/>
      <c r="B177" s="235"/>
      <c r="Q177" s="79"/>
    </row>
    <row r="178" spans="1:17" x14ac:dyDescent="0.2">
      <c r="A178" s="235"/>
      <c r="B178" s="235"/>
      <c r="Q178" s="79"/>
    </row>
    <row r="179" spans="1:17" x14ac:dyDescent="0.2">
      <c r="A179" s="235"/>
      <c r="B179" s="235"/>
      <c r="Q179" s="79"/>
    </row>
    <row r="180" spans="1:17" x14ac:dyDescent="0.2">
      <c r="A180" s="235"/>
      <c r="B180" s="235"/>
      <c r="Q180" s="79"/>
    </row>
    <row r="181" spans="1:17" x14ac:dyDescent="0.2">
      <c r="A181" s="235"/>
      <c r="B181" s="235"/>
      <c r="Q181" s="79"/>
    </row>
    <row r="182" spans="1:17" x14ac:dyDescent="0.2">
      <c r="A182" s="235"/>
      <c r="B182" s="235"/>
      <c r="Q182" s="79"/>
    </row>
    <row r="183" spans="1:17" x14ac:dyDescent="0.2">
      <c r="A183" s="235"/>
      <c r="B183" s="235"/>
      <c r="Q183" s="79"/>
    </row>
    <row r="184" spans="1:17" x14ac:dyDescent="0.2">
      <c r="A184" s="235"/>
      <c r="B184" s="235"/>
      <c r="Q184" s="79"/>
    </row>
    <row r="185" spans="1:17" x14ac:dyDescent="0.2">
      <c r="A185" s="235"/>
      <c r="B185" s="235"/>
      <c r="Q185" s="79"/>
    </row>
    <row r="186" spans="1:17" x14ac:dyDescent="0.2">
      <c r="A186" s="235"/>
      <c r="B186" s="235"/>
      <c r="Q186" s="79"/>
    </row>
    <row r="187" spans="1:17" x14ac:dyDescent="0.2">
      <c r="A187" s="235"/>
      <c r="B187" s="235"/>
      <c r="Q187" s="79"/>
    </row>
    <row r="188" spans="1:17" x14ac:dyDescent="0.2">
      <c r="A188" s="235"/>
      <c r="B188" s="235"/>
      <c r="Q188" s="79"/>
    </row>
    <row r="189" spans="1:17" x14ac:dyDescent="0.2">
      <c r="A189" s="235"/>
      <c r="B189" s="235"/>
      <c r="Q189" s="79"/>
    </row>
    <row r="190" spans="1:17" x14ac:dyDescent="0.2">
      <c r="A190" s="235"/>
      <c r="B190" s="235"/>
      <c r="Q190" s="79"/>
    </row>
    <row r="191" spans="1:17" x14ac:dyDescent="0.2">
      <c r="A191" s="235"/>
      <c r="B191" s="235"/>
      <c r="Q191" s="79"/>
    </row>
    <row r="192" spans="1:17" x14ac:dyDescent="0.2">
      <c r="A192" s="235"/>
      <c r="B192" s="235"/>
      <c r="Q192" s="79"/>
    </row>
    <row r="193" spans="1:17" x14ac:dyDescent="0.2">
      <c r="A193" s="235"/>
      <c r="B193" s="235"/>
      <c r="Q193" s="79"/>
    </row>
    <row r="194" spans="1:17" x14ac:dyDescent="0.2">
      <c r="A194" s="235"/>
      <c r="B194" s="235"/>
      <c r="Q194" s="79"/>
    </row>
    <row r="195" spans="1:17" x14ac:dyDescent="0.2">
      <c r="A195" s="235"/>
      <c r="B195" s="235"/>
      <c r="Q195" s="79"/>
    </row>
    <row r="196" spans="1:17" x14ac:dyDescent="0.2">
      <c r="A196" s="235"/>
      <c r="B196" s="235"/>
      <c r="Q196" s="79"/>
    </row>
    <row r="197" spans="1:17" x14ac:dyDescent="0.2">
      <c r="A197" s="235"/>
      <c r="B197" s="235"/>
      <c r="Q197" s="79"/>
    </row>
    <row r="198" spans="1:17" x14ac:dyDescent="0.2">
      <c r="A198" s="235"/>
      <c r="B198" s="235"/>
      <c r="Q198" s="79"/>
    </row>
    <row r="199" spans="1:17" x14ac:dyDescent="0.2">
      <c r="A199" s="235"/>
      <c r="B199" s="235"/>
      <c r="Q199" s="79"/>
    </row>
    <row r="200" spans="1:17" x14ac:dyDescent="0.2">
      <c r="A200" s="235"/>
      <c r="B200" s="235"/>
      <c r="Q200" s="79"/>
    </row>
    <row r="201" spans="1:17" x14ac:dyDescent="0.2">
      <c r="A201" s="235"/>
      <c r="B201" s="235"/>
      <c r="Q201" s="79"/>
    </row>
    <row r="202" spans="1:17" x14ac:dyDescent="0.2">
      <c r="A202" s="235"/>
      <c r="B202" s="235"/>
      <c r="Q202" s="79"/>
    </row>
    <row r="203" spans="1:17" x14ac:dyDescent="0.2">
      <c r="A203" s="235"/>
      <c r="B203" s="235"/>
      <c r="Q203" s="79"/>
    </row>
    <row r="204" spans="1:17" x14ac:dyDescent="0.2">
      <c r="A204" s="235"/>
      <c r="B204" s="235"/>
      <c r="Q204" s="79"/>
    </row>
    <row r="205" spans="1:17" x14ac:dyDescent="0.2">
      <c r="A205" s="235"/>
      <c r="B205" s="235"/>
      <c r="Q205" s="79"/>
    </row>
    <row r="206" spans="1:17" x14ac:dyDescent="0.2">
      <c r="A206" s="235"/>
      <c r="B206" s="235"/>
      <c r="Q206" s="79"/>
    </row>
    <row r="207" spans="1:17" x14ac:dyDescent="0.2">
      <c r="A207" s="235"/>
      <c r="B207" s="235"/>
      <c r="Q207" s="79"/>
    </row>
    <row r="208" spans="1:17" x14ac:dyDescent="0.2">
      <c r="A208" s="235"/>
      <c r="B208" s="235"/>
      <c r="Q208" s="79"/>
    </row>
    <row r="209" spans="1:17" x14ac:dyDescent="0.2">
      <c r="A209" s="235"/>
      <c r="B209" s="235"/>
      <c r="Q209" s="79"/>
    </row>
    <row r="210" spans="1:17" x14ac:dyDescent="0.2">
      <c r="A210" s="235"/>
      <c r="B210" s="235"/>
      <c r="Q210" s="79"/>
    </row>
    <row r="211" spans="1:17" x14ac:dyDescent="0.2">
      <c r="A211" s="235"/>
      <c r="B211" s="235"/>
      <c r="Q211" s="79"/>
    </row>
    <row r="212" spans="1:17" x14ac:dyDescent="0.2">
      <c r="A212" s="235"/>
      <c r="B212" s="235"/>
      <c r="Q212" s="79"/>
    </row>
    <row r="213" spans="1:17" x14ac:dyDescent="0.2">
      <c r="A213" s="235"/>
      <c r="B213" s="235"/>
      <c r="Q213" s="79"/>
    </row>
    <row r="214" spans="1:17" x14ac:dyDescent="0.2">
      <c r="A214" s="235"/>
      <c r="B214" s="235"/>
      <c r="Q214" s="79"/>
    </row>
    <row r="215" spans="1:17" x14ac:dyDescent="0.2">
      <c r="A215" s="235"/>
      <c r="B215" s="235"/>
      <c r="Q215" s="79"/>
    </row>
    <row r="216" spans="1:17" x14ac:dyDescent="0.2">
      <c r="A216" s="235"/>
      <c r="B216" s="235"/>
      <c r="Q216" s="79"/>
    </row>
    <row r="217" spans="1:17" x14ac:dyDescent="0.2">
      <c r="A217" s="235"/>
      <c r="B217" s="235"/>
      <c r="Q217" s="79"/>
    </row>
    <row r="218" spans="1:17" x14ac:dyDescent="0.2">
      <c r="A218" s="235"/>
      <c r="B218" s="235"/>
      <c r="Q218" s="79"/>
    </row>
    <row r="219" spans="1:17" x14ac:dyDescent="0.2">
      <c r="A219" s="235"/>
      <c r="B219" s="235"/>
      <c r="Q219" s="79"/>
    </row>
    <row r="220" spans="1:17" x14ac:dyDescent="0.2">
      <c r="A220" s="235"/>
      <c r="B220" s="235"/>
      <c r="Q220" s="79"/>
    </row>
    <row r="221" spans="1:17" x14ac:dyDescent="0.2">
      <c r="A221" s="235"/>
      <c r="B221" s="235"/>
      <c r="Q221" s="79"/>
    </row>
    <row r="222" spans="1:17" x14ac:dyDescent="0.2">
      <c r="A222" s="235"/>
      <c r="B222" s="235"/>
      <c r="Q222" s="79"/>
    </row>
    <row r="223" spans="1:17" x14ac:dyDescent="0.2">
      <c r="A223" s="235"/>
      <c r="B223" s="235"/>
      <c r="Q223" s="79"/>
    </row>
    <row r="224" spans="1:17" x14ac:dyDescent="0.2">
      <c r="A224" s="235"/>
      <c r="B224" s="235"/>
      <c r="Q224" s="79"/>
    </row>
    <row r="225" spans="1:17" x14ac:dyDescent="0.2">
      <c r="A225" s="235"/>
      <c r="B225" s="235"/>
      <c r="Q225" s="79"/>
    </row>
    <row r="226" spans="1:17" x14ac:dyDescent="0.2">
      <c r="A226" s="235"/>
      <c r="B226" s="235"/>
      <c r="Q226" s="79"/>
    </row>
    <row r="227" spans="1:17" x14ac:dyDescent="0.2">
      <c r="A227" s="235"/>
      <c r="B227" s="235"/>
      <c r="Q227" s="79"/>
    </row>
    <row r="228" spans="1:17" x14ac:dyDescent="0.2">
      <c r="A228" s="235"/>
      <c r="B228" s="235"/>
      <c r="Q228" s="79"/>
    </row>
    <row r="229" spans="1:17" x14ac:dyDescent="0.2">
      <c r="A229" s="235"/>
      <c r="B229" s="235"/>
      <c r="Q229" s="79"/>
    </row>
    <row r="230" spans="1:17" x14ac:dyDescent="0.2">
      <c r="A230" s="235"/>
      <c r="B230" s="235"/>
      <c r="Q230" s="79"/>
    </row>
    <row r="231" spans="1:17" x14ac:dyDescent="0.2">
      <c r="A231" s="235"/>
      <c r="B231" s="235"/>
      <c r="Q231" s="79"/>
    </row>
    <row r="232" spans="1:17" x14ac:dyDescent="0.2">
      <c r="A232" s="235"/>
      <c r="B232" s="235"/>
      <c r="Q232" s="79"/>
    </row>
    <row r="233" spans="1:17" x14ac:dyDescent="0.2">
      <c r="A233" s="235"/>
      <c r="B233" s="235"/>
      <c r="Q233" s="79"/>
    </row>
    <row r="234" spans="1:17" x14ac:dyDescent="0.2">
      <c r="A234" s="235"/>
      <c r="B234" s="235"/>
      <c r="Q234" s="79"/>
    </row>
    <row r="235" spans="1:17" x14ac:dyDescent="0.2">
      <c r="A235" s="235"/>
      <c r="B235" s="235"/>
      <c r="Q235" s="79"/>
    </row>
    <row r="236" spans="1:17" x14ac:dyDescent="0.2">
      <c r="A236" s="235"/>
      <c r="B236" s="235"/>
      <c r="Q236" s="79"/>
    </row>
    <row r="237" spans="1:17" x14ac:dyDescent="0.2">
      <c r="A237" s="235"/>
      <c r="B237" s="235"/>
      <c r="Q237" s="79"/>
    </row>
    <row r="238" spans="1:17" x14ac:dyDescent="0.2">
      <c r="A238" s="235"/>
      <c r="B238" s="235"/>
      <c r="Q238" s="79"/>
    </row>
    <row r="239" spans="1:17" x14ac:dyDescent="0.2">
      <c r="A239" s="235"/>
      <c r="B239" s="235"/>
      <c r="Q239" s="79"/>
    </row>
    <row r="240" spans="1:17" x14ac:dyDescent="0.2">
      <c r="A240" s="235"/>
      <c r="B240" s="235"/>
      <c r="Q240" s="79"/>
    </row>
    <row r="241" spans="1:17" x14ac:dyDescent="0.2">
      <c r="A241" s="235"/>
      <c r="B241" s="235"/>
      <c r="Q241" s="79"/>
    </row>
    <row r="242" spans="1:17" x14ac:dyDescent="0.2">
      <c r="A242" s="235"/>
      <c r="B242" s="235"/>
      <c r="Q242" s="79"/>
    </row>
    <row r="243" spans="1:17" x14ac:dyDescent="0.2">
      <c r="A243" s="235"/>
      <c r="B243" s="235"/>
      <c r="Q243" s="79"/>
    </row>
    <row r="244" spans="1:17" x14ac:dyDescent="0.2">
      <c r="A244" s="235"/>
      <c r="B244" s="235"/>
      <c r="Q244" s="79"/>
    </row>
    <row r="245" spans="1:17" x14ac:dyDescent="0.2">
      <c r="A245" s="235"/>
      <c r="B245" s="235"/>
      <c r="Q245" s="79"/>
    </row>
    <row r="246" spans="1:17" x14ac:dyDescent="0.2">
      <c r="A246" s="235"/>
      <c r="B246" s="235"/>
      <c r="Q246" s="79"/>
    </row>
    <row r="247" spans="1:17" x14ac:dyDescent="0.2">
      <c r="A247" s="235"/>
      <c r="B247" s="235"/>
      <c r="Q247" s="79"/>
    </row>
    <row r="248" spans="1:17" x14ac:dyDescent="0.2">
      <c r="A248" s="235"/>
      <c r="B248" s="235"/>
      <c r="Q248" s="79"/>
    </row>
    <row r="249" spans="1:17" x14ac:dyDescent="0.2">
      <c r="A249" s="235"/>
      <c r="B249" s="235"/>
      <c r="Q249" s="79"/>
    </row>
    <row r="250" spans="1:17" x14ac:dyDescent="0.2">
      <c r="A250" s="235"/>
      <c r="B250" s="235"/>
      <c r="Q250" s="79"/>
    </row>
    <row r="251" spans="1:17" x14ac:dyDescent="0.2">
      <c r="A251" s="235"/>
      <c r="B251" s="235"/>
      <c r="Q251" s="79"/>
    </row>
    <row r="252" spans="1:17" x14ac:dyDescent="0.2">
      <c r="A252" s="235"/>
      <c r="B252" s="235"/>
      <c r="Q252" s="79"/>
    </row>
    <row r="253" spans="1:17" x14ac:dyDescent="0.2">
      <c r="A253" s="235"/>
      <c r="B253" s="235"/>
      <c r="Q253" s="79"/>
    </row>
    <row r="254" spans="1:17" x14ac:dyDescent="0.2">
      <c r="A254" s="235"/>
      <c r="B254" s="235"/>
      <c r="Q254" s="79"/>
    </row>
    <row r="255" spans="1:17" x14ac:dyDescent="0.2">
      <c r="A255" s="235"/>
      <c r="B255" s="235"/>
      <c r="Q255" s="79"/>
    </row>
    <row r="256" spans="1:17" x14ac:dyDescent="0.2">
      <c r="A256" s="235"/>
      <c r="B256" s="235"/>
      <c r="Q256" s="79"/>
    </row>
    <row r="257" spans="1:17" x14ac:dyDescent="0.2">
      <c r="A257" s="235"/>
      <c r="B257" s="235"/>
      <c r="Q257" s="79"/>
    </row>
    <row r="258" spans="1:17" x14ac:dyDescent="0.2">
      <c r="A258" s="235"/>
      <c r="B258" s="235"/>
      <c r="Q258" s="79"/>
    </row>
    <row r="259" spans="1:17" x14ac:dyDescent="0.2">
      <c r="A259" s="235"/>
      <c r="B259" s="235"/>
      <c r="Q259" s="79"/>
    </row>
    <row r="260" spans="1:17" x14ac:dyDescent="0.2">
      <c r="A260" s="235"/>
      <c r="B260" s="235"/>
      <c r="Q260" s="79"/>
    </row>
    <row r="261" spans="1:17" x14ac:dyDescent="0.2">
      <c r="A261" s="235"/>
      <c r="B261" s="235"/>
      <c r="Q261" s="79"/>
    </row>
    <row r="262" spans="1:17" x14ac:dyDescent="0.2">
      <c r="A262" s="235"/>
      <c r="B262" s="235"/>
      <c r="Q262" s="79"/>
    </row>
    <row r="263" spans="1:17" x14ac:dyDescent="0.2">
      <c r="A263" s="235"/>
      <c r="B263" s="235"/>
      <c r="Q263" s="79"/>
    </row>
    <row r="264" spans="1:17" x14ac:dyDescent="0.2">
      <c r="A264" s="235"/>
      <c r="B264" s="235"/>
      <c r="Q264" s="79"/>
    </row>
    <row r="265" spans="1:17" x14ac:dyDescent="0.2">
      <c r="A265" s="235"/>
      <c r="B265" s="235"/>
      <c r="Q265" s="79"/>
    </row>
    <row r="266" spans="1:17" x14ac:dyDescent="0.2">
      <c r="A266" s="235"/>
      <c r="B266" s="235"/>
      <c r="Q266" s="79"/>
    </row>
    <row r="267" spans="1:17" x14ac:dyDescent="0.2">
      <c r="A267" s="235"/>
      <c r="B267" s="235"/>
      <c r="Q267" s="79"/>
    </row>
    <row r="268" spans="1:17" x14ac:dyDescent="0.2">
      <c r="A268" s="235"/>
      <c r="B268" s="235"/>
      <c r="Q268" s="79"/>
    </row>
    <row r="269" spans="1:17" x14ac:dyDescent="0.2">
      <c r="A269" s="235"/>
      <c r="B269" s="235"/>
      <c r="Q269" s="79"/>
    </row>
    <row r="270" spans="1:17" x14ac:dyDescent="0.2">
      <c r="A270" s="235"/>
      <c r="B270" s="235"/>
      <c r="Q270" s="79"/>
    </row>
    <row r="271" spans="1:17" x14ac:dyDescent="0.2">
      <c r="A271" s="235"/>
      <c r="B271" s="235"/>
      <c r="Q271" s="79"/>
    </row>
    <row r="272" spans="1:17" x14ac:dyDescent="0.2">
      <c r="A272" s="235"/>
      <c r="B272" s="235"/>
      <c r="Q272" s="79"/>
    </row>
    <row r="273" spans="1:17" x14ac:dyDescent="0.2">
      <c r="A273" s="235"/>
      <c r="B273" s="235"/>
      <c r="Q273" s="79"/>
    </row>
    <row r="274" spans="1:17" x14ac:dyDescent="0.2">
      <c r="A274" s="235"/>
      <c r="B274" s="235"/>
      <c r="Q274" s="79"/>
    </row>
    <row r="275" spans="1:17" x14ac:dyDescent="0.2">
      <c r="A275" s="235"/>
      <c r="B275" s="235"/>
      <c r="Q275" s="79"/>
    </row>
    <row r="276" spans="1:17" x14ac:dyDescent="0.2">
      <c r="A276" s="235"/>
      <c r="B276" s="235"/>
      <c r="Q276" s="79"/>
    </row>
    <row r="277" spans="1:17" x14ac:dyDescent="0.2">
      <c r="A277" s="235"/>
      <c r="B277" s="235"/>
      <c r="Q277" s="79"/>
    </row>
    <row r="278" spans="1:17" x14ac:dyDescent="0.2">
      <c r="A278" s="235"/>
      <c r="B278" s="235"/>
      <c r="Q278" s="79"/>
    </row>
    <row r="279" spans="1:17" x14ac:dyDescent="0.2">
      <c r="A279" s="235"/>
      <c r="B279" s="235"/>
      <c r="Q279" s="79"/>
    </row>
    <row r="280" spans="1:17" x14ac:dyDescent="0.2">
      <c r="A280" s="235"/>
      <c r="B280" s="235"/>
      <c r="Q280" s="79"/>
    </row>
    <row r="281" spans="1:17" x14ac:dyDescent="0.2">
      <c r="A281" s="235"/>
      <c r="B281" s="235"/>
      <c r="Q281" s="79"/>
    </row>
    <row r="282" spans="1:17" x14ac:dyDescent="0.2">
      <c r="A282" s="235"/>
      <c r="B282" s="235"/>
      <c r="Q282" s="79"/>
    </row>
    <row r="283" spans="1:17" x14ac:dyDescent="0.2">
      <c r="A283" s="235"/>
      <c r="B283" s="235"/>
      <c r="Q283" s="79"/>
    </row>
    <row r="284" spans="1:17" x14ac:dyDescent="0.2">
      <c r="A284" s="235"/>
      <c r="B284" s="235"/>
      <c r="Q284" s="79"/>
    </row>
    <row r="285" spans="1:17" x14ac:dyDescent="0.2">
      <c r="A285" s="235"/>
      <c r="B285" s="235"/>
      <c r="Q285" s="79"/>
    </row>
    <row r="286" spans="1:17" x14ac:dyDescent="0.2">
      <c r="A286" s="235"/>
      <c r="B286" s="235"/>
      <c r="Q286" s="79"/>
    </row>
    <row r="287" spans="1:17" x14ac:dyDescent="0.2">
      <c r="A287" s="235"/>
      <c r="B287" s="235"/>
      <c r="Q287" s="79"/>
    </row>
    <row r="288" spans="1:17" x14ac:dyDescent="0.2">
      <c r="A288" s="235"/>
      <c r="B288" s="235"/>
      <c r="Q288" s="79"/>
    </row>
    <row r="289" spans="1:17" x14ac:dyDescent="0.2">
      <c r="A289" s="235"/>
      <c r="B289" s="235"/>
      <c r="Q289" s="79"/>
    </row>
    <row r="290" spans="1:17" x14ac:dyDescent="0.2">
      <c r="A290" s="235"/>
      <c r="B290" s="235"/>
      <c r="Q290" s="79"/>
    </row>
    <row r="291" spans="1:17" x14ac:dyDescent="0.2">
      <c r="A291" s="235"/>
      <c r="B291" s="235"/>
      <c r="Q291" s="79"/>
    </row>
    <row r="292" spans="1:17" x14ac:dyDescent="0.2">
      <c r="A292" s="235"/>
      <c r="B292" s="235"/>
      <c r="Q292" s="79"/>
    </row>
    <row r="293" spans="1:17" x14ac:dyDescent="0.2">
      <c r="A293" s="235"/>
      <c r="B293" s="235"/>
      <c r="Q293" s="79"/>
    </row>
    <row r="294" spans="1:17" x14ac:dyDescent="0.2">
      <c r="A294" s="235"/>
      <c r="B294" s="235"/>
      <c r="Q294" s="79"/>
    </row>
    <row r="295" spans="1:17" x14ac:dyDescent="0.2">
      <c r="A295" s="235"/>
      <c r="B295" s="235"/>
      <c r="Q295" s="79"/>
    </row>
    <row r="296" spans="1:17" x14ac:dyDescent="0.2">
      <c r="A296" s="235"/>
      <c r="B296" s="235"/>
      <c r="Q296" s="79"/>
    </row>
    <row r="297" spans="1:17" x14ac:dyDescent="0.2">
      <c r="A297" s="235"/>
      <c r="B297" s="235"/>
      <c r="Q297" s="79"/>
    </row>
    <row r="298" spans="1:17" x14ac:dyDescent="0.2">
      <c r="A298" s="235"/>
      <c r="B298" s="235"/>
      <c r="Q298" s="79"/>
    </row>
    <row r="299" spans="1:17" x14ac:dyDescent="0.2">
      <c r="A299" s="235"/>
      <c r="B299" s="235"/>
      <c r="Q299" s="79"/>
    </row>
    <row r="300" spans="1:17" x14ac:dyDescent="0.2">
      <c r="A300" s="235"/>
      <c r="B300" s="235"/>
      <c r="Q300" s="79"/>
    </row>
    <row r="301" spans="1:17" x14ac:dyDescent="0.2">
      <c r="A301" s="235"/>
      <c r="B301" s="235"/>
      <c r="Q301" s="79"/>
    </row>
    <row r="302" spans="1:17" x14ac:dyDescent="0.2">
      <c r="A302" s="235"/>
      <c r="B302" s="235"/>
      <c r="Q302" s="79"/>
    </row>
    <row r="303" spans="1:17" x14ac:dyDescent="0.2">
      <c r="A303" s="235"/>
      <c r="B303" s="235"/>
      <c r="Q303" s="79"/>
    </row>
    <row r="304" spans="1:17" x14ac:dyDescent="0.2">
      <c r="A304" s="235"/>
      <c r="B304" s="235"/>
      <c r="Q304" s="79"/>
    </row>
    <row r="305" spans="1:17" x14ac:dyDescent="0.2">
      <c r="A305" s="235"/>
      <c r="B305" s="235"/>
      <c r="Q305" s="79"/>
    </row>
    <row r="306" spans="1:17" x14ac:dyDescent="0.2">
      <c r="A306" s="235"/>
      <c r="B306" s="235"/>
      <c r="Q306" s="79"/>
    </row>
    <row r="307" spans="1:17" x14ac:dyDescent="0.2">
      <c r="A307" s="235"/>
      <c r="B307" s="235"/>
      <c r="Q307" s="79"/>
    </row>
    <row r="308" spans="1:17" x14ac:dyDescent="0.2">
      <c r="A308" s="235"/>
      <c r="B308" s="235"/>
      <c r="Q308" s="79"/>
    </row>
    <row r="309" spans="1:17" x14ac:dyDescent="0.2">
      <c r="A309" s="235"/>
      <c r="B309" s="235"/>
      <c r="Q309" s="79"/>
    </row>
    <row r="310" spans="1:17" x14ac:dyDescent="0.2">
      <c r="A310" s="235"/>
      <c r="B310" s="235"/>
      <c r="Q310" s="79"/>
    </row>
    <row r="311" spans="1:17" x14ac:dyDescent="0.2">
      <c r="A311" s="235"/>
      <c r="B311" s="235"/>
      <c r="Q311" s="79"/>
    </row>
    <row r="312" spans="1:17" x14ac:dyDescent="0.2">
      <c r="A312" s="235"/>
      <c r="B312" s="235"/>
      <c r="Q312" s="79"/>
    </row>
    <row r="313" spans="1:17" x14ac:dyDescent="0.2">
      <c r="A313" s="235"/>
      <c r="B313" s="235"/>
      <c r="Q313" s="79"/>
    </row>
    <row r="314" spans="1:17" x14ac:dyDescent="0.2">
      <c r="A314" s="235"/>
      <c r="B314" s="235"/>
      <c r="Q314" s="79"/>
    </row>
    <row r="315" spans="1:17" x14ac:dyDescent="0.2">
      <c r="A315" s="235"/>
      <c r="B315" s="235"/>
      <c r="Q315" s="79"/>
    </row>
    <row r="316" spans="1:17" x14ac:dyDescent="0.2">
      <c r="A316" s="235"/>
      <c r="B316" s="235"/>
      <c r="Q316" s="79"/>
    </row>
    <row r="317" spans="1:17" x14ac:dyDescent="0.2">
      <c r="A317" s="235"/>
      <c r="B317" s="235"/>
      <c r="Q317" s="79"/>
    </row>
    <row r="318" spans="1:17" x14ac:dyDescent="0.2">
      <c r="A318" s="235"/>
      <c r="B318" s="235"/>
      <c r="Q318" s="79"/>
    </row>
    <row r="319" spans="1:17" x14ac:dyDescent="0.2">
      <c r="A319" s="235"/>
      <c r="B319" s="235"/>
      <c r="Q319" s="79"/>
    </row>
    <row r="320" spans="1:17" x14ac:dyDescent="0.2">
      <c r="A320" s="235"/>
      <c r="B320" s="235"/>
      <c r="Q320" s="79"/>
    </row>
    <row r="321" spans="1:17" x14ac:dyDescent="0.2">
      <c r="A321" s="235"/>
      <c r="B321" s="235"/>
      <c r="Q321" s="79"/>
    </row>
    <row r="322" spans="1:17" x14ac:dyDescent="0.2">
      <c r="A322" s="235"/>
      <c r="B322" s="235"/>
      <c r="Q322" s="79"/>
    </row>
    <row r="323" spans="1:17" x14ac:dyDescent="0.2">
      <c r="A323" s="235"/>
      <c r="B323" s="235"/>
      <c r="Q323" s="79"/>
    </row>
    <row r="324" spans="1:17" x14ac:dyDescent="0.2">
      <c r="A324" s="235"/>
      <c r="B324" s="235"/>
      <c r="Q324" s="79"/>
    </row>
    <row r="325" spans="1:17" x14ac:dyDescent="0.2">
      <c r="A325" s="235"/>
      <c r="B325" s="235"/>
      <c r="Q325" s="79"/>
    </row>
    <row r="326" spans="1:17" x14ac:dyDescent="0.2">
      <c r="A326" s="235"/>
      <c r="B326" s="235"/>
      <c r="Q326" s="79"/>
    </row>
    <row r="327" spans="1:17" x14ac:dyDescent="0.2">
      <c r="A327" s="235"/>
      <c r="B327" s="235"/>
      <c r="Q327" s="79"/>
    </row>
    <row r="328" spans="1:17" x14ac:dyDescent="0.2">
      <c r="A328" s="235"/>
      <c r="B328" s="235"/>
      <c r="Q328" s="79"/>
    </row>
    <row r="329" spans="1:17" x14ac:dyDescent="0.2">
      <c r="A329" s="235"/>
      <c r="B329" s="235"/>
      <c r="Q329" s="79"/>
    </row>
    <row r="330" spans="1:17" x14ac:dyDescent="0.2">
      <c r="A330" s="235"/>
      <c r="B330" s="235"/>
      <c r="Q330" s="79"/>
    </row>
    <row r="331" spans="1:17" x14ac:dyDescent="0.2">
      <c r="A331" s="235"/>
      <c r="B331" s="235"/>
      <c r="Q331" s="79"/>
    </row>
    <row r="332" spans="1:17" x14ac:dyDescent="0.2">
      <c r="A332" s="235"/>
      <c r="B332" s="235"/>
      <c r="Q332" s="79"/>
    </row>
    <row r="333" spans="1:17" x14ac:dyDescent="0.2">
      <c r="A333" s="235"/>
      <c r="B333" s="235"/>
      <c r="Q333" s="79"/>
    </row>
    <row r="334" spans="1:17" x14ac:dyDescent="0.2">
      <c r="A334" s="235"/>
      <c r="B334" s="235"/>
      <c r="Q334" s="79"/>
    </row>
    <row r="335" spans="1:17" x14ac:dyDescent="0.2">
      <c r="A335" s="235"/>
      <c r="B335" s="235"/>
      <c r="Q335" s="79"/>
    </row>
    <row r="336" spans="1:17" x14ac:dyDescent="0.2">
      <c r="A336" s="235"/>
      <c r="B336" s="235"/>
      <c r="Q336" s="79"/>
    </row>
    <row r="337" spans="1:17" x14ac:dyDescent="0.2">
      <c r="A337" s="235"/>
      <c r="B337" s="235"/>
      <c r="Q337" s="79"/>
    </row>
    <row r="338" spans="1:17" x14ac:dyDescent="0.2">
      <c r="A338" s="235"/>
      <c r="B338" s="235"/>
      <c r="Q338" s="79"/>
    </row>
    <row r="339" spans="1:17" x14ac:dyDescent="0.2">
      <c r="A339" s="235"/>
      <c r="B339" s="235"/>
      <c r="Q339" s="79"/>
    </row>
    <row r="340" spans="1:17" x14ac:dyDescent="0.2">
      <c r="A340" s="235"/>
      <c r="B340" s="235"/>
      <c r="Q340" s="79"/>
    </row>
    <row r="341" spans="1:17" x14ac:dyDescent="0.2">
      <c r="A341" s="235"/>
      <c r="B341" s="235"/>
      <c r="Q341" s="79"/>
    </row>
    <row r="342" spans="1:17" x14ac:dyDescent="0.2">
      <c r="A342" s="235"/>
      <c r="B342" s="235"/>
      <c r="Q342" s="79"/>
    </row>
    <row r="343" spans="1:17" x14ac:dyDescent="0.2">
      <c r="A343" s="235"/>
      <c r="B343" s="235"/>
      <c r="Q343" s="79"/>
    </row>
    <row r="344" spans="1:17" x14ac:dyDescent="0.2">
      <c r="A344" s="235"/>
      <c r="B344" s="235"/>
      <c r="Q344" s="79"/>
    </row>
    <row r="345" spans="1:17" x14ac:dyDescent="0.2">
      <c r="A345" s="235"/>
      <c r="B345" s="235"/>
      <c r="Q345" s="79"/>
    </row>
    <row r="346" spans="1:17" x14ac:dyDescent="0.2">
      <c r="A346" s="235"/>
      <c r="B346" s="235"/>
      <c r="Q346" s="79"/>
    </row>
    <row r="347" spans="1:17" x14ac:dyDescent="0.2">
      <c r="A347" s="235"/>
      <c r="B347" s="235"/>
      <c r="Q347" s="79"/>
    </row>
    <row r="348" spans="1:17" x14ac:dyDescent="0.2">
      <c r="A348" s="235"/>
      <c r="B348" s="235"/>
      <c r="Q348" s="79"/>
    </row>
    <row r="349" spans="1:17" x14ac:dyDescent="0.2">
      <c r="A349" s="235"/>
      <c r="B349" s="235"/>
      <c r="Q349" s="79"/>
    </row>
    <row r="350" spans="1:17" x14ac:dyDescent="0.2">
      <c r="A350" s="235"/>
      <c r="B350" s="235"/>
      <c r="Q350" s="79"/>
    </row>
    <row r="351" spans="1:17" x14ac:dyDescent="0.2">
      <c r="A351" s="235"/>
      <c r="B351" s="235"/>
      <c r="Q351" s="79"/>
    </row>
    <row r="352" spans="1:17" x14ac:dyDescent="0.2">
      <c r="A352" s="235"/>
      <c r="B352" s="235"/>
      <c r="Q352" s="79"/>
    </row>
    <row r="353" spans="1:17" x14ac:dyDescent="0.2">
      <c r="A353" s="235"/>
      <c r="B353" s="235"/>
      <c r="Q353" s="79"/>
    </row>
    <row r="354" spans="1:17" x14ac:dyDescent="0.2">
      <c r="A354" s="235"/>
      <c r="B354" s="235"/>
      <c r="Q354" s="79"/>
    </row>
    <row r="355" spans="1:17" x14ac:dyDescent="0.2">
      <c r="A355" s="235"/>
      <c r="B355" s="235"/>
      <c r="Q355" s="79"/>
    </row>
    <row r="356" spans="1:17" x14ac:dyDescent="0.2">
      <c r="A356" s="235"/>
      <c r="B356" s="235"/>
      <c r="Q356" s="79"/>
    </row>
    <row r="357" spans="1:17" x14ac:dyDescent="0.2">
      <c r="A357" s="235"/>
      <c r="B357" s="235"/>
      <c r="Q357" s="79"/>
    </row>
    <row r="358" spans="1:17" x14ac:dyDescent="0.2">
      <c r="A358" s="235"/>
      <c r="B358" s="235"/>
      <c r="Q358" s="79"/>
    </row>
    <row r="359" spans="1:17" x14ac:dyDescent="0.2">
      <c r="A359" s="235"/>
      <c r="B359" s="235"/>
      <c r="Q359" s="79"/>
    </row>
    <row r="360" spans="1:17" x14ac:dyDescent="0.2">
      <c r="A360" s="235"/>
      <c r="B360" s="235"/>
      <c r="Q360" s="79"/>
    </row>
    <row r="361" spans="1:17" x14ac:dyDescent="0.2">
      <c r="A361" s="235"/>
      <c r="B361" s="235"/>
      <c r="Q361" s="79"/>
    </row>
    <row r="362" spans="1:17" x14ac:dyDescent="0.2">
      <c r="A362" s="235"/>
      <c r="B362" s="235"/>
      <c r="Q362" s="79"/>
    </row>
    <row r="363" spans="1:17" x14ac:dyDescent="0.2">
      <c r="A363" s="235"/>
      <c r="B363" s="235"/>
      <c r="Q363" s="79"/>
    </row>
    <row r="364" spans="1:17" x14ac:dyDescent="0.2">
      <c r="A364" s="235"/>
      <c r="B364" s="235"/>
      <c r="Q364" s="79"/>
    </row>
    <row r="365" spans="1:17" x14ac:dyDescent="0.2">
      <c r="A365" s="235"/>
      <c r="B365" s="235"/>
      <c r="Q365" s="79"/>
    </row>
    <row r="366" spans="1:17" x14ac:dyDescent="0.2">
      <c r="A366" s="235"/>
      <c r="B366" s="235"/>
      <c r="Q366" s="79"/>
    </row>
    <row r="367" spans="1:17" x14ac:dyDescent="0.2">
      <c r="A367" s="235"/>
      <c r="B367" s="235"/>
      <c r="Q367" s="79"/>
    </row>
    <row r="368" spans="1:17" x14ac:dyDescent="0.2">
      <c r="A368" s="235"/>
      <c r="B368" s="235"/>
      <c r="Q368" s="79"/>
    </row>
    <row r="369" spans="1:17" x14ac:dyDescent="0.2">
      <c r="A369" s="235"/>
      <c r="B369" s="235"/>
      <c r="Q369" s="79"/>
    </row>
    <row r="370" spans="1:17" x14ac:dyDescent="0.2">
      <c r="A370" s="235"/>
      <c r="B370" s="235"/>
      <c r="Q370" s="79"/>
    </row>
    <row r="371" spans="1:17" x14ac:dyDescent="0.2">
      <c r="A371" s="235"/>
      <c r="B371" s="235"/>
      <c r="Q371" s="79"/>
    </row>
    <row r="372" spans="1:17" x14ac:dyDescent="0.2">
      <c r="A372" s="235"/>
      <c r="B372" s="235"/>
      <c r="Q372" s="79"/>
    </row>
    <row r="373" spans="1:17" x14ac:dyDescent="0.2">
      <c r="A373" s="235"/>
      <c r="B373" s="235"/>
      <c r="Q373" s="79"/>
    </row>
    <row r="374" spans="1:17" x14ac:dyDescent="0.2">
      <c r="A374" s="235"/>
      <c r="B374" s="235"/>
      <c r="Q374" s="79"/>
    </row>
    <row r="375" spans="1:17" x14ac:dyDescent="0.2">
      <c r="A375" s="235"/>
      <c r="B375" s="235"/>
      <c r="Q375" s="79"/>
    </row>
    <row r="376" spans="1:17" x14ac:dyDescent="0.2">
      <c r="A376" s="235"/>
      <c r="B376" s="235"/>
      <c r="Q376" s="79"/>
    </row>
    <row r="377" spans="1:17" x14ac:dyDescent="0.2">
      <c r="A377" s="235"/>
      <c r="B377" s="235"/>
      <c r="Q377" s="79"/>
    </row>
    <row r="378" spans="1:17" x14ac:dyDescent="0.2">
      <c r="A378" s="235"/>
      <c r="B378" s="235"/>
      <c r="Q378" s="79"/>
    </row>
    <row r="379" spans="1:17" x14ac:dyDescent="0.2">
      <c r="A379" s="235"/>
      <c r="B379" s="235"/>
      <c r="Q379" s="79"/>
    </row>
    <row r="380" spans="1:17" x14ac:dyDescent="0.2">
      <c r="A380" s="235"/>
      <c r="B380" s="235"/>
      <c r="Q380" s="79"/>
    </row>
    <row r="381" spans="1:17" x14ac:dyDescent="0.2">
      <c r="A381" s="235"/>
      <c r="B381" s="235"/>
      <c r="Q381" s="79"/>
    </row>
    <row r="382" spans="1:17" x14ac:dyDescent="0.2">
      <c r="A382" s="235"/>
      <c r="B382" s="235"/>
      <c r="Q382" s="79"/>
    </row>
    <row r="383" spans="1:17" x14ac:dyDescent="0.2">
      <c r="A383" s="235"/>
      <c r="B383" s="235"/>
      <c r="Q383" s="79"/>
    </row>
    <row r="384" spans="1:17" x14ac:dyDescent="0.2">
      <c r="A384" s="235"/>
      <c r="B384" s="235"/>
      <c r="Q384" s="79"/>
    </row>
    <row r="385" spans="1:17" x14ac:dyDescent="0.2">
      <c r="A385" s="235"/>
      <c r="B385" s="235"/>
      <c r="Q385" s="79"/>
    </row>
    <row r="386" spans="1:17" x14ac:dyDescent="0.2">
      <c r="A386" s="235"/>
      <c r="B386" s="235"/>
      <c r="Q386" s="79"/>
    </row>
    <row r="387" spans="1:17" x14ac:dyDescent="0.2">
      <c r="A387" s="235"/>
      <c r="B387" s="235"/>
      <c r="Q387" s="79"/>
    </row>
    <row r="388" spans="1:17" x14ac:dyDescent="0.2">
      <c r="A388" s="235"/>
      <c r="B388" s="235"/>
      <c r="Q388" s="79"/>
    </row>
    <row r="389" spans="1:17" x14ac:dyDescent="0.2">
      <c r="A389" s="235"/>
      <c r="B389" s="235"/>
      <c r="Q389" s="79"/>
    </row>
    <row r="390" spans="1:17" x14ac:dyDescent="0.2">
      <c r="A390" s="235"/>
      <c r="B390" s="235"/>
      <c r="Q390" s="79"/>
    </row>
    <row r="391" spans="1:17" x14ac:dyDescent="0.2">
      <c r="A391" s="235"/>
      <c r="B391" s="235"/>
      <c r="Q391" s="79"/>
    </row>
    <row r="392" spans="1:17" x14ac:dyDescent="0.2">
      <c r="A392" s="235"/>
      <c r="B392" s="235"/>
      <c r="Q392" s="79"/>
    </row>
    <row r="393" spans="1:17" x14ac:dyDescent="0.2">
      <c r="A393" s="235"/>
      <c r="B393" s="235"/>
      <c r="Q393" s="79"/>
    </row>
    <row r="394" spans="1:17" x14ac:dyDescent="0.2">
      <c r="A394" s="235"/>
      <c r="B394" s="235"/>
      <c r="Q394" s="79"/>
    </row>
    <row r="395" spans="1:17" x14ac:dyDescent="0.2">
      <c r="A395" s="235"/>
      <c r="B395" s="235"/>
      <c r="Q395" s="79"/>
    </row>
    <row r="396" spans="1:17" x14ac:dyDescent="0.2">
      <c r="A396" s="235"/>
      <c r="B396" s="235"/>
      <c r="Q396" s="79"/>
    </row>
    <row r="397" spans="1:17" x14ac:dyDescent="0.2">
      <c r="A397" s="235"/>
      <c r="B397" s="235"/>
      <c r="Q397" s="79"/>
    </row>
    <row r="398" spans="1:17" x14ac:dyDescent="0.2">
      <c r="A398" s="235"/>
      <c r="B398" s="235"/>
      <c r="Q398" s="79"/>
    </row>
    <row r="399" spans="1:17" x14ac:dyDescent="0.2">
      <c r="A399" s="235"/>
      <c r="B399" s="235"/>
      <c r="Q399" s="79"/>
    </row>
    <row r="400" spans="1:17" x14ac:dyDescent="0.2">
      <c r="A400" s="235"/>
      <c r="B400" s="235"/>
      <c r="Q400" s="79"/>
    </row>
    <row r="401" spans="1:17" x14ac:dyDescent="0.2">
      <c r="A401" s="235"/>
      <c r="B401" s="235"/>
      <c r="Q401" s="79"/>
    </row>
    <row r="402" spans="1:17" x14ac:dyDescent="0.2">
      <c r="A402" s="235"/>
      <c r="B402" s="235"/>
      <c r="Q402" s="79"/>
    </row>
    <row r="403" spans="1:17" x14ac:dyDescent="0.2">
      <c r="A403" s="235"/>
      <c r="B403" s="235"/>
      <c r="Q403" s="79"/>
    </row>
    <row r="404" spans="1:17" x14ac:dyDescent="0.2">
      <c r="A404" s="235"/>
      <c r="B404" s="235"/>
      <c r="Q404" s="79"/>
    </row>
    <row r="405" spans="1:17" x14ac:dyDescent="0.2">
      <c r="A405" s="235"/>
      <c r="B405" s="235"/>
      <c r="Q405" s="79"/>
    </row>
    <row r="406" spans="1:17" x14ac:dyDescent="0.2">
      <c r="A406" s="235"/>
      <c r="B406" s="235"/>
      <c r="Q406" s="79"/>
    </row>
    <row r="407" spans="1:17" x14ac:dyDescent="0.2">
      <c r="A407" s="235"/>
      <c r="B407" s="235"/>
      <c r="Q407" s="79"/>
    </row>
    <row r="408" spans="1:17" x14ac:dyDescent="0.2">
      <c r="A408" s="235"/>
      <c r="B408" s="235"/>
      <c r="Q408" s="79"/>
    </row>
    <row r="409" spans="1:17" x14ac:dyDescent="0.2">
      <c r="A409" s="235"/>
      <c r="B409" s="235"/>
      <c r="Q409" s="79"/>
    </row>
    <row r="410" spans="1:17" x14ac:dyDescent="0.2">
      <c r="A410" s="235"/>
      <c r="B410" s="235"/>
      <c r="Q410" s="79"/>
    </row>
    <row r="411" spans="1:17" x14ac:dyDescent="0.2">
      <c r="A411" s="235"/>
      <c r="B411" s="235"/>
      <c r="Q411" s="79"/>
    </row>
    <row r="412" spans="1:17" x14ac:dyDescent="0.2">
      <c r="A412" s="235"/>
      <c r="B412" s="235"/>
      <c r="Q412" s="79"/>
    </row>
    <row r="413" spans="1:17" x14ac:dyDescent="0.2">
      <c r="A413" s="235"/>
      <c r="B413" s="235"/>
      <c r="Q413" s="79"/>
    </row>
    <row r="414" spans="1:17" x14ac:dyDescent="0.2">
      <c r="A414" s="235"/>
      <c r="B414" s="235"/>
      <c r="Q414" s="79"/>
    </row>
    <row r="415" spans="1:17" x14ac:dyDescent="0.2">
      <c r="A415" s="235"/>
      <c r="B415" s="235"/>
      <c r="Q415" s="79"/>
    </row>
    <row r="416" spans="1:17" x14ac:dyDescent="0.2">
      <c r="A416" s="235"/>
      <c r="B416" s="235"/>
      <c r="Q416" s="79"/>
    </row>
    <row r="417" spans="1:17" x14ac:dyDescent="0.2">
      <c r="A417" s="235"/>
      <c r="B417" s="235"/>
      <c r="Q417" s="79"/>
    </row>
    <row r="418" spans="1:17" x14ac:dyDescent="0.2">
      <c r="A418" s="235"/>
      <c r="B418" s="235"/>
      <c r="Q418" s="79"/>
    </row>
    <row r="419" spans="1:17" x14ac:dyDescent="0.2">
      <c r="A419" s="235"/>
      <c r="B419" s="235"/>
      <c r="Q419" s="79"/>
    </row>
    <row r="420" spans="1:17" x14ac:dyDescent="0.2">
      <c r="A420" s="235"/>
      <c r="B420" s="235"/>
      <c r="Q420" s="79"/>
    </row>
    <row r="421" spans="1:17" x14ac:dyDescent="0.2">
      <c r="A421" s="235"/>
      <c r="B421" s="235"/>
      <c r="Q421" s="79"/>
    </row>
    <row r="422" spans="1:17" x14ac:dyDescent="0.2">
      <c r="A422" s="235"/>
      <c r="B422" s="235"/>
      <c r="Q422" s="79"/>
    </row>
    <row r="423" spans="1:17" x14ac:dyDescent="0.2">
      <c r="A423" s="235"/>
      <c r="B423" s="235"/>
      <c r="Q423" s="79"/>
    </row>
    <row r="424" spans="1:17" x14ac:dyDescent="0.2">
      <c r="A424" s="235"/>
      <c r="B424" s="235"/>
      <c r="Q424" s="79"/>
    </row>
    <row r="425" spans="1:17" x14ac:dyDescent="0.2">
      <c r="A425" s="235"/>
      <c r="B425" s="235"/>
      <c r="Q425" s="79"/>
    </row>
    <row r="426" spans="1:17" x14ac:dyDescent="0.2">
      <c r="A426" s="235"/>
      <c r="B426" s="235"/>
      <c r="Q426" s="79"/>
    </row>
    <row r="427" spans="1:17" x14ac:dyDescent="0.2">
      <c r="A427" s="235"/>
      <c r="B427" s="235"/>
      <c r="Q427" s="79"/>
    </row>
    <row r="428" spans="1:17" x14ac:dyDescent="0.2">
      <c r="A428" s="235"/>
      <c r="B428" s="235"/>
      <c r="Q428" s="79"/>
    </row>
    <row r="429" spans="1:17" x14ac:dyDescent="0.2">
      <c r="A429" s="235"/>
      <c r="B429" s="235"/>
      <c r="Q429" s="79"/>
    </row>
    <row r="430" spans="1:17" x14ac:dyDescent="0.2">
      <c r="A430" s="235"/>
      <c r="B430" s="235"/>
      <c r="Q430" s="79"/>
    </row>
    <row r="431" spans="1:17" x14ac:dyDescent="0.2">
      <c r="A431" s="235"/>
      <c r="B431" s="235"/>
      <c r="Q431" s="79"/>
    </row>
    <row r="432" spans="1:17" x14ac:dyDescent="0.2">
      <c r="A432" s="235"/>
      <c r="B432" s="235"/>
      <c r="Q432" s="79"/>
    </row>
    <row r="433" spans="1:17" x14ac:dyDescent="0.2">
      <c r="A433" s="235"/>
      <c r="B433" s="235"/>
      <c r="Q433" s="79"/>
    </row>
    <row r="434" spans="1:17" x14ac:dyDescent="0.2">
      <c r="A434" s="235"/>
      <c r="B434" s="235"/>
      <c r="Q434" s="79"/>
    </row>
    <row r="435" spans="1:17" x14ac:dyDescent="0.2">
      <c r="A435" s="235"/>
      <c r="B435" s="235"/>
      <c r="Q435" s="79"/>
    </row>
    <row r="436" spans="1:17" x14ac:dyDescent="0.2">
      <c r="A436" s="235"/>
      <c r="B436" s="235"/>
      <c r="Q436" s="79"/>
    </row>
    <row r="437" spans="1:17" x14ac:dyDescent="0.2">
      <c r="A437" s="235"/>
      <c r="B437" s="235"/>
      <c r="Q437" s="79"/>
    </row>
    <row r="438" spans="1:17" x14ac:dyDescent="0.2">
      <c r="A438" s="235"/>
      <c r="B438" s="235"/>
      <c r="Q438" s="79"/>
    </row>
    <row r="439" spans="1:17" x14ac:dyDescent="0.2">
      <c r="A439" s="235"/>
      <c r="B439" s="235"/>
      <c r="Q439" s="79"/>
    </row>
    <row r="440" spans="1:17" x14ac:dyDescent="0.2">
      <c r="A440" s="235"/>
      <c r="B440" s="235"/>
      <c r="Q440" s="79"/>
    </row>
    <row r="441" spans="1:17" x14ac:dyDescent="0.2">
      <c r="A441" s="235"/>
      <c r="B441" s="235"/>
      <c r="Q441" s="79"/>
    </row>
    <row r="442" spans="1:17" x14ac:dyDescent="0.2">
      <c r="A442" s="235"/>
      <c r="B442" s="235"/>
      <c r="Q442" s="79"/>
    </row>
    <row r="443" spans="1:17" x14ac:dyDescent="0.2">
      <c r="A443" s="235"/>
      <c r="B443" s="235"/>
      <c r="Q443" s="79"/>
    </row>
    <row r="444" spans="1:17" x14ac:dyDescent="0.2">
      <c r="A444" s="235"/>
      <c r="B444" s="235"/>
      <c r="Q444" s="79"/>
    </row>
    <row r="445" spans="1:17" x14ac:dyDescent="0.2">
      <c r="A445" s="235"/>
      <c r="B445" s="235"/>
      <c r="Q445" s="79"/>
    </row>
    <row r="446" spans="1:17" x14ac:dyDescent="0.2">
      <c r="A446" s="235"/>
      <c r="B446" s="235"/>
      <c r="Q446" s="79"/>
    </row>
    <row r="447" spans="1:17" x14ac:dyDescent="0.2">
      <c r="A447" s="235"/>
      <c r="B447" s="235"/>
      <c r="Q447" s="79"/>
    </row>
    <row r="448" spans="1:17" x14ac:dyDescent="0.2">
      <c r="A448" s="235"/>
      <c r="B448" s="235"/>
      <c r="Q448" s="79"/>
    </row>
    <row r="449" spans="1:17" x14ac:dyDescent="0.2">
      <c r="A449" s="235"/>
      <c r="B449" s="235"/>
      <c r="Q449" s="79"/>
    </row>
    <row r="450" spans="1:17" x14ac:dyDescent="0.2">
      <c r="A450" s="235"/>
      <c r="B450" s="235"/>
      <c r="Q450" s="79"/>
    </row>
    <row r="451" spans="1:17" x14ac:dyDescent="0.2">
      <c r="A451" s="235"/>
      <c r="B451" s="235"/>
      <c r="Q451" s="79"/>
    </row>
    <row r="452" spans="1:17" x14ac:dyDescent="0.2">
      <c r="A452" s="235"/>
      <c r="B452" s="235"/>
      <c r="Q452" s="79"/>
    </row>
    <row r="453" spans="1:17" x14ac:dyDescent="0.2">
      <c r="A453" s="235"/>
      <c r="B453" s="235"/>
      <c r="Q453" s="79"/>
    </row>
    <row r="454" spans="1:17" x14ac:dyDescent="0.2">
      <c r="A454" s="235"/>
      <c r="B454" s="235"/>
      <c r="Q454" s="79"/>
    </row>
    <row r="455" spans="1:17" x14ac:dyDescent="0.2">
      <c r="A455" s="235"/>
      <c r="B455" s="235"/>
      <c r="Q455" s="79"/>
    </row>
    <row r="456" spans="1:17" x14ac:dyDescent="0.2">
      <c r="A456" s="235"/>
      <c r="B456" s="235"/>
      <c r="Q456" s="79"/>
    </row>
    <row r="457" spans="1:17" x14ac:dyDescent="0.2">
      <c r="A457" s="235"/>
      <c r="B457" s="235"/>
      <c r="Q457" s="79"/>
    </row>
    <row r="458" spans="1:17" x14ac:dyDescent="0.2">
      <c r="A458" s="235"/>
      <c r="B458" s="235"/>
      <c r="Q458" s="79"/>
    </row>
    <row r="459" spans="1:17" x14ac:dyDescent="0.2">
      <c r="A459" s="235"/>
      <c r="B459" s="235"/>
      <c r="Q459" s="79"/>
    </row>
    <row r="460" spans="1:17" x14ac:dyDescent="0.2">
      <c r="A460" s="235"/>
      <c r="B460" s="235"/>
      <c r="Q460" s="79"/>
    </row>
    <row r="461" spans="1:17" x14ac:dyDescent="0.2">
      <c r="A461" s="235"/>
      <c r="B461" s="235"/>
      <c r="Q461" s="79"/>
    </row>
    <row r="462" spans="1:17" x14ac:dyDescent="0.2">
      <c r="A462" s="235"/>
      <c r="B462" s="235"/>
      <c r="Q462" s="79"/>
    </row>
    <row r="463" spans="1:17" x14ac:dyDescent="0.2">
      <c r="A463" s="235"/>
      <c r="B463" s="235"/>
      <c r="Q463" s="79"/>
    </row>
    <row r="464" spans="1:17" x14ac:dyDescent="0.2">
      <c r="A464" s="235"/>
      <c r="B464" s="235"/>
      <c r="Q464" s="79"/>
    </row>
    <row r="465" spans="1:17" x14ac:dyDescent="0.2">
      <c r="A465" s="235"/>
      <c r="B465" s="235"/>
      <c r="Q465" s="79"/>
    </row>
    <row r="466" spans="1:17" x14ac:dyDescent="0.2">
      <c r="A466" s="235"/>
      <c r="B466" s="235"/>
      <c r="Q466" s="79"/>
    </row>
    <row r="467" spans="1:17" x14ac:dyDescent="0.2">
      <c r="A467" s="235"/>
      <c r="B467" s="235"/>
      <c r="Q467" s="79"/>
    </row>
    <row r="468" spans="1:17" x14ac:dyDescent="0.2">
      <c r="A468" s="235"/>
      <c r="B468" s="235"/>
      <c r="Q468" s="79"/>
    </row>
    <row r="469" spans="1:17" x14ac:dyDescent="0.2">
      <c r="A469" s="235"/>
      <c r="B469" s="235"/>
      <c r="Q469" s="79"/>
    </row>
    <row r="470" spans="1:17" x14ac:dyDescent="0.2">
      <c r="A470" s="235"/>
      <c r="B470" s="235"/>
      <c r="Q470" s="79"/>
    </row>
    <row r="471" spans="1:17" x14ac:dyDescent="0.2">
      <c r="A471" s="235"/>
      <c r="B471" s="235"/>
      <c r="Q471" s="79"/>
    </row>
    <row r="472" spans="1:17" x14ac:dyDescent="0.2">
      <c r="A472" s="235"/>
      <c r="B472" s="235"/>
      <c r="Q472" s="79"/>
    </row>
    <row r="473" spans="1:17" x14ac:dyDescent="0.2">
      <c r="A473" s="235"/>
      <c r="B473" s="235"/>
      <c r="Q473" s="79"/>
    </row>
    <row r="474" spans="1:17" x14ac:dyDescent="0.2">
      <c r="A474" s="235"/>
      <c r="B474" s="235"/>
      <c r="Q474" s="79"/>
    </row>
    <row r="475" spans="1:17" x14ac:dyDescent="0.2">
      <c r="A475" s="235"/>
      <c r="B475" s="235"/>
      <c r="Q475" s="79"/>
    </row>
    <row r="476" spans="1:17" x14ac:dyDescent="0.2">
      <c r="A476" s="235"/>
      <c r="B476" s="235"/>
      <c r="Q476" s="79"/>
    </row>
    <row r="477" spans="1:17" x14ac:dyDescent="0.2">
      <c r="A477" s="235"/>
      <c r="B477" s="235"/>
      <c r="Q477" s="79"/>
    </row>
    <row r="478" spans="1:17" x14ac:dyDescent="0.2">
      <c r="A478" s="235"/>
      <c r="B478" s="235"/>
      <c r="Q478" s="79"/>
    </row>
    <row r="479" spans="1:17" x14ac:dyDescent="0.2">
      <c r="A479" s="235"/>
      <c r="B479" s="235"/>
      <c r="Q479" s="79"/>
    </row>
    <row r="480" spans="1:17" x14ac:dyDescent="0.2">
      <c r="A480" s="235"/>
      <c r="B480" s="235"/>
      <c r="Q480" s="79"/>
    </row>
    <row r="481" spans="1:17" x14ac:dyDescent="0.2">
      <c r="A481" s="235"/>
      <c r="B481" s="235"/>
      <c r="Q481" s="79"/>
    </row>
    <row r="482" spans="1:17" x14ac:dyDescent="0.2">
      <c r="A482" s="235"/>
      <c r="B482" s="235"/>
      <c r="Q482" s="79"/>
    </row>
    <row r="483" spans="1:17" x14ac:dyDescent="0.2">
      <c r="A483" s="235"/>
      <c r="B483" s="235"/>
      <c r="Q483" s="79"/>
    </row>
    <row r="484" spans="1:17" x14ac:dyDescent="0.2">
      <c r="A484" s="235"/>
      <c r="B484" s="235"/>
      <c r="Q484" s="79"/>
    </row>
    <row r="485" spans="1:17" x14ac:dyDescent="0.2">
      <c r="A485" s="235"/>
      <c r="B485" s="235"/>
      <c r="Q485" s="79"/>
    </row>
    <row r="486" spans="1:17" x14ac:dyDescent="0.2">
      <c r="A486" s="235"/>
      <c r="B486" s="235"/>
      <c r="Q486" s="79"/>
    </row>
    <row r="487" spans="1:17" x14ac:dyDescent="0.2">
      <c r="A487" s="235"/>
      <c r="B487" s="235"/>
      <c r="Q487" s="79"/>
    </row>
    <row r="488" spans="1:17" x14ac:dyDescent="0.2">
      <c r="A488" s="235"/>
      <c r="B488" s="235"/>
      <c r="Q488" s="79"/>
    </row>
    <row r="489" spans="1:17" x14ac:dyDescent="0.2">
      <c r="A489" s="235"/>
      <c r="B489" s="235"/>
      <c r="Q489" s="79"/>
    </row>
    <row r="490" spans="1:17" x14ac:dyDescent="0.2">
      <c r="A490" s="235"/>
      <c r="B490" s="235"/>
      <c r="Q490" s="79"/>
    </row>
    <row r="491" spans="1:17" x14ac:dyDescent="0.2">
      <c r="A491" s="235"/>
      <c r="B491" s="235"/>
      <c r="Q491" s="79"/>
    </row>
    <row r="492" spans="1:17" x14ac:dyDescent="0.2">
      <c r="A492" s="235"/>
      <c r="B492" s="235"/>
      <c r="Q492" s="79"/>
    </row>
    <row r="493" spans="1:17" x14ac:dyDescent="0.2">
      <c r="A493" s="235"/>
      <c r="B493" s="235"/>
      <c r="Q493" s="79"/>
    </row>
    <row r="494" spans="1:17" x14ac:dyDescent="0.2">
      <c r="A494" s="235"/>
      <c r="B494" s="235"/>
      <c r="Q494" s="79"/>
    </row>
    <row r="495" spans="1:17" x14ac:dyDescent="0.2">
      <c r="A495" s="235"/>
      <c r="B495" s="235"/>
      <c r="Q495" s="79"/>
    </row>
    <row r="496" spans="1:17" x14ac:dyDescent="0.2">
      <c r="A496" s="235"/>
      <c r="B496" s="235"/>
      <c r="Q496" s="79"/>
    </row>
    <row r="497" spans="1:17" x14ac:dyDescent="0.2">
      <c r="A497" s="235"/>
      <c r="B497" s="235"/>
      <c r="Q497" s="79"/>
    </row>
    <row r="498" spans="1:17" x14ac:dyDescent="0.2">
      <c r="A498" s="235"/>
      <c r="B498" s="235"/>
      <c r="Q498" s="79"/>
    </row>
    <row r="499" spans="1:17" x14ac:dyDescent="0.2">
      <c r="A499" s="235"/>
      <c r="B499" s="235"/>
      <c r="Q499" s="79"/>
    </row>
    <row r="500" spans="1:17" x14ac:dyDescent="0.2">
      <c r="A500" s="235"/>
      <c r="B500" s="235"/>
      <c r="Q500" s="79"/>
    </row>
    <row r="501" spans="1:17" x14ac:dyDescent="0.2">
      <c r="A501" s="235"/>
      <c r="B501" s="235"/>
      <c r="Q501" s="79"/>
    </row>
    <row r="502" spans="1:17" x14ac:dyDescent="0.2">
      <c r="A502" s="235"/>
      <c r="B502" s="235"/>
      <c r="Q502" s="79"/>
    </row>
    <row r="503" spans="1:17" x14ac:dyDescent="0.2">
      <c r="A503" s="235"/>
      <c r="B503" s="235"/>
      <c r="Q503" s="79"/>
    </row>
    <row r="504" spans="1:17" x14ac:dyDescent="0.2">
      <c r="A504" s="235"/>
      <c r="B504" s="235"/>
      <c r="Q504" s="79"/>
    </row>
    <row r="505" spans="1:17" x14ac:dyDescent="0.2">
      <c r="A505" s="235"/>
      <c r="B505" s="235"/>
      <c r="Q505" s="79"/>
    </row>
    <row r="506" spans="1:17" x14ac:dyDescent="0.2">
      <c r="A506" s="235"/>
      <c r="B506" s="235"/>
      <c r="Q506" s="79"/>
    </row>
    <row r="507" spans="1:17" x14ac:dyDescent="0.2">
      <c r="A507" s="235"/>
      <c r="B507" s="235"/>
      <c r="Q507" s="79"/>
    </row>
    <row r="508" spans="1:17" x14ac:dyDescent="0.2">
      <c r="A508" s="235"/>
      <c r="B508" s="235"/>
      <c r="Q508" s="79"/>
    </row>
    <row r="509" spans="1:17" x14ac:dyDescent="0.2">
      <c r="A509" s="235"/>
      <c r="B509" s="235"/>
      <c r="Q509" s="79"/>
    </row>
    <row r="510" spans="1:17" x14ac:dyDescent="0.2">
      <c r="A510" s="235"/>
      <c r="B510" s="235"/>
      <c r="Q510" s="79"/>
    </row>
    <row r="511" spans="1:17" x14ac:dyDescent="0.2">
      <c r="A511" s="235"/>
      <c r="B511" s="235"/>
      <c r="Q511" s="79"/>
    </row>
    <row r="512" spans="1:17" x14ac:dyDescent="0.2">
      <c r="A512" s="235"/>
      <c r="B512" s="235"/>
      <c r="Q512" s="79"/>
    </row>
    <row r="513" spans="1:17" x14ac:dyDescent="0.2">
      <c r="A513" s="235"/>
      <c r="B513" s="235"/>
      <c r="Q513" s="79"/>
    </row>
    <row r="514" spans="1:17" x14ac:dyDescent="0.2">
      <c r="A514" s="235"/>
      <c r="B514" s="235"/>
      <c r="Q514" s="79"/>
    </row>
    <row r="515" spans="1:17" x14ac:dyDescent="0.2">
      <c r="A515" s="235"/>
      <c r="B515" s="235"/>
      <c r="Q515" s="79"/>
    </row>
    <row r="516" spans="1:17" x14ac:dyDescent="0.2">
      <c r="A516" s="235"/>
      <c r="B516" s="235"/>
      <c r="Q516" s="79"/>
    </row>
    <row r="517" spans="1:17" x14ac:dyDescent="0.2">
      <c r="A517" s="235"/>
      <c r="B517" s="235"/>
      <c r="Q517" s="79"/>
    </row>
    <row r="518" spans="1:17" x14ac:dyDescent="0.2">
      <c r="A518" s="235"/>
      <c r="B518" s="235"/>
      <c r="Q518" s="79"/>
    </row>
    <row r="519" spans="1:17" x14ac:dyDescent="0.2">
      <c r="A519" s="235"/>
      <c r="B519" s="235"/>
      <c r="Q519" s="79"/>
    </row>
    <row r="520" spans="1:17" x14ac:dyDescent="0.2">
      <c r="A520" s="235"/>
      <c r="B520" s="235"/>
      <c r="Q520" s="79"/>
    </row>
    <row r="521" spans="1:17" x14ac:dyDescent="0.2">
      <c r="A521" s="235"/>
      <c r="B521" s="235"/>
      <c r="Q521" s="79"/>
    </row>
    <row r="522" spans="1:17" x14ac:dyDescent="0.2">
      <c r="A522" s="235"/>
      <c r="B522" s="235"/>
      <c r="Q522" s="79"/>
    </row>
    <row r="523" spans="1:17" x14ac:dyDescent="0.2">
      <c r="A523" s="235"/>
      <c r="B523" s="235"/>
      <c r="Q523" s="79"/>
    </row>
    <row r="524" spans="1:17" x14ac:dyDescent="0.2">
      <c r="A524" s="235"/>
      <c r="B524" s="235"/>
      <c r="Q524" s="79"/>
    </row>
    <row r="525" spans="1:17" x14ac:dyDescent="0.2">
      <c r="A525" s="235"/>
      <c r="B525" s="235"/>
      <c r="Q525" s="79"/>
    </row>
    <row r="526" spans="1:17" x14ac:dyDescent="0.2">
      <c r="A526" s="235"/>
      <c r="B526" s="235"/>
      <c r="Q526" s="79"/>
    </row>
    <row r="527" spans="1:17" x14ac:dyDescent="0.2">
      <c r="A527" s="235"/>
      <c r="B527" s="235"/>
      <c r="Q527" s="79"/>
    </row>
    <row r="528" spans="1:17" x14ac:dyDescent="0.2">
      <c r="A528" s="235"/>
      <c r="B528" s="235"/>
      <c r="Q528" s="79"/>
    </row>
    <row r="529" spans="1:17" x14ac:dyDescent="0.2">
      <c r="A529" s="235"/>
      <c r="B529" s="235"/>
      <c r="Q529" s="79"/>
    </row>
    <row r="530" spans="1:17" x14ac:dyDescent="0.2">
      <c r="A530" s="235"/>
      <c r="B530" s="235"/>
      <c r="Q530" s="79"/>
    </row>
    <row r="531" spans="1:17" x14ac:dyDescent="0.2">
      <c r="A531" s="235"/>
      <c r="B531" s="235"/>
      <c r="Q531" s="79"/>
    </row>
    <row r="532" spans="1:17" x14ac:dyDescent="0.2">
      <c r="A532" s="235"/>
      <c r="B532" s="235"/>
      <c r="Q532" s="79"/>
    </row>
    <row r="533" spans="1:17" x14ac:dyDescent="0.2">
      <c r="A533" s="235"/>
      <c r="B533" s="235"/>
      <c r="Q533" s="79"/>
    </row>
    <row r="534" spans="1:17" x14ac:dyDescent="0.2">
      <c r="A534" s="235"/>
      <c r="B534" s="235"/>
      <c r="Q534" s="79"/>
    </row>
    <row r="535" spans="1:17" x14ac:dyDescent="0.2">
      <c r="A535" s="235"/>
      <c r="B535" s="235"/>
      <c r="Q535" s="79"/>
    </row>
    <row r="536" spans="1:17" x14ac:dyDescent="0.2">
      <c r="A536" s="235"/>
      <c r="B536" s="235"/>
      <c r="Q536" s="79"/>
    </row>
    <row r="537" spans="1:17" x14ac:dyDescent="0.2">
      <c r="A537" s="235"/>
      <c r="B537" s="235"/>
      <c r="Q537" s="79"/>
    </row>
    <row r="538" spans="1:17" x14ac:dyDescent="0.2">
      <c r="A538" s="235"/>
      <c r="B538" s="235"/>
      <c r="Q538" s="79"/>
    </row>
    <row r="539" spans="1:17" x14ac:dyDescent="0.2">
      <c r="A539" s="235"/>
      <c r="B539" s="235"/>
      <c r="Q539" s="79"/>
    </row>
    <row r="540" spans="1:17" x14ac:dyDescent="0.2">
      <c r="A540" s="235"/>
      <c r="B540" s="235"/>
      <c r="Q540" s="79"/>
    </row>
    <row r="541" spans="1:17" x14ac:dyDescent="0.2">
      <c r="A541" s="235"/>
      <c r="B541" s="235"/>
      <c r="Q541" s="79"/>
    </row>
    <row r="542" spans="1:17" x14ac:dyDescent="0.2">
      <c r="A542" s="235"/>
      <c r="B542" s="235"/>
      <c r="Q542" s="79"/>
    </row>
    <row r="543" spans="1:17" x14ac:dyDescent="0.2">
      <c r="A543" s="235"/>
      <c r="B543" s="235"/>
      <c r="Q543" s="79"/>
    </row>
    <row r="544" spans="1:17" x14ac:dyDescent="0.2">
      <c r="A544" s="235"/>
      <c r="B544" s="235"/>
      <c r="Q544" s="79"/>
    </row>
    <row r="545" spans="1:17" x14ac:dyDescent="0.2">
      <c r="A545" s="235"/>
      <c r="B545" s="235"/>
      <c r="Q545" s="79"/>
    </row>
    <row r="546" spans="1:17" x14ac:dyDescent="0.2">
      <c r="A546" s="235"/>
      <c r="B546" s="235"/>
      <c r="Q546" s="79"/>
    </row>
    <row r="547" spans="1:17" x14ac:dyDescent="0.2">
      <c r="A547" s="235"/>
      <c r="B547" s="235"/>
      <c r="Q547" s="79"/>
    </row>
    <row r="548" spans="1:17" x14ac:dyDescent="0.2">
      <c r="A548" s="235"/>
      <c r="B548" s="235"/>
      <c r="Q548" s="79"/>
    </row>
    <row r="549" spans="1:17" x14ac:dyDescent="0.2">
      <c r="A549" s="235"/>
      <c r="B549" s="235"/>
      <c r="Q549" s="79"/>
    </row>
    <row r="550" spans="1:17" x14ac:dyDescent="0.2">
      <c r="A550" s="235"/>
      <c r="B550" s="235"/>
      <c r="Q550" s="79"/>
    </row>
    <row r="551" spans="1:17" x14ac:dyDescent="0.2">
      <c r="A551" s="235"/>
      <c r="B551" s="235"/>
      <c r="Q551" s="79"/>
    </row>
    <row r="552" spans="1:17" x14ac:dyDescent="0.2">
      <c r="A552" s="235"/>
      <c r="B552" s="235"/>
      <c r="Q552" s="79"/>
    </row>
    <row r="553" spans="1:17" x14ac:dyDescent="0.2">
      <c r="A553" s="235"/>
      <c r="B553" s="235"/>
      <c r="Q553" s="79"/>
    </row>
    <row r="554" spans="1:17" x14ac:dyDescent="0.2">
      <c r="A554" s="235"/>
      <c r="B554" s="235"/>
      <c r="Q554" s="79"/>
    </row>
    <row r="555" spans="1:17" x14ac:dyDescent="0.2">
      <c r="A555" s="235"/>
      <c r="B555" s="235"/>
      <c r="Q555" s="79"/>
    </row>
    <row r="556" spans="1:17" x14ac:dyDescent="0.2">
      <c r="A556" s="235"/>
      <c r="B556" s="235"/>
      <c r="Q556" s="79"/>
    </row>
    <row r="557" spans="1:17" x14ac:dyDescent="0.2">
      <c r="A557" s="235"/>
      <c r="B557" s="235"/>
      <c r="Q557" s="79"/>
    </row>
    <row r="558" spans="1:17" x14ac:dyDescent="0.2">
      <c r="A558" s="235"/>
      <c r="B558" s="235"/>
      <c r="Q558" s="79"/>
    </row>
    <row r="559" spans="1:17" x14ac:dyDescent="0.2">
      <c r="A559" s="235"/>
      <c r="B559" s="235"/>
      <c r="Q559" s="79"/>
    </row>
    <row r="560" spans="1:17" x14ac:dyDescent="0.2">
      <c r="A560" s="235"/>
      <c r="B560" s="235"/>
      <c r="Q560" s="79"/>
    </row>
    <row r="561" spans="1:17" x14ac:dyDescent="0.2">
      <c r="A561" s="235"/>
      <c r="B561" s="235"/>
      <c r="Q561" s="79"/>
    </row>
    <row r="562" spans="1:17" x14ac:dyDescent="0.2">
      <c r="A562" s="235"/>
      <c r="B562" s="235"/>
      <c r="Q562" s="79"/>
    </row>
    <row r="563" spans="1:17" x14ac:dyDescent="0.2">
      <c r="A563" s="235"/>
      <c r="B563" s="235"/>
      <c r="Q563" s="79"/>
    </row>
    <row r="564" spans="1:17" x14ac:dyDescent="0.2">
      <c r="A564" s="235"/>
      <c r="B564" s="235"/>
      <c r="Q564" s="79"/>
    </row>
    <row r="565" spans="1:17" x14ac:dyDescent="0.2">
      <c r="A565" s="235"/>
      <c r="B565" s="235"/>
      <c r="Q565" s="79"/>
    </row>
    <row r="566" spans="1:17" x14ac:dyDescent="0.2">
      <c r="A566" s="235"/>
      <c r="B566" s="235"/>
      <c r="Q566" s="79"/>
    </row>
    <row r="567" spans="1:17" x14ac:dyDescent="0.2">
      <c r="A567" s="235"/>
      <c r="B567" s="235"/>
      <c r="Q567" s="79"/>
    </row>
    <row r="568" spans="1:17" x14ac:dyDescent="0.2">
      <c r="A568" s="235"/>
      <c r="B568" s="235"/>
      <c r="Q568" s="79"/>
    </row>
    <row r="569" spans="1:17" x14ac:dyDescent="0.2">
      <c r="A569" s="235"/>
      <c r="B569" s="235"/>
      <c r="Q569" s="79"/>
    </row>
    <row r="570" spans="1:17" x14ac:dyDescent="0.2">
      <c r="A570" s="235"/>
      <c r="B570" s="235"/>
      <c r="Q570" s="79"/>
    </row>
    <row r="571" spans="1:17" x14ac:dyDescent="0.2">
      <c r="A571" s="235"/>
      <c r="B571" s="235"/>
      <c r="Q571" s="79"/>
    </row>
    <row r="572" spans="1:17" x14ac:dyDescent="0.2">
      <c r="A572" s="235"/>
      <c r="B572" s="235"/>
      <c r="Q572" s="79"/>
    </row>
    <row r="573" spans="1:17" x14ac:dyDescent="0.2">
      <c r="A573" s="235"/>
      <c r="B573" s="235"/>
      <c r="Q573" s="79"/>
    </row>
    <row r="574" spans="1:17" x14ac:dyDescent="0.2">
      <c r="A574" s="235"/>
      <c r="B574" s="235"/>
      <c r="Q574" s="79"/>
    </row>
    <row r="575" spans="1:17" x14ac:dyDescent="0.2">
      <c r="A575" s="235"/>
      <c r="B575" s="235"/>
      <c r="Q575" s="79"/>
    </row>
    <row r="576" spans="1:17" x14ac:dyDescent="0.2">
      <c r="A576" s="235"/>
      <c r="B576" s="235"/>
      <c r="Q576" s="79"/>
    </row>
    <row r="577" spans="1:17" x14ac:dyDescent="0.2">
      <c r="A577" s="235"/>
      <c r="B577" s="235"/>
      <c r="Q577" s="79"/>
    </row>
    <row r="578" spans="1:17" x14ac:dyDescent="0.2">
      <c r="A578" s="235"/>
      <c r="B578" s="235"/>
      <c r="Q578" s="79"/>
    </row>
    <row r="579" spans="1:17" x14ac:dyDescent="0.2">
      <c r="A579" s="235"/>
      <c r="B579" s="235"/>
      <c r="Q579" s="79"/>
    </row>
    <row r="580" spans="1:17" x14ac:dyDescent="0.2">
      <c r="A580" s="235"/>
      <c r="B580" s="235"/>
      <c r="Q580" s="79"/>
    </row>
    <row r="581" spans="1:17" x14ac:dyDescent="0.2">
      <c r="A581" s="235"/>
      <c r="B581" s="235"/>
      <c r="Q581" s="79"/>
    </row>
    <row r="582" spans="1:17" x14ac:dyDescent="0.2">
      <c r="A582" s="235"/>
      <c r="B582" s="235"/>
      <c r="Q582" s="79"/>
    </row>
    <row r="583" spans="1:17" x14ac:dyDescent="0.2">
      <c r="A583" s="235"/>
      <c r="B583" s="235"/>
      <c r="Q583" s="79"/>
    </row>
    <row r="584" spans="1:17" x14ac:dyDescent="0.2">
      <c r="A584" s="235"/>
      <c r="B584" s="235"/>
      <c r="Q584" s="79"/>
    </row>
    <row r="585" spans="1:17" x14ac:dyDescent="0.2">
      <c r="A585" s="235"/>
      <c r="B585" s="235"/>
      <c r="Q585" s="79"/>
    </row>
    <row r="586" spans="1:17" x14ac:dyDescent="0.2">
      <c r="A586" s="235"/>
      <c r="B586" s="235"/>
      <c r="Q586" s="79"/>
    </row>
    <row r="587" spans="1:17" x14ac:dyDescent="0.2">
      <c r="A587" s="235"/>
      <c r="B587" s="235"/>
      <c r="Q587" s="79"/>
    </row>
    <row r="588" spans="1:17" x14ac:dyDescent="0.2">
      <c r="A588" s="235"/>
      <c r="B588" s="235"/>
      <c r="Q588" s="79"/>
    </row>
    <row r="589" spans="1:17" x14ac:dyDescent="0.2">
      <c r="A589" s="235"/>
      <c r="B589" s="235"/>
      <c r="Q589" s="79"/>
    </row>
    <row r="590" spans="1:17" x14ac:dyDescent="0.2">
      <c r="A590" s="235"/>
      <c r="B590" s="235"/>
      <c r="Q590" s="79"/>
    </row>
    <row r="591" spans="1:17" x14ac:dyDescent="0.2">
      <c r="A591" s="235"/>
      <c r="B591" s="235"/>
      <c r="Q591" s="79"/>
    </row>
    <row r="592" spans="1:17" x14ac:dyDescent="0.2">
      <c r="A592" s="235"/>
      <c r="B592" s="235"/>
      <c r="Q592" s="79"/>
    </row>
    <row r="593" spans="1:17" x14ac:dyDescent="0.2">
      <c r="A593" s="235"/>
      <c r="B593" s="235"/>
      <c r="Q593" s="79"/>
    </row>
    <row r="594" spans="1:17" x14ac:dyDescent="0.2">
      <c r="A594" s="235"/>
      <c r="B594" s="235"/>
      <c r="Q594" s="79"/>
    </row>
    <row r="595" spans="1:17" x14ac:dyDescent="0.2">
      <c r="A595" s="235"/>
      <c r="B595" s="235"/>
      <c r="Q595" s="79"/>
    </row>
    <row r="596" spans="1:17" x14ac:dyDescent="0.2">
      <c r="A596" s="235"/>
      <c r="B596" s="235"/>
      <c r="Q596" s="79"/>
    </row>
    <row r="597" spans="1:17" x14ac:dyDescent="0.2">
      <c r="A597" s="235"/>
      <c r="B597" s="235"/>
      <c r="Q597" s="79"/>
    </row>
    <row r="598" spans="1:17" x14ac:dyDescent="0.2">
      <c r="A598" s="235"/>
      <c r="B598" s="235"/>
      <c r="Q598" s="79"/>
    </row>
    <row r="599" spans="1:17" x14ac:dyDescent="0.2">
      <c r="A599" s="235"/>
      <c r="B599" s="235"/>
      <c r="Q599" s="79"/>
    </row>
    <row r="600" spans="1:17" x14ac:dyDescent="0.2">
      <c r="A600" s="235"/>
      <c r="B600" s="235"/>
      <c r="Q600" s="79"/>
    </row>
    <row r="601" spans="1:17" x14ac:dyDescent="0.2">
      <c r="A601" s="235"/>
      <c r="B601" s="235"/>
      <c r="Q601" s="79"/>
    </row>
    <row r="602" spans="1:17" x14ac:dyDescent="0.2">
      <c r="A602" s="235"/>
      <c r="B602" s="235"/>
      <c r="Q602" s="79"/>
    </row>
    <row r="603" spans="1:17" x14ac:dyDescent="0.2">
      <c r="A603" s="235"/>
      <c r="B603" s="235"/>
      <c r="Q603" s="79"/>
    </row>
    <row r="604" spans="1:17" x14ac:dyDescent="0.2">
      <c r="A604" s="235"/>
      <c r="B604" s="235"/>
      <c r="Q604" s="79"/>
    </row>
    <row r="605" spans="1:17" x14ac:dyDescent="0.2">
      <c r="A605" s="235"/>
      <c r="B605" s="235"/>
      <c r="Q605" s="79"/>
    </row>
    <row r="606" spans="1:17" x14ac:dyDescent="0.2">
      <c r="A606" s="235"/>
      <c r="B606" s="235"/>
      <c r="Q606" s="79"/>
    </row>
    <row r="607" spans="1:17" x14ac:dyDescent="0.2">
      <c r="A607" s="235"/>
      <c r="B607" s="235"/>
      <c r="Q607" s="79"/>
    </row>
    <row r="608" spans="1:17" x14ac:dyDescent="0.2">
      <c r="A608" s="235"/>
      <c r="B608" s="235"/>
      <c r="Q608" s="79"/>
    </row>
    <row r="609" spans="1:17" x14ac:dyDescent="0.2">
      <c r="A609" s="235"/>
      <c r="B609" s="235"/>
      <c r="Q609" s="79"/>
    </row>
    <row r="610" spans="1:17" x14ac:dyDescent="0.2">
      <c r="A610" s="235"/>
      <c r="B610" s="235"/>
      <c r="Q610" s="79"/>
    </row>
    <row r="611" spans="1:17" x14ac:dyDescent="0.2">
      <c r="A611" s="235"/>
      <c r="B611" s="235"/>
      <c r="Q611" s="79"/>
    </row>
    <row r="612" spans="1:17" x14ac:dyDescent="0.2">
      <c r="A612" s="235"/>
      <c r="B612" s="235"/>
      <c r="Q612" s="79"/>
    </row>
    <row r="613" spans="1:17" x14ac:dyDescent="0.2">
      <c r="A613" s="235"/>
      <c r="B613" s="235"/>
      <c r="Q613" s="79"/>
    </row>
    <row r="614" spans="1:17" x14ac:dyDescent="0.2">
      <c r="A614" s="235"/>
      <c r="B614" s="235"/>
      <c r="Q614" s="79"/>
    </row>
    <row r="615" spans="1:17" x14ac:dyDescent="0.2">
      <c r="A615" s="235"/>
      <c r="B615" s="235"/>
      <c r="Q615" s="79"/>
    </row>
    <row r="616" spans="1:17" x14ac:dyDescent="0.2">
      <c r="A616" s="235"/>
      <c r="B616" s="235"/>
      <c r="Q616" s="79"/>
    </row>
    <row r="617" spans="1:17" x14ac:dyDescent="0.2">
      <c r="A617" s="235"/>
      <c r="B617" s="235"/>
      <c r="Q617" s="79"/>
    </row>
    <row r="618" spans="1:17" x14ac:dyDescent="0.2">
      <c r="A618" s="235"/>
      <c r="B618" s="235"/>
      <c r="Q618" s="79"/>
    </row>
    <row r="619" spans="1:17" x14ac:dyDescent="0.2">
      <c r="A619" s="235"/>
      <c r="B619" s="235"/>
      <c r="Q619" s="79"/>
    </row>
    <row r="620" spans="1:17" x14ac:dyDescent="0.2">
      <c r="A620" s="235"/>
      <c r="B620" s="235"/>
      <c r="Q620" s="79"/>
    </row>
    <row r="621" spans="1:17" x14ac:dyDescent="0.2">
      <c r="A621" s="235"/>
      <c r="B621" s="235"/>
      <c r="Q621" s="79"/>
    </row>
    <row r="622" spans="1:17" x14ac:dyDescent="0.2">
      <c r="A622" s="235"/>
      <c r="B622" s="235"/>
      <c r="Q622" s="79"/>
    </row>
    <row r="623" spans="1:17" x14ac:dyDescent="0.2">
      <c r="A623" s="235"/>
      <c r="B623" s="235"/>
      <c r="Q623" s="79"/>
    </row>
    <row r="624" spans="1:17" x14ac:dyDescent="0.2">
      <c r="A624" s="235"/>
      <c r="B624" s="235"/>
      <c r="Q624" s="79"/>
    </row>
    <row r="625" spans="1:17" x14ac:dyDescent="0.2">
      <c r="A625" s="235"/>
      <c r="B625" s="235"/>
      <c r="Q625" s="79"/>
    </row>
    <row r="626" spans="1:17" x14ac:dyDescent="0.2">
      <c r="A626" s="235"/>
      <c r="B626" s="235"/>
      <c r="Q626" s="79"/>
    </row>
    <row r="627" spans="1:17" x14ac:dyDescent="0.2">
      <c r="A627" s="235"/>
      <c r="B627" s="235"/>
      <c r="Q627" s="79"/>
    </row>
    <row r="628" spans="1:17" x14ac:dyDescent="0.2">
      <c r="A628" s="235"/>
      <c r="B628" s="235"/>
      <c r="Q628" s="79"/>
    </row>
    <row r="629" spans="1:17" x14ac:dyDescent="0.2">
      <c r="A629" s="235"/>
      <c r="B629" s="235"/>
      <c r="Q629" s="79"/>
    </row>
    <row r="630" spans="1:17" x14ac:dyDescent="0.2">
      <c r="A630" s="235"/>
      <c r="B630" s="235"/>
      <c r="Q630" s="79"/>
    </row>
    <row r="631" spans="1:17" x14ac:dyDescent="0.2">
      <c r="A631" s="235"/>
      <c r="B631" s="235"/>
      <c r="Q631" s="79"/>
    </row>
    <row r="632" spans="1:17" x14ac:dyDescent="0.2">
      <c r="A632" s="235"/>
      <c r="B632" s="235"/>
      <c r="Q632" s="79"/>
    </row>
    <row r="633" spans="1:17" x14ac:dyDescent="0.2">
      <c r="A633" s="235"/>
      <c r="B633" s="235"/>
      <c r="Q633" s="79"/>
    </row>
    <row r="634" spans="1:17" x14ac:dyDescent="0.2">
      <c r="A634" s="235"/>
      <c r="B634" s="235"/>
      <c r="Q634" s="79"/>
    </row>
    <row r="635" spans="1:17" x14ac:dyDescent="0.2">
      <c r="A635" s="235"/>
      <c r="B635" s="235"/>
      <c r="Q635" s="79"/>
    </row>
    <row r="636" spans="1:17" x14ac:dyDescent="0.2">
      <c r="A636" s="235"/>
      <c r="B636" s="235"/>
      <c r="Q636" s="79"/>
    </row>
    <row r="637" spans="1:17" x14ac:dyDescent="0.2">
      <c r="A637" s="235"/>
      <c r="B637" s="235"/>
      <c r="Q637" s="79"/>
    </row>
    <row r="638" spans="1:17" x14ac:dyDescent="0.2">
      <c r="A638" s="235"/>
      <c r="B638" s="235"/>
      <c r="Q638" s="79"/>
    </row>
    <row r="639" spans="1:17" x14ac:dyDescent="0.2">
      <c r="A639" s="235"/>
      <c r="B639" s="235"/>
      <c r="Q639" s="79"/>
    </row>
    <row r="640" spans="1:17" x14ac:dyDescent="0.2">
      <c r="A640" s="235"/>
      <c r="B640" s="235"/>
      <c r="Q640" s="79"/>
    </row>
    <row r="641" spans="1:17" x14ac:dyDescent="0.2">
      <c r="A641" s="235"/>
      <c r="B641" s="235"/>
      <c r="Q641" s="79"/>
    </row>
    <row r="642" spans="1:17" x14ac:dyDescent="0.2">
      <c r="A642" s="235"/>
      <c r="B642" s="235"/>
      <c r="Q642" s="79"/>
    </row>
    <row r="643" spans="1:17" x14ac:dyDescent="0.2">
      <c r="A643" s="235"/>
      <c r="B643" s="235"/>
      <c r="Q643" s="79"/>
    </row>
    <row r="644" spans="1:17" x14ac:dyDescent="0.2">
      <c r="A644" s="235"/>
      <c r="B644" s="235"/>
      <c r="Q644" s="79"/>
    </row>
    <row r="645" spans="1:17" x14ac:dyDescent="0.2">
      <c r="A645" s="235"/>
      <c r="B645" s="235"/>
      <c r="Q645" s="79"/>
    </row>
    <row r="646" spans="1:17" x14ac:dyDescent="0.2">
      <c r="A646" s="235"/>
      <c r="B646" s="235"/>
      <c r="Q646" s="79"/>
    </row>
    <row r="647" spans="1:17" x14ac:dyDescent="0.2">
      <c r="A647" s="235"/>
      <c r="B647" s="235"/>
      <c r="Q647" s="79"/>
    </row>
    <row r="648" spans="1:17" x14ac:dyDescent="0.2">
      <c r="A648" s="235"/>
      <c r="B648" s="235"/>
      <c r="Q648" s="79"/>
    </row>
    <row r="649" spans="1:17" x14ac:dyDescent="0.2">
      <c r="A649" s="235"/>
      <c r="B649" s="235"/>
      <c r="Q649" s="79"/>
    </row>
    <row r="650" spans="1:17" x14ac:dyDescent="0.2">
      <c r="A650" s="235"/>
      <c r="B650" s="235"/>
      <c r="Q650" s="79"/>
    </row>
    <row r="651" spans="1:17" x14ac:dyDescent="0.2">
      <c r="A651" s="235"/>
      <c r="B651" s="235"/>
      <c r="Q651" s="79"/>
    </row>
    <row r="652" spans="1:17" x14ac:dyDescent="0.2">
      <c r="A652" s="235"/>
      <c r="B652" s="235"/>
      <c r="Q652" s="79"/>
    </row>
    <row r="653" spans="1:17" x14ac:dyDescent="0.2">
      <c r="A653" s="235"/>
      <c r="B653" s="235"/>
      <c r="Q653" s="79"/>
    </row>
    <row r="654" spans="1:17" x14ac:dyDescent="0.2">
      <c r="A654" s="235"/>
      <c r="B654" s="235"/>
      <c r="Q654" s="79"/>
    </row>
    <row r="655" spans="1:17" x14ac:dyDescent="0.2">
      <c r="A655" s="235"/>
      <c r="B655" s="235"/>
      <c r="Q655" s="79"/>
    </row>
    <row r="656" spans="1:17" x14ac:dyDescent="0.2">
      <c r="A656" s="235"/>
      <c r="B656" s="235"/>
      <c r="Q656" s="79"/>
    </row>
    <row r="657" spans="1:17" x14ac:dyDescent="0.2">
      <c r="A657" s="235"/>
      <c r="B657" s="235"/>
      <c r="Q657" s="79"/>
    </row>
    <row r="658" spans="1:17" x14ac:dyDescent="0.2">
      <c r="A658" s="235"/>
      <c r="B658" s="235"/>
      <c r="Q658" s="79"/>
    </row>
    <row r="659" spans="1:17" x14ac:dyDescent="0.2">
      <c r="A659" s="235"/>
      <c r="B659" s="235"/>
      <c r="Q659" s="79"/>
    </row>
    <row r="660" spans="1:17" x14ac:dyDescent="0.2">
      <c r="A660" s="235"/>
      <c r="B660" s="235"/>
      <c r="Q660" s="79"/>
    </row>
    <row r="661" spans="1:17" x14ac:dyDescent="0.2">
      <c r="A661" s="235"/>
      <c r="B661" s="235"/>
      <c r="Q661" s="79"/>
    </row>
    <row r="662" spans="1:17" x14ac:dyDescent="0.2">
      <c r="A662" s="235"/>
      <c r="B662" s="235"/>
      <c r="Q662" s="79"/>
    </row>
    <row r="663" spans="1:17" x14ac:dyDescent="0.2">
      <c r="A663" s="235"/>
      <c r="B663" s="235"/>
      <c r="Q663" s="79"/>
    </row>
    <row r="664" spans="1:17" x14ac:dyDescent="0.2">
      <c r="A664" s="235"/>
      <c r="B664" s="235"/>
      <c r="Q664" s="79"/>
    </row>
    <row r="665" spans="1:17" x14ac:dyDescent="0.2">
      <c r="A665" s="235"/>
      <c r="B665" s="235"/>
      <c r="Q665" s="79"/>
    </row>
    <row r="666" spans="1:17" x14ac:dyDescent="0.2">
      <c r="A666" s="235"/>
      <c r="B666" s="235"/>
      <c r="Q666" s="79"/>
    </row>
    <row r="667" spans="1:17" x14ac:dyDescent="0.2">
      <c r="A667" s="235"/>
      <c r="B667" s="235"/>
      <c r="Q667" s="79"/>
    </row>
    <row r="668" spans="1:17" x14ac:dyDescent="0.2">
      <c r="A668" s="235"/>
      <c r="B668" s="235"/>
      <c r="Q668" s="79"/>
    </row>
    <row r="669" spans="1:17" x14ac:dyDescent="0.2">
      <c r="A669" s="235"/>
      <c r="B669" s="235"/>
      <c r="Q669" s="79"/>
    </row>
    <row r="670" spans="1:17" x14ac:dyDescent="0.2">
      <c r="A670" s="235"/>
      <c r="B670" s="235"/>
      <c r="Q670" s="79"/>
    </row>
    <row r="671" spans="1:17" x14ac:dyDescent="0.2">
      <c r="A671" s="235"/>
      <c r="B671" s="235"/>
      <c r="Q671" s="79"/>
    </row>
    <row r="672" spans="1:17" x14ac:dyDescent="0.2">
      <c r="A672" s="235"/>
      <c r="B672" s="235"/>
      <c r="Q672" s="79"/>
    </row>
    <row r="673" spans="1:17" x14ac:dyDescent="0.2">
      <c r="A673" s="235"/>
      <c r="B673" s="235"/>
      <c r="Q673" s="79"/>
    </row>
    <row r="674" spans="1:17" x14ac:dyDescent="0.2">
      <c r="A674" s="235"/>
      <c r="B674" s="235"/>
      <c r="Q674" s="79"/>
    </row>
    <row r="675" spans="1:17" x14ac:dyDescent="0.2">
      <c r="A675" s="235"/>
      <c r="B675" s="235"/>
      <c r="Q675" s="79"/>
    </row>
    <row r="676" spans="1:17" x14ac:dyDescent="0.2">
      <c r="A676" s="235"/>
      <c r="B676" s="235"/>
      <c r="Q676" s="79"/>
    </row>
    <row r="677" spans="1:17" x14ac:dyDescent="0.2">
      <c r="A677" s="235"/>
      <c r="B677" s="235"/>
      <c r="Q677" s="79"/>
    </row>
    <row r="678" spans="1:17" x14ac:dyDescent="0.2">
      <c r="A678" s="235"/>
      <c r="B678" s="235"/>
      <c r="Q678" s="79"/>
    </row>
    <row r="679" spans="1:17" x14ac:dyDescent="0.2">
      <c r="A679" s="235"/>
      <c r="B679" s="235"/>
      <c r="Q679" s="79"/>
    </row>
    <row r="680" spans="1:17" x14ac:dyDescent="0.2">
      <c r="A680" s="235"/>
      <c r="B680" s="235"/>
      <c r="Q680" s="79"/>
    </row>
    <row r="681" spans="1:17" x14ac:dyDescent="0.2">
      <c r="A681" s="235"/>
      <c r="B681" s="235"/>
      <c r="Q681" s="79"/>
    </row>
    <row r="682" spans="1:17" x14ac:dyDescent="0.2">
      <c r="A682" s="235"/>
      <c r="B682" s="235"/>
      <c r="Q682" s="79"/>
    </row>
    <row r="683" spans="1:17" x14ac:dyDescent="0.2">
      <c r="A683" s="235"/>
      <c r="B683" s="235"/>
      <c r="Q683" s="79"/>
    </row>
    <row r="684" spans="1:17" x14ac:dyDescent="0.2">
      <c r="A684" s="235"/>
      <c r="B684" s="235"/>
      <c r="Q684" s="79"/>
    </row>
    <row r="685" spans="1:17" x14ac:dyDescent="0.2">
      <c r="A685" s="235"/>
      <c r="B685" s="235"/>
      <c r="Q685" s="79"/>
    </row>
    <row r="686" spans="1:17" x14ac:dyDescent="0.2">
      <c r="A686" s="235"/>
      <c r="B686" s="235"/>
      <c r="Q686" s="79"/>
    </row>
    <row r="687" spans="1:17" x14ac:dyDescent="0.2">
      <c r="A687" s="235"/>
      <c r="B687" s="235"/>
      <c r="Q687" s="79"/>
    </row>
    <row r="688" spans="1:17" x14ac:dyDescent="0.2">
      <c r="A688" s="235"/>
      <c r="B688" s="235"/>
      <c r="Q688" s="79"/>
    </row>
    <row r="689" spans="1:17" x14ac:dyDescent="0.2">
      <c r="A689" s="235"/>
      <c r="B689" s="235"/>
      <c r="Q689" s="79"/>
    </row>
    <row r="690" spans="1:17" x14ac:dyDescent="0.2">
      <c r="A690" s="235"/>
      <c r="B690" s="235"/>
      <c r="Q690" s="79"/>
    </row>
    <row r="691" spans="1:17" x14ac:dyDescent="0.2">
      <c r="A691" s="235"/>
      <c r="B691" s="235"/>
      <c r="Q691" s="79"/>
    </row>
    <row r="692" spans="1:17" x14ac:dyDescent="0.2">
      <c r="A692" s="235"/>
      <c r="B692" s="235"/>
      <c r="Q692" s="79"/>
    </row>
    <row r="693" spans="1:17" x14ac:dyDescent="0.2">
      <c r="A693" s="235"/>
      <c r="B693" s="235"/>
      <c r="Q693" s="79"/>
    </row>
    <row r="694" spans="1:17" x14ac:dyDescent="0.2">
      <c r="A694" s="235"/>
      <c r="B694" s="235"/>
      <c r="Q694" s="79"/>
    </row>
    <row r="695" spans="1:17" x14ac:dyDescent="0.2">
      <c r="A695" s="235"/>
      <c r="B695" s="235"/>
      <c r="Q695" s="79"/>
    </row>
    <row r="696" spans="1:17" x14ac:dyDescent="0.2">
      <c r="A696" s="235"/>
      <c r="B696" s="235"/>
      <c r="Q696" s="79"/>
    </row>
    <row r="697" spans="1:17" x14ac:dyDescent="0.2">
      <c r="A697" s="235"/>
      <c r="B697" s="235"/>
      <c r="Q697" s="79"/>
    </row>
    <row r="698" spans="1:17" x14ac:dyDescent="0.2">
      <c r="A698" s="235"/>
      <c r="B698" s="235"/>
      <c r="Q698" s="79"/>
    </row>
    <row r="699" spans="1:17" x14ac:dyDescent="0.2">
      <c r="A699" s="235"/>
      <c r="B699" s="235"/>
      <c r="Q699" s="79"/>
    </row>
    <row r="700" spans="1:17" x14ac:dyDescent="0.2">
      <c r="A700" s="235"/>
      <c r="B700" s="235"/>
      <c r="Q700" s="79"/>
    </row>
    <row r="701" spans="1:17" x14ac:dyDescent="0.2">
      <c r="A701" s="235"/>
      <c r="B701" s="235"/>
      <c r="Q701" s="79"/>
    </row>
    <row r="702" spans="1:17" x14ac:dyDescent="0.2">
      <c r="A702" s="235"/>
      <c r="B702" s="235"/>
      <c r="Q702" s="79"/>
    </row>
    <row r="703" spans="1:17" x14ac:dyDescent="0.2">
      <c r="A703" s="235"/>
      <c r="B703" s="235"/>
      <c r="Q703" s="79"/>
    </row>
    <row r="704" spans="1:17" x14ac:dyDescent="0.2">
      <c r="A704" s="235"/>
      <c r="B704" s="235"/>
      <c r="Q704" s="79"/>
    </row>
    <row r="705" spans="1:17" x14ac:dyDescent="0.2">
      <c r="A705" s="235"/>
      <c r="B705" s="235"/>
      <c r="Q705" s="79"/>
    </row>
    <row r="706" spans="1:17" x14ac:dyDescent="0.2">
      <c r="A706" s="235"/>
      <c r="B706" s="235"/>
      <c r="Q706" s="79"/>
    </row>
    <row r="707" spans="1:17" x14ac:dyDescent="0.2">
      <c r="A707" s="235"/>
      <c r="B707" s="235"/>
      <c r="Q707" s="79"/>
    </row>
    <row r="708" spans="1:17" x14ac:dyDescent="0.2">
      <c r="A708" s="235"/>
      <c r="B708" s="235"/>
      <c r="Q708" s="79"/>
    </row>
    <row r="709" spans="1:17" x14ac:dyDescent="0.2">
      <c r="A709" s="235"/>
      <c r="B709" s="235"/>
      <c r="Q709" s="79"/>
    </row>
    <row r="710" spans="1:17" x14ac:dyDescent="0.2">
      <c r="A710" s="235"/>
      <c r="B710" s="235"/>
      <c r="Q710" s="79"/>
    </row>
    <row r="711" spans="1:17" x14ac:dyDescent="0.2">
      <c r="A711" s="235"/>
      <c r="B711" s="235"/>
      <c r="Q711" s="79"/>
    </row>
    <row r="712" spans="1:17" x14ac:dyDescent="0.2">
      <c r="A712" s="235"/>
      <c r="B712" s="235"/>
      <c r="Q712" s="79"/>
    </row>
    <row r="713" spans="1:17" x14ac:dyDescent="0.2">
      <c r="A713" s="235"/>
      <c r="B713" s="235"/>
      <c r="Q713" s="79"/>
    </row>
    <row r="714" spans="1:17" x14ac:dyDescent="0.2">
      <c r="A714" s="235"/>
      <c r="B714" s="235"/>
      <c r="Q714" s="79"/>
    </row>
    <row r="715" spans="1:17" x14ac:dyDescent="0.2">
      <c r="A715" s="235"/>
      <c r="B715" s="235"/>
      <c r="Q715" s="79"/>
    </row>
    <row r="716" spans="1:17" x14ac:dyDescent="0.2">
      <c r="A716" s="235"/>
      <c r="B716" s="235"/>
      <c r="Q716" s="79"/>
    </row>
    <row r="717" spans="1:17" x14ac:dyDescent="0.2">
      <c r="A717" s="235"/>
      <c r="B717" s="235"/>
      <c r="Q717" s="79"/>
    </row>
    <row r="718" spans="1:17" x14ac:dyDescent="0.2">
      <c r="A718" s="235"/>
      <c r="B718" s="235"/>
      <c r="Q718" s="79"/>
    </row>
    <row r="719" spans="1:17" x14ac:dyDescent="0.2">
      <c r="A719" s="235"/>
      <c r="B719" s="235"/>
      <c r="Q719" s="79"/>
    </row>
    <row r="720" spans="1:17" x14ac:dyDescent="0.2">
      <c r="A720" s="235"/>
      <c r="B720" s="235"/>
      <c r="Q720" s="79"/>
    </row>
    <row r="721" spans="1:17" x14ac:dyDescent="0.2">
      <c r="A721" s="235"/>
      <c r="B721" s="235"/>
      <c r="Q721" s="79"/>
    </row>
    <row r="722" spans="1:17" x14ac:dyDescent="0.2">
      <c r="A722" s="235"/>
      <c r="B722" s="235"/>
      <c r="Q722" s="79"/>
    </row>
    <row r="723" spans="1:17" x14ac:dyDescent="0.2">
      <c r="A723" s="235"/>
      <c r="B723" s="235"/>
      <c r="Q723" s="79"/>
    </row>
    <row r="724" spans="1:17" x14ac:dyDescent="0.2">
      <c r="A724" s="235"/>
      <c r="B724" s="235"/>
      <c r="Q724" s="79"/>
    </row>
    <row r="725" spans="1:17" x14ac:dyDescent="0.2">
      <c r="A725" s="235"/>
      <c r="B725" s="235"/>
      <c r="Q725" s="79"/>
    </row>
    <row r="726" spans="1:17" x14ac:dyDescent="0.2">
      <c r="A726" s="235"/>
      <c r="B726" s="235"/>
      <c r="Q726" s="79"/>
    </row>
    <row r="727" spans="1:17" x14ac:dyDescent="0.2">
      <c r="A727" s="235"/>
      <c r="B727" s="235"/>
      <c r="Q727" s="79"/>
    </row>
    <row r="728" spans="1:17" x14ac:dyDescent="0.2">
      <c r="A728" s="235"/>
      <c r="B728" s="235"/>
      <c r="Q728" s="79"/>
    </row>
    <row r="729" spans="1:17" x14ac:dyDescent="0.2">
      <c r="A729" s="235"/>
      <c r="B729" s="235"/>
      <c r="Q729" s="79"/>
    </row>
    <row r="730" spans="1:17" x14ac:dyDescent="0.2">
      <c r="A730" s="235"/>
      <c r="B730" s="235"/>
      <c r="Q730" s="79"/>
    </row>
    <row r="731" spans="1:17" x14ac:dyDescent="0.2">
      <c r="A731" s="235"/>
      <c r="B731" s="235"/>
      <c r="Q731" s="79"/>
    </row>
    <row r="732" spans="1:17" x14ac:dyDescent="0.2">
      <c r="A732" s="235"/>
      <c r="B732" s="235"/>
      <c r="Q732" s="79"/>
    </row>
    <row r="733" spans="1:17" x14ac:dyDescent="0.2">
      <c r="A733" s="235"/>
      <c r="B733" s="235"/>
      <c r="Q733" s="79"/>
    </row>
    <row r="734" spans="1:17" x14ac:dyDescent="0.2">
      <c r="A734" s="235"/>
      <c r="B734" s="235"/>
      <c r="Q734" s="79"/>
    </row>
    <row r="735" spans="1:17" x14ac:dyDescent="0.2">
      <c r="A735" s="235"/>
      <c r="B735" s="235"/>
      <c r="Q735" s="79"/>
    </row>
    <row r="736" spans="1:17" x14ac:dyDescent="0.2">
      <c r="A736" s="235"/>
      <c r="B736" s="235"/>
      <c r="Q736" s="79"/>
    </row>
    <row r="737" spans="1:17" x14ac:dyDescent="0.2">
      <c r="A737" s="235"/>
      <c r="B737" s="235"/>
      <c r="Q737" s="79"/>
    </row>
    <row r="738" spans="1:17" x14ac:dyDescent="0.2">
      <c r="A738" s="235"/>
      <c r="B738" s="235"/>
      <c r="Q738" s="79"/>
    </row>
    <row r="739" spans="1:17" x14ac:dyDescent="0.2">
      <c r="A739" s="235"/>
      <c r="B739" s="235"/>
      <c r="Q739" s="79"/>
    </row>
    <row r="740" spans="1:17" x14ac:dyDescent="0.2">
      <c r="A740" s="235"/>
      <c r="B740" s="235"/>
      <c r="Q740" s="79"/>
    </row>
    <row r="741" spans="1:17" x14ac:dyDescent="0.2">
      <c r="A741" s="235"/>
      <c r="B741" s="235"/>
      <c r="Q741" s="79"/>
    </row>
    <row r="742" spans="1:17" x14ac:dyDescent="0.2">
      <c r="A742" s="235"/>
      <c r="B742" s="235"/>
      <c r="Q742" s="79"/>
    </row>
    <row r="743" spans="1:17" x14ac:dyDescent="0.2">
      <c r="A743" s="235"/>
      <c r="B743" s="235"/>
      <c r="Q743" s="79"/>
    </row>
    <row r="744" spans="1:17" x14ac:dyDescent="0.2">
      <c r="A744" s="235"/>
      <c r="B744" s="235"/>
      <c r="Q744" s="79"/>
    </row>
    <row r="745" spans="1:17" x14ac:dyDescent="0.2">
      <c r="A745" s="235"/>
      <c r="B745" s="235"/>
      <c r="Q745" s="79"/>
    </row>
    <row r="746" spans="1:17" x14ac:dyDescent="0.2">
      <c r="A746" s="235"/>
      <c r="B746" s="235"/>
      <c r="Q746" s="79"/>
    </row>
    <row r="747" spans="1:17" x14ac:dyDescent="0.2">
      <c r="A747" s="235"/>
      <c r="B747" s="235"/>
      <c r="Q747" s="79"/>
    </row>
    <row r="748" spans="1:17" x14ac:dyDescent="0.2">
      <c r="A748" s="235"/>
      <c r="B748" s="235"/>
      <c r="Q748" s="79"/>
    </row>
    <row r="749" spans="1:17" x14ac:dyDescent="0.2">
      <c r="A749" s="235"/>
      <c r="B749" s="235"/>
      <c r="Q749" s="79"/>
    </row>
    <row r="750" spans="1:17" x14ac:dyDescent="0.2">
      <c r="A750" s="235"/>
      <c r="B750" s="235"/>
      <c r="Q750" s="79"/>
    </row>
    <row r="751" spans="1:17" x14ac:dyDescent="0.2">
      <c r="A751" s="235"/>
      <c r="B751" s="235"/>
      <c r="Q751" s="79"/>
    </row>
    <row r="752" spans="1:17" x14ac:dyDescent="0.2">
      <c r="A752" s="235"/>
      <c r="B752" s="235"/>
      <c r="Q752" s="79"/>
    </row>
    <row r="753" spans="1:17" x14ac:dyDescent="0.2">
      <c r="A753" s="235"/>
      <c r="B753" s="235"/>
      <c r="Q753" s="79"/>
    </row>
    <row r="754" spans="1:17" x14ac:dyDescent="0.2">
      <c r="A754" s="235"/>
      <c r="B754" s="235"/>
      <c r="Q754" s="79"/>
    </row>
    <row r="755" spans="1:17" x14ac:dyDescent="0.2">
      <c r="A755" s="235"/>
      <c r="B755" s="235"/>
      <c r="Q755" s="79"/>
    </row>
    <row r="756" spans="1:17" x14ac:dyDescent="0.2">
      <c r="A756" s="235"/>
      <c r="B756" s="235"/>
      <c r="Q756" s="79"/>
    </row>
    <row r="757" spans="1:17" x14ac:dyDescent="0.2">
      <c r="A757" s="235"/>
      <c r="B757" s="235"/>
      <c r="Q757" s="79"/>
    </row>
    <row r="758" spans="1:17" x14ac:dyDescent="0.2">
      <c r="A758" s="235"/>
      <c r="B758" s="235"/>
      <c r="Q758" s="79"/>
    </row>
    <row r="759" spans="1:17" x14ac:dyDescent="0.2">
      <c r="A759" s="235"/>
      <c r="B759" s="235"/>
      <c r="Q759" s="79"/>
    </row>
    <row r="760" spans="1:17" x14ac:dyDescent="0.2">
      <c r="A760" s="235"/>
      <c r="B760" s="235"/>
      <c r="Q760" s="79"/>
    </row>
    <row r="761" spans="1:17" x14ac:dyDescent="0.2">
      <c r="A761" s="235"/>
      <c r="B761" s="235"/>
      <c r="Q761" s="79"/>
    </row>
    <row r="762" spans="1:17" x14ac:dyDescent="0.2">
      <c r="A762" s="235"/>
      <c r="B762" s="235"/>
      <c r="Q762" s="79"/>
    </row>
    <row r="763" spans="1:17" x14ac:dyDescent="0.2">
      <c r="A763" s="235"/>
      <c r="B763" s="235"/>
      <c r="Q763" s="79"/>
    </row>
    <row r="764" spans="1:17" x14ac:dyDescent="0.2">
      <c r="A764" s="235"/>
      <c r="B764" s="235"/>
      <c r="Q764" s="79"/>
    </row>
    <row r="765" spans="1:17" x14ac:dyDescent="0.2">
      <c r="A765" s="235"/>
      <c r="B765" s="235"/>
      <c r="Q765" s="79"/>
    </row>
    <row r="766" spans="1:17" x14ac:dyDescent="0.2">
      <c r="A766" s="235"/>
      <c r="B766" s="235"/>
      <c r="Q766" s="79"/>
    </row>
    <row r="767" spans="1:17" x14ac:dyDescent="0.2">
      <c r="A767" s="235"/>
      <c r="B767" s="235"/>
      <c r="Q767" s="79"/>
    </row>
    <row r="768" spans="1:17" x14ac:dyDescent="0.2">
      <c r="A768" s="235"/>
      <c r="B768" s="235"/>
      <c r="Q768" s="79"/>
    </row>
    <row r="769" spans="1:17" x14ac:dyDescent="0.2">
      <c r="A769" s="235"/>
      <c r="B769" s="235"/>
      <c r="Q769" s="79"/>
    </row>
    <row r="770" spans="1:17" x14ac:dyDescent="0.2">
      <c r="A770" s="235"/>
      <c r="B770" s="235"/>
      <c r="Q770" s="79"/>
    </row>
    <row r="771" spans="1:17" x14ac:dyDescent="0.2">
      <c r="A771" s="235"/>
      <c r="B771" s="235"/>
      <c r="Q771" s="79"/>
    </row>
    <row r="772" spans="1:17" x14ac:dyDescent="0.2">
      <c r="A772" s="235"/>
      <c r="B772" s="235"/>
      <c r="Q772" s="79"/>
    </row>
    <row r="773" spans="1:17" x14ac:dyDescent="0.2">
      <c r="A773" s="235"/>
      <c r="B773" s="235"/>
      <c r="Q773" s="79"/>
    </row>
    <row r="774" spans="1:17" x14ac:dyDescent="0.2">
      <c r="A774" s="235"/>
      <c r="B774" s="235"/>
      <c r="Q774" s="79"/>
    </row>
    <row r="775" spans="1:17" x14ac:dyDescent="0.2">
      <c r="A775" s="235"/>
      <c r="B775" s="235"/>
      <c r="Q775" s="79"/>
    </row>
    <row r="776" spans="1:17" x14ac:dyDescent="0.2">
      <c r="A776" s="235"/>
      <c r="B776" s="235"/>
      <c r="Q776" s="79"/>
    </row>
    <row r="777" spans="1:17" x14ac:dyDescent="0.2">
      <c r="A777" s="235"/>
      <c r="B777" s="235"/>
      <c r="Q777" s="79"/>
    </row>
    <row r="778" spans="1:17" x14ac:dyDescent="0.2">
      <c r="A778" s="235"/>
      <c r="B778" s="235"/>
      <c r="Q778" s="79"/>
    </row>
    <row r="779" spans="1:17" x14ac:dyDescent="0.2">
      <c r="A779" s="235"/>
      <c r="B779" s="235"/>
      <c r="Q779" s="79"/>
    </row>
    <row r="780" spans="1:17" x14ac:dyDescent="0.2">
      <c r="A780" s="235"/>
      <c r="B780" s="235"/>
      <c r="Q780" s="79"/>
    </row>
    <row r="781" spans="1:17" x14ac:dyDescent="0.2">
      <c r="A781" s="235"/>
      <c r="B781" s="235"/>
      <c r="Q781" s="79"/>
    </row>
    <row r="782" spans="1:17" x14ac:dyDescent="0.2">
      <c r="A782" s="235"/>
      <c r="B782" s="235"/>
      <c r="Q782" s="79"/>
    </row>
    <row r="783" spans="1:17" x14ac:dyDescent="0.2">
      <c r="A783" s="235"/>
      <c r="B783" s="235"/>
      <c r="Q783" s="79"/>
    </row>
    <row r="784" spans="1:17" x14ac:dyDescent="0.2">
      <c r="A784" s="235"/>
      <c r="B784" s="235"/>
      <c r="Q784" s="79"/>
    </row>
    <row r="785" spans="1:17" x14ac:dyDescent="0.2">
      <c r="A785" s="235"/>
      <c r="B785" s="235"/>
      <c r="Q785" s="79"/>
    </row>
    <row r="786" spans="1:17" x14ac:dyDescent="0.2">
      <c r="A786" s="235"/>
      <c r="B786" s="235"/>
      <c r="Q786" s="79"/>
    </row>
    <row r="787" spans="1:17" x14ac:dyDescent="0.2">
      <c r="A787" s="235"/>
      <c r="B787" s="235"/>
      <c r="Q787" s="79"/>
    </row>
    <row r="788" spans="1:17" x14ac:dyDescent="0.2">
      <c r="A788" s="235"/>
      <c r="B788" s="235"/>
      <c r="Q788" s="79"/>
    </row>
    <row r="789" spans="1:17" x14ac:dyDescent="0.2">
      <c r="A789" s="235"/>
      <c r="B789" s="235"/>
      <c r="Q789" s="79"/>
    </row>
    <row r="790" spans="1:17" x14ac:dyDescent="0.2">
      <c r="A790" s="235"/>
      <c r="B790" s="235"/>
      <c r="Q790" s="79"/>
    </row>
    <row r="791" spans="1:17" x14ac:dyDescent="0.2">
      <c r="A791" s="235"/>
      <c r="B791" s="235"/>
      <c r="Q791" s="79"/>
    </row>
    <row r="792" spans="1:17" x14ac:dyDescent="0.2">
      <c r="A792" s="235"/>
      <c r="B792" s="235"/>
      <c r="Q792" s="79"/>
    </row>
    <row r="793" spans="1:17" x14ac:dyDescent="0.2">
      <c r="A793" s="235"/>
      <c r="B793" s="235"/>
      <c r="Q793" s="79"/>
    </row>
    <row r="794" spans="1:17" x14ac:dyDescent="0.2">
      <c r="A794" s="235"/>
      <c r="B794" s="235"/>
      <c r="Q794" s="79"/>
    </row>
    <row r="795" spans="1:17" x14ac:dyDescent="0.2">
      <c r="A795" s="235"/>
      <c r="B795" s="235"/>
      <c r="Q795" s="79"/>
    </row>
    <row r="796" spans="1:17" x14ac:dyDescent="0.2">
      <c r="A796" s="235"/>
      <c r="B796" s="235"/>
      <c r="Q796" s="79"/>
    </row>
    <row r="797" spans="1:17" x14ac:dyDescent="0.2">
      <c r="A797" s="235"/>
      <c r="B797" s="235"/>
      <c r="Q797" s="79"/>
    </row>
    <row r="798" spans="1:17" x14ac:dyDescent="0.2">
      <c r="A798" s="235"/>
      <c r="B798" s="235"/>
      <c r="Q798" s="79"/>
    </row>
    <row r="799" spans="1:17" x14ac:dyDescent="0.2">
      <c r="A799" s="235"/>
      <c r="B799" s="235"/>
      <c r="Q799" s="79"/>
    </row>
    <row r="800" spans="1:17" x14ac:dyDescent="0.2">
      <c r="A800" s="235"/>
      <c r="B800" s="235"/>
      <c r="Q800" s="79"/>
    </row>
    <row r="801" spans="1:17" x14ac:dyDescent="0.2">
      <c r="A801" s="235"/>
      <c r="B801" s="235"/>
      <c r="Q801" s="79"/>
    </row>
    <row r="802" spans="1:17" x14ac:dyDescent="0.2">
      <c r="A802" s="235"/>
      <c r="B802" s="235"/>
      <c r="Q802" s="79"/>
    </row>
    <row r="803" spans="1:17" x14ac:dyDescent="0.2">
      <c r="A803" s="235"/>
      <c r="B803" s="235"/>
      <c r="Q803" s="79"/>
    </row>
    <row r="804" spans="1:17" x14ac:dyDescent="0.2">
      <c r="A804" s="235"/>
      <c r="B804" s="235"/>
      <c r="Q804" s="79"/>
    </row>
    <row r="805" spans="1:17" x14ac:dyDescent="0.2">
      <c r="A805" s="235"/>
      <c r="B805" s="235"/>
      <c r="Q805" s="79"/>
    </row>
    <row r="806" spans="1:17" x14ac:dyDescent="0.2">
      <c r="A806" s="235"/>
      <c r="B806" s="235"/>
      <c r="Q806" s="79"/>
    </row>
    <row r="807" spans="1:17" x14ac:dyDescent="0.2">
      <c r="A807" s="235"/>
      <c r="B807" s="235"/>
      <c r="Q807" s="79"/>
    </row>
    <row r="808" spans="1:17" x14ac:dyDescent="0.2">
      <c r="A808" s="235"/>
      <c r="B808" s="235"/>
      <c r="Q808" s="79"/>
    </row>
    <row r="809" spans="1:17" x14ac:dyDescent="0.2">
      <c r="A809" s="235"/>
      <c r="B809" s="235"/>
      <c r="Q809" s="79"/>
    </row>
    <row r="810" spans="1:17" x14ac:dyDescent="0.2">
      <c r="A810" s="235"/>
      <c r="B810" s="235"/>
      <c r="Q810" s="79"/>
    </row>
    <row r="811" spans="1:17" x14ac:dyDescent="0.2">
      <c r="A811" s="235"/>
      <c r="B811" s="235"/>
      <c r="Q811" s="79"/>
    </row>
    <row r="812" spans="1:17" x14ac:dyDescent="0.2">
      <c r="A812" s="235"/>
      <c r="B812" s="235"/>
      <c r="Q812" s="79"/>
    </row>
    <row r="813" spans="1:17" x14ac:dyDescent="0.2">
      <c r="A813" s="235"/>
      <c r="B813" s="235"/>
      <c r="Q813" s="79"/>
    </row>
    <row r="814" spans="1:17" x14ac:dyDescent="0.2">
      <c r="A814" s="235"/>
      <c r="B814" s="235"/>
      <c r="Q814" s="79"/>
    </row>
    <row r="815" spans="1:17" x14ac:dyDescent="0.2">
      <c r="A815" s="235"/>
      <c r="B815" s="235"/>
      <c r="Q815" s="79"/>
    </row>
    <row r="816" spans="1:17" x14ac:dyDescent="0.2">
      <c r="A816" s="235"/>
      <c r="B816" s="235"/>
      <c r="Q816" s="79"/>
    </row>
    <row r="817" spans="1:17" x14ac:dyDescent="0.2">
      <c r="A817" s="235"/>
      <c r="B817" s="235"/>
      <c r="Q817" s="79"/>
    </row>
    <row r="818" spans="1:17" x14ac:dyDescent="0.2">
      <c r="A818" s="235"/>
      <c r="B818" s="235"/>
      <c r="Q818" s="79"/>
    </row>
    <row r="819" spans="1:17" x14ac:dyDescent="0.2">
      <c r="A819" s="235"/>
      <c r="B819" s="235"/>
      <c r="Q819" s="79"/>
    </row>
    <row r="820" spans="1:17" x14ac:dyDescent="0.2">
      <c r="A820" s="235"/>
      <c r="B820" s="235"/>
      <c r="Q820" s="79"/>
    </row>
    <row r="821" spans="1:17" x14ac:dyDescent="0.2">
      <c r="A821" s="235"/>
      <c r="B821" s="235"/>
      <c r="Q821" s="79"/>
    </row>
    <row r="822" spans="1:17" x14ac:dyDescent="0.2">
      <c r="A822" s="235"/>
      <c r="B822" s="235"/>
      <c r="Q822" s="79"/>
    </row>
    <row r="823" spans="1:17" x14ac:dyDescent="0.2">
      <c r="A823" s="235"/>
      <c r="B823" s="235"/>
      <c r="Q823" s="79"/>
    </row>
    <row r="824" spans="1:17" x14ac:dyDescent="0.2">
      <c r="A824" s="235"/>
      <c r="B824" s="235"/>
      <c r="Q824" s="79"/>
    </row>
    <row r="825" spans="1:17" x14ac:dyDescent="0.2">
      <c r="A825" s="235"/>
      <c r="B825" s="235"/>
      <c r="Q825" s="79"/>
    </row>
    <row r="826" spans="1:17" x14ac:dyDescent="0.2">
      <c r="A826" s="235"/>
      <c r="B826" s="235"/>
      <c r="Q826" s="79"/>
    </row>
    <row r="827" spans="1:17" x14ac:dyDescent="0.2">
      <c r="A827" s="235"/>
      <c r="B827" s="235"/>
      <c r="Q827" s="79"/>
    </row>
    <row r="828" spans="1:17" x14ac:dyDescent="0.2">
      <c r="A828" s="235"/>
      <c r="B828" s="235"/>
      <c r="Q828" s="79"/>
    </row>
    <row r="829" spans="1:17" x14ac:dyDescent="0.2">
      <c r="A829" s="235"/>
      <c r="B829" s="235"/>
      <c r="Q829" s="79"/>
    </row>
    <row r="830" spans="1:17" x14ac:dyDescent="0.2">
      <c r="A830" s="235"/>
      <c r="B830" s="235"/>
      <c r="Q830" s="79"/>
    </row>
    <row r="831" spans="1:17" x14ac:dyDescent="0.2">
      <c r="A831" s="235"/>
      <c r="B831" s="235"/>
      <c r="Q831" s="79"/>
    </row>
    <row r="832" spans="1:17" x14ac:dyDescent="0.2">
      <c r="A832" s="235"/>
      <c r="B832" s="235"/>
      <c r="Q832" s="79"/>
    </row>
    <row r="833" spans="1:17" x14ac:dyDescent="0.2">
      <c r="A833" s="235"/>
      <c r="B833" s="235"/>
      <c r="Q833" s="79"/>
    </row>
    <row r="834" spans="1:17" x14ac:dyDescent="0.2">
      <c r="A834" s="235"/>
      <c r="B834" s="235"/>
      <c r="Q834" s="79"/>
    </row>
    <row r="835" spans="1:17" x14ac:dyDescent="0.2">
      <c r="A835" s="235"/>
      <c r="B835" s="235"/>
      <c r="Q835" s="79"/>
    </row>
    <row r="836" spans="1:17" x14ac:dyDescent="0.2">
      <c r="A836" s="235"/>
      <c r="B836" s="235"/>
      <c r="Q836" s="79"/>
    </row>
    <row r="837" spans="1:17" x14ac:dyDescent="0.2">
      <c r="A837" s="235"/>
      <c r="B837" s="235"/>
      <c r="Q837" s="79"/>
    </row>
    <row r="838" spans="1:17" x14ac:dyDescent="0.2">
      <c r="A838" s="235"/>
      <c r="B838" s="235"/>
      <c r="Q838" s="79"/>
    </row>
    <row r="839" spans="1:17" x14ac:dyDescent="0.2">
      <c r="A839" s="235"/>
      <c r="B839" s="235"/>
      <c r="Q839" s="79"/>
    </row>
    <row r="840" spans="1:17" x14ac:dyDescent="0.2">
      <c r="A840" s="235"/>
      <c r="B840" s="235"/>
      <c r="Q840" s="79"/>
    </row>
    <row r="841" spans="1:17" x14ac:dyDescent="0.2">
      <c r="A841" s="235"/>
      <c r="B841" s="235"/>
      <c r="Q841" s="79"/>
    </row>
    <row r="842" spans="1:17" x14ac:dyDescent="0.2">
      <c r="A842" s="235"/>
      <c r="B842" s="235"/>
      <c r="Q842" s="79"/>
    </row>
    <row r="843" spans="1:17" x14ac:dyDescent="0.2">
      <c r="A843" s="235"/>
      <c r="B843" s="235"/>
      <c r="Q843" s="79"/>
    </row>
    <row r="844" spans="1:17" x14ac:dyDescent="0.2">
      <c r="A844" s="235"/>
      <c r="B844" s="235"/>
      <c r="Q844" s="79"/>
    </row>
    <row r="845" spans="1:17" x14ac:dyDescent="0.2">
      <c r="A845" s="235"/>
      <c r="B845" s="235"/>
      <c r="Q845" s="79"/>
    </row>
    <row r="846" spans="1:17" x14ac:dyDescent="0.2">
      <c r="A846" s="235"/>
      <c r="B846" s="235"/>
      <c r="Q846" s="79"/>
    </row>
    <row r="847" spans="1:17" x14ac:dyDescent="0.2">
      <c r="A847" s="235"/>
      <c r="B847" s="235"/>
      <c r="Q847" s="79"/>
    </row>
    <row r="848" spans="1:17" x14ac:dyDescent="0.2">
      <c r="A848" s="235"/>
      <c r="B848" s="235"/>
      <c r="Q848" s="79"/>
    </row>
    <row r="849" spans="1:17" x14ac:dyDescent="0.2">
      <c r="A849" s="235"/>
      <c r="B849" s="235"/>
      <c r="Q849" s="79"/>
    </row>
    <row r="850" spans="1:17" x14ac:dyDescent="0.2">
      <c r="A850" s="235"/>
      <c r="B850" s="235"/>
      <c r="Q850" s="79"/>
    </row>
    <row r="851" spans="1:17" x14ac:dyDescent="0.2">
      <c r="A851" s="235"/>
      <c r="B851" s="235"/>
      <c r="Q851" s="79"/>
    </row>
    <row r="852" spans="1:17" x14ac:dyDescent="0.2">
      <c r="A852" s="235"/>
      <c r="B852" s="235"/>
      <c r="Q852" s="79"/>
    </row>
    <row r="853" spans="1:17" x14ac:dyDescent="0.2">
      <c r="A853" s="235"/>
      <c r="B853" s="235"/>
      <c r="Q853" s="79"/>
    </row>
    <row r="854" spans="1:17" x14ac:dyDescent="0.2">
      <c r="A854" s="235"/>
      <c r="B854" s="235"/>
      <c r="Q854" s="79"/>
    </row>
    <row r="855" spans="1:17" x14ac:dyDescent="0.2">
      <c r="A855" s="235"/>
      <c r="B855" s="235"/>
      <c r="Q855" s="79"/>
    </row>
    <row r="856" spans="1:17" x14ac:dyDescent="0.2">
      <c r="A856" s="235"/>
      <c r="B856" s="235"/>
      <c r="Q856" s="79"/>
    </row>
    <row r="857" spans="1:17" x14ac:dyDescent="0.2">
      <c r="A857" s="235"/>
      <c r="B857" s="235"/>
      <c r="Q857" s="79"/>
    </row>
    <row r="858" spans="1:17" x14ac:dyDescent="0.2">
      <c r="A858" s="235"/>
      <c r="B858" s="235"/>
      <c r="Q858" s="79"/>
    </row>
    <row r="859" spans="1:17" x14ac:dyDescent="0.2">
      <c r="A859" s="235"/>
      <c r="B859" s="235"/>
      <c r="Q859" s="79"/>
    </row>
    <row r="860" spans="1:17" x14ac:dyDescent="0.2">
      <c r="A860" s="235"/>
      <c r="B860" s="235"/>
      <c r="Q860" s="79"/>
    </row>
    <row r="861" spans="1:17" x14ac:dyDescent="0.2">
      <c r="A861" s="235"/>
      <c r="B861" s="235"/>
      <c r="Q861" s="79"/>
    </row>
    <row r="862" spans="1:17" x14ac:dyDescent="0.2">
      <c r="A862" s="235"/>
      <c r="B862" s="235"/>
      <c r="Q862" s="79"/>
    </row>
    <row r="863" spans="1:17" x14ac:dyDescent="0.2">
      <c r="A863" s="235"/>
      <c r="B863" s="235"/>
      <c r="Q863" s="79"/>
    </row>
    <row r="864" spans="1:17" x14ac:dyDescent="0.2">
      <c r="A864" s="235"/>
      <c r="B864" s="235"/>
      <c r="Q864" s="79"/>
    </row>
    <row r="865" spans="1:17" x14ac:dyDescent="0.2">
      <c r="A865" s="235"/>
      <c r="B865" s="235"/>
      <c r="Q865" s="79"/>
    </row>
    <row r="866" spans="1:17" x14ac:dyDescent="0.2">
      <c r="A866" s="235"/>
      <c r="B866" s="235"/>
      <c r="Q866" s="79"/>
    </row>
    <row r="867" spans="1:17" x14ac:dyDescent="0.2">
      <c r="A867" s="235"/>
      <c r="B867" s="235"/>
      <c r="Q867" s="79"/>
    </row>
    <row r="868" spans="1:17" x14ac:dyDescent="0.2">
      <c r="A868" s="235"/>
      <c r="B868" s="235"/>
      <c r="Q868" s="79"/>
    </row>
    <row r="869" spans="1:17" x14ac:dyDescent="0.2">
      <c r="A869" s="235"/>
      <c r="B869" s="235"/>
      <c r="Q869" s="79"/>
    </row>
    <row r="870" spans="1:17" x14ac:dyDescent="0.2">
      <c r="A870" s="235"/>
      <c r="B870" s="235"/>
      <c r="Q870" s="79"/>
    </row>
    <row r="871" spans="1:17" x14ac:dyDescent="0.2">
      <c r="A871" s="235"/>
      <c r="B871" s="235"/>
      <c r="Q871" s="79"/>
    </row>
    <row r="872" spans="1:17" x14ac:dyDescent="0.2">
      <c r="A872" s="235"/>
      <c r="B872" s="235"/>
      <c r="Q872" s="79"/>
    </row>
    <row r="873" spans="1:17" x14ac:dyDescent="0.2">
      <c r="A873" s="235"/>
      <c r="B873" s="235"/>
      <c r="Q873" s="79"/>
    </row>
    <row r="874" spans="1:17" x14ac:dyDescent="0.2">
      <c r="A874" s="235"/>
      <c r="B874" s="235"/>
      <c r="Q874" s="79"/>
    </row>
    <row r="875" spans="1:17" x14ac:dyDescent="0.2">
      <c r="A875" s="235"/>
      <c r="B875" s="235"/>
      <c r="Q875" s="79"/>
    </row>
    <row r="876" spans="1:17" x14ac:dyDescent="0.2">
      <c r="A876" s="235"/>
      <c r="B876" s="235"/>
      <c r="Q876" s="79"/>
    </row>
    <row r="877" spans="1:17" x14ac:dyDescent="0.2">
      <c r="A877" s="235"/>
      <c r="B877" s="235"/>
      <c r="Q877" s="79"/>
    </row>
    <row r="878" spans="1:17" x14ac:dyDescent="0.2">
      <c r="A878" s="235"/>
      <c r="B878" s="235"/>
      <c r="Q878" s="79"/>
    </row>
    <row r="879" spans="1:17" x14ac:dyDescent="0.2">
      <c r="A879" s="235"/>
      <c r="B879" s="235"/>
      <c r="Q879" s="79"/>
    </row>
    <row r="880" spans="1:17" x14ac:dyDescent="0.2">
      <c r="A880" s="235"/>
      <c r="B880" s="235"/>
      <c r="Q880" s="79"/>
    </row>
    <row r="881" spans="1:17" x14ac:dyDescent="0.2">
      <c r="A881" s="235"/>
      <c r="B881" s="235"/>
      <c r="Q881" s="79"/>
    </row>
    <row r="882" spans="1:17" x14ac:dyDescent="0.2">
      <c r="A882" s="235"/>
      <c r="B882" s="235"/>
      <c r="Q882" s="79"/>
    </row>
    <row r="883" spans="1:17" x14ac:dyDescent="0.2">
      <c r="A883" s="235"/>
      <c r="B883" s="235"/>
      <c r="Q883" s="79"/>
    </row>
    <row r="884" spans="1:17" x14ac:dyDescent="0.2">
      <c r="A884" s="235"/>
      <c r="B884" s="235"/>
      <c r="Q884" s="79"/>
    </row>
    <row r="885" spans="1:17" x14ac:dyDescent="0.2">
      <c r="A885" s="235"/>
      <c r="B885" s="235"/>
      <c r="Q885" s="79"/>
    </row>
    <row r="886" spans="1:17" x14ac:dyDescent="0.2">
      <c r="A886" s="235"/>
      <c r="B886" s="235"/>
      <c r="Q886" s="79"/>
    </row>
    <row r="887" spans="1:17" x14ac:dyDescent="0.2">
      <c r="A887" s="235"/>
      <c r="B887" s="235"/>
      <c r="Q887" s="79"/>
    </row>
    <row r="888" spans="1:17" x14ac:dyDescent="0.2">
      <c r="A888" s="235"/>
      <c r="B888" s="235"/>
      <c r="Q888" s="79"/>
    </row>
    <row r="889" spans="1:17" x14ac:dyDescent="0.2">
      <c r="A889" s="235"/>
      <c r="B889" s="235"/>
      <c r="Q889" s="79"/>
    </row>
    <row r="890" spans="1:17" x14ac:dyDescent="0.2">
      <c r="A890" s="235"/>
      <c r="B890" s="235"/>
      <c r="Q890" s="79"/>
    </row>
    <row r="891" spans="1:17" x14ac:dyDescent="0.2">
      <c r="A891" s="235"/>
      <c r="B891" s="235"/>
      <c r="Q891" s="79"/>
    </row>
    <row r="892" spans="1:17" x14ac:dyDescent="0.2">
      <c r="A892" s="235"/>
      <c r="B892" s="235"/>
      <c r="Q892" s="79"/>
    </row>
    <row r="893" spans="1:17" x14ac:dyDescent="0.2">
      <c r="A893" s="235"/>
      <c r="B893" s="235"/>
      <c r="Q893" s="79"/>
    </row>
    <row r="894" spans="1:17" x14ac:dyDescent="0.2">
      <c r="A894" s="235"/>
      <c r="B894" s="235"/>
      <c r="Q894" s="79"/>
    </row>
    <row r="895" spans="1:17" x14ac:dyDescent="0.2">
      <c r="A895" s="235"/>
      <c r="B895" s="235"/>
      <c r="Q895" s="79"/>
    </row>
    <row r="896" spans="1:17" x14ac:dyDescent="0.2">
      <c r="A896" s="235"/>
      <c r="B896" s="235"/>
      <c r="Q896" s="79"/>
    </row>
    <row r="897" spans="1:17" x14ac:dyDescent="0.2">
      <c r="A897" s="235"/>
      <c r="B897" s="235"/>
      <c r="Q897" s="79"/>
    </row>
    <row r="898" spans="1:17" x14ac:dyDescent="0.2">
      <c r="A898" s="235"/>
      <c r="B898" s="235"/>
      <c r="Q898" s="79"/>
    </row>
    <row r="899" spans="1:17" x14ac:dyDescent="0.2">
      <c r="A899" s="235"/>
      <c r="B899" s="235"/>
      <c r="Q899" s="79"/>
    </row>
    <row r="900" spans="1:17" x14ac:dyDescent="0.2">
      <c r="A900" s="235"/>
      <c r="B900" s="235"/>
      <c r="Q900" s="79"/>
    </row>
    <row r="901" spans="1:17" x14ac:dyDescent="0.2">
      <c r="A901" s="235"/>
      <c r="B901" s="235"/>
      <c r="Q901" s="79"/>
    </row>
    <row r="902" spans="1:17" x14ac:dyDescent="0.2">
      <c r="A902" s="235"/>
      <c r="B902" s="235"/>
      <c r="Q902" s="79"/>
    </row>
    <row r="903" spans="1:17" x14ac:dyDescent="0.2">
      <c r="A903" s="235"/>
      <c r="B903" s="235"/>
      <c r="Q903" s="79"/>
    </row>
    <row r="904" spans="1:17" x14ac:dyDescent="0.2">
      <c r="A904" s="235"/>
      <c r="B904" s="235"/>
      <c r="Q904" s="79"/>
    </row>
    <row r="905" spans="1:17" x14ac:dyDescent="0.2">
      <c r="A905" s="235"/>
      <c r="B905" s="235"/>
      <c r="Q905" s="79"/>
    </row>
    <row r="906" spans="1:17" x14ac:dyDescent="0.2">
      <c r="A906" s="235"/>
      <c r="B906" s="235"/>
      <c r="Q906" s="79"/>
    </row>
    <row r="907" spans="1:17" x14ac:dyDescent="0.2">
      <c r="A907" s="235"/>
      <c r="B907" s="235"/>
      <c r="Q907" s="79"/>
    </row>
    <row r="908" spans="1:17" x14ac:dyDescent="0.2">
      <c r="A908" s="235"/>
      <c r="B908" s="235"/>
      <c r="Q908" s="79"/>
    </row>
    <row r="909" spans="1:17" x14ac:dyDescent="0.2">
      <c r="A909" s="235"/>
      <c r="B909" s="235"/>
      <c r="Q909" s="79"/>
    </row>
    <row r="910" spans="1:17" x14ac:dyDescent="0.2">
      <c r="A910" s="235"/>
      <c r="B910" s="235"/>
      <c r="Q910" s="79"/>
    </row>
    <row r="911" spans="1:17" x14ac:dyDescent="0.2">
      <c r="A911" s="235"/>
      <c r="B911" s="235"/>
      <c r="Q911" s="79"/>
    </row>
    <row r="912" spans="1:17" x14ac:dyDescent="0.2">
      <c r="A912" s="235"/>
      <c r="B912" s="235"/>
      <c r="Q912" s="79"/>
    </row>
    <row r="913" spans="1:17" x14ac:dyDescent="0.2">
      <c r="A913" s="235"/>
      <c r="B913" s="235"/>
      <c r="Q913" s="79"/>
    </row>
    <row r="914" spans="1:17" x14ac:dyDescent="0.2">
      <c r="A914" s="235"/>
      <c r="B914" s="235"/>
      <c r="Q914" s="79"/>
    </row>
    <row r="915" spans="1:17" x14ac:dyDescent="0.2">
      <c r="A915" s="235"/>
      <c r="B915" s="235"/>
      <c r="Q915" s="79"/>
    </row>
    <row r="916" spans="1:17" x14ac:dyDescent="0.2">
      <c r="A916" s="235"/>
      <c r="B916" s="235"/>
      <c r="Q916" s="79"/>
    </row>
    <row r="917" spans="1:17" x14ac:dyDescent="0.2">
      <c r="A917" s="235"/>
      <c r="B917" s="235"/>
      <c r="Q917" s="79"/>
    </row>
    <row r="918" spans="1:17" x14ac:dyDescent="0.2">
      <c r="A918" s="235"/>
      <c r="B918" s="235"/>
      <c r="Q918" s="79"/>
    </row>
    <row r="919" spans="1:17" x14ac:dyDescent="0.2">
      <c r="A919" s="235"/>
      <c r="B919" s="235"/>
      <c r="Q919" s="79"/>
    </row>
    <row r="920" spans="1:17" x14ac:dyDescent="0.2">
      <c r="A920" s="235"/>
      <c r="B920" s="235"/>
      <c r="Q920" s="79"/>
    </row>
    <row r="921" spans="1:17" x14ac:dyDescent="0.2">
      <c r="A921" s="235"/>
      <c r="B921" s="235"/>
      <c r="Q921" s="79"/>
    </row>
    <row r="922" spans="1:17" x14ac:dyDescent="0.2">
      <c r="A922" s="235"/>
      <c r="B922" s="235"/>
      <c r="Q922" s="79"/>
    </row>
    <row r="923" spans="1:17" x14ac:dyDescent="0.2">
      <c r="A923" s="235"/>
      <c r="B923" s="235"/>
      <c r="Q923" s="79"/>
    </row>
    <row r="924" spans="1:17" x14ac:dyDescent="0.2">
      <c r="A924" s="235"/>
      <c r="B924" s="235"/>
      <c r="Q924" s="79"/>
    </row>
    <row r="925" spans="1:17" x14ac:dyDescent="0.2">
      <c r="A925" s="235"/>
      <c r="B925" s="235"/>
      <c r="Q925" s="79"/>
    </row>
    <row r="926" spans="1:17" x14ac:dyDescent="0.2">
      <c r="A926" s="235"/>
      <c r="B926" s="235"/>
      <c r="Q926" s="79"/>
    </row>
    <row r="927" spans="1:17" x14ac:dyDescent="0.2">
      <c r="A927" s="235"/>
      <c r="B927" s="235"/>
      <c r="Q927" s="79"/>
    </row>
    <row r="928" spans="1:17" x14ac:dyDescent="0.2">
      <c r="A928" s="235"/>
      <c r="B928" s="235"/>
      <c r="Q928" s="79"/>
    </row>
    <row r="929" spans="1:17" x14ac:dyDescent="0.2">
      <c r="A929" s="235"/>
      <c r="B929" s="235"/>
      <c r="Q929" s="79"/>
    </row>
    <row r="930" spans="1:17" x14ac:dyDescent="0.2">
      <c r="A930" s="235"/>
      <c r="B930" s="235"/>
      <c r="Q930" s="79"/>
    </row>
    <row r="931" spans="1:17" x14ac:dyDescent="0.2">
      <c r="A931" s="235"/>
      <c r="B931" s="235"/>
      <c r="Q931" s="79"/>
    </row>
    <row r="932" spans="1:17" x14ac:dyDescent="0.2">
      <c r="A932" s="235"/>
      <c r="B932" s="235"/>
      <c r="Q932" s="79"/>
    </row>
    <row r="933" spans="1:17" x14ac:dyDescent="0.2">
      <c r="A933" s="235"/>
      <c r="B933" s="235"/>
      <c r="Q933" s="79"/>
    </row>
    <row r="934" spans="1:17" x14ac:dyDescent="0.2">
      <c r="A934" s="235"/>
      <c r="B934" s="235"/>
      <c r="Q934" s="79"/>
    </row>
    <row r="935" spans="1:17" x14ac:dyDescent="0.2">
      <c r="A935" s="235"/>
      <c r="B935" s="235"/>
      <c r="Q935" s="79"/>
    </row>
    <row r="936" spans="1:17" x14ac:dyDescent="0.2">
      <c r="A936" s="235"/>
      <c r="B936" s="235"/>
      <c r="Q936" s="79"/>
    </row>
    <row r="937" spans="1:17" x14ac:dyDescent="0.2">
      <c r="A937" s="235"/>
      <c r="B937" s="235"/>
      <c r="Q937" s="79"/>
    </row>
    <row r="938" spans="1:17" x14ac:dyDescent="0.2">
      <c r="A938" s="235"/>
      <c r="B938" s="235"/>
      <c r="Q938" s="79"/>
    </row>
    <row r="939" spans="1:17" x14ac:dyDescent="0.2">
      <c r="A939" s="235"/>
      <c r="B939" s="235"/>
      <c r="Q939" s="79"/>
    </row>
    <row r="940" spans="1:17" x14ac:dyDescent="0.2">
      <c r="A940" s="235"/>
      <c r="B940" s="235"/>
      <c r="Q940" s="79"/>
    </row>
    <row r="941" spans="1:17" x14ac:dyDescent="0.2">
      <c r="A941" s="235"/>
      <c r="B941" s="235"/>
      <c r="Q941" s="79"/>
    </row>
    <row r="942" spans="1:17" x14ac:dyDescent="0.2">
      <c r="A942" s="235"/>
      <c r="B942" s="235"/>
      <c r="Q942" s="79"/>
    </row>
    <row r="943" spans="1:17" x14ac:dyDescent="0.2">
      <c r="A943" s="235"/>
      <c r="B943" s="235"/>
      <c r="Q943" s="79"/>
    </row>
    <row r="944" spans="1:17" x14ac:dyDescent="0.2">
      <c r="A944" s="235"/>
      <c r="B944" s="235"/>
      <c r="Q944" s="79"/>
    </row>
    <row r="945" spans="1:17" x14ac:dyDescent="0.2">
      <c r="A945" s="235"/>
      <c r="B945" s="235"/>
      <c r="Q945" s="79"/>
    </row>
    <row r="946" spans="1:17" x14ac:dyDescent="0.2">
      <c r="A946" s="235"/>
      <c r="B946" s="235"/>
      <c r="Q946" s="79"/>
    </row>
    <row r="947" spans="1:17" x14ac:dyDescent="0.2">
      <c r="A947" s="235"/>
      <c r="B947" s="235"/>
      <c r="Q947" s="79"/>
    </row>
    <row r="948" spans="1:17" x14ac:dyDescent="0.2">
      <c r="A948" s="235"/>
      <c r="B948" s="235"/>
      <c r="Q948" s="79"/>
    </row>
    <row r="949" spans="1:17" x14ac:dyDescent="0.2">
      <c r="A949" s="235"/>
      <c r="B949" s="235"/>
      <c r="Q949" s="79"/>
    </row>
    <row r="950" spans="1:17" x14ac:dyDescent="0.2">
      <c r="A950" s="235"/>
      <c r="B950" s="235"/>
      <c r="Q950" s="79"/>
    </row>
    <row r="951" spans="1:17" x14ac:dyDescent="0.2">
      <c r="A951" s="235"/>
      <c r="B951" s="235"/>
      <c r="Q951" s="79"/>
    </row>
    <row r="952" spans="1:17" x14ac:dyDescent="0.2">
      <c r="A952" s="235"/>
      <c r="B952" s="235"/>
      <c r="Q952" s="79"/>
    </row>
    <row r="953" spans="1:17" x14ac:dyDescent="0.2">
      <c r="A953" s="235"/>
      <c r="B953" s="235"/>
      <c r="Q953" s="79"/>
    </row>
    <row r="954" spans="1:17" x14ac:dyDescent="0.2">
      <c r="A954" s="235"/>
      <c r="B954" s="235"/>
      <c r="Q954" s="79"/>
    </row>
    <row r="955" spans="1:17" x14ac:dyDescent="0.2">
      <c r="A955" s="235"/>
      <c r="B955" s="235"/>
      <c r="Q955" s="79"/>
    </row>
    <row r="956" spans="1:17" x14ac:dyDescent="0.2">
      <c r="A956" s="235"/>
      <c r="B956" s="235"/>
      <c r="Q956" s="79"/>
    </row>
    <row r="957" spans="1:17" x14ac:dyDescent="0.2">
      <c r="A957" s="235"/>
      <c r="B957" s="235"/>
      <c r="Q957" s="79"/>
    </row>
    <row r="958" spans="1:17" x14ac:dyDescent="0.2">
      <c r="A958" s="235"/>
      <c r="B958" s="235"/>
      <c r="Q958" s="79"/>
    </row>
    <row r="959" spans="1:17" x14ac:dyDescent="0.2">
      <c r="A959" s="235"/>
      <c r="B959" s="235"/>
      <c r="Q959" s="79"/>
    </row>
    <row r="960" spans="1:17" x14ac:dyDescent="0.2">
      <c r="A960" s="235"/>
      <c r="B960" s="235"/>
      <c r="Q960" s="79"/>
    </row>
    <row r="961" spans="1:17" x14ac:dyDescent="0.2">
      <c r="A961" s="235"/>
      <c r="B961" s="235"/>
      <c r="Q961" s="79"/>
    </row>
    <row r="962" spans="1:17" x14ac:dyDescent="0.2">
      <c r="A962" s="235"/>
      <c r="B962" s="235"/>
      <c r="Q962" s="79"/>
    </row>
    <row r="963" spans="1:17" x14ac:dyDescent="0.2">
      <c r="A963" s="235"/>
      <c r="B963" s="235"/>
      <c r="Q963" s="79"/>
    </row>
    <row r="964" spans="1:17" x14ac:dyDescent="0.2">
      <c r="A964" s="235"/>
      <c r="B964" s="235"/>
      <c r="Q964" s="79"/>
    </row>
    <row r="965" spans="1:17" x14ac:dyDescent="0.2">
      <c r="A965" s="235"/>
      <c r="B965" s="235"/>
      <c r="Q965" s="79"/>
    </row>
    <row r="966" spans="1:17" x14ac:dyDescent="0.2">
      <c r="A966" s="235"/>
      <c r="B966" s="235"/>
      <c r="Q966" s="79"/>
    </row>
    <row r="967" spans="1:17" x14ac:dyDescent="0.2">
      <c r="A967" s="235"/>
      <c r="B967" s="235"/>
      <c r="Q967" s="79"/>
    </row>
    <row r="968" spans="1:17" x14ac:dyDescent="0.2">
      <c r="A968" s="235"/>
      <c r="B968" s="235"/>
      <c r="Q968" s="79"/>
    </row>
    <row r="969" spans="1:17" x14ac:dyDescent="0.2">
      <c r="A969" s="235"/>
      <c r="B969" s="235"/>
      <c r="Q969" s="79"/>
    </row>
    <row r="970" spans="1:17" x14ac:dyDescent="0.2">
      <c r="A970" s="235"/>
      <c r="B970" s="235"/>
      <c r="Q970" s="79"/>
    </row>
    <row r="971" spans="1:17" x14ac:dyDescent="0.2">
      <c r="A971" s="235"/>
      <c r="B971" s="235"/>
      <c r="Q971" s="79"/>
    </row>
    <row r="972" spans="1:17" x14ac:dyDescent="0.2">
      <c r="A972" s="235"/>
      <c r="B972" s="235"/>
      <c r="Q972" s="79"/>
    </row>
    <row r="973" spans="1:17" x14ac:dyDescent="0.2">
      <c r="A973" s="235"/>
      <c r="B973" s="235"/>
      <c r="Q973" s="79"/>
    </row>
    <row r="974" spans="1:17" x14ac:dyDescent="0.2">
      <c r="A974" s="235"/>
      <c r="B974" s="235"/>
      <c r="Q974" s="79"/>
    </row>
    <row r="975" spans="1:17" x14ac:dyDescent="0.2">
      <c r="A975" s="235"/>
      <c r="B975" s="235"/>
      <c r="Q975" s="79"/>
    </row>
    <row r="976" spans="1:17" x14ac:dyDescent="0.2">
      <c r="A976" s="235"/>
      <c r="B976" s="235"/>
      <c r="Q976" s="79"/>
    </row>
    <row r="977" spans="1:17" x14ac:dyDescent="0.2">
      <c r="A977" s="235"/>
      <c r="B977" s="235"/>
      <c r="Q977" s="79"/>
    </row>
    <row r="978" spans="1:17" x14ac:dyDescent="0.2">
      <c r="A978" s="235"/>
      <c r="B978" s="235"/>
      <c r="Q978" s="79"/>
    </row>
    <row r="979" spans="1:17" x14ac:dyDescent="0.2">
      <c r="A979" s="235"/>
      <c r="B979" s="235"/>
      <c r="Q979" s="79"/>
    </row>
    <row r="980" spans="1:17" x14ac:dyDescent="0.2">
      <c r="A980" s="235"/>
      <c r="B980" s="235"/>
      <c r="Q980" s="79"/>
    </row>
    <row r="981" spans="1:17" x14ac:dyDescent="0.2">
      <c r="A981" s="235"/>
      <c r="B981" s="235"/>
      <c r="Q981" s="79"/>
    </row>
    <row r="982" spans="1:17" x14ac:dyDescent="0.2">
      <c r="A982" s="235"/>
      <c r="B982" s="235"/>
      <c r="Q982" s="79"/>
    </row>
  </sheetData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T5"/>
  <sheetViews>
    <sheetView workbookViewId="0"/>
  </sheetViews>
  <sheetFormatPr baseColWidth="10" defaultColWidth="12.6640625" defaultRowHeight="15.75" customHeight="1" x14ac:dyDescent="0.15"/>
  <cols>
    <col min="2" max="2" width="16.1640625" customWidth="1"/>
    <col min="5" max="5" width="41.5" customWidth="1"/>
    <col min="6" max="6" width="77.5" customWidth="1"/>
    <col min="7" max="7" width="25.6640625" customWidth="1"/>
    <col min="8" max="8" width="34" customWidth="1"/>
    <col min="9" max="9" width="17.83203125" customWidth="1"/>
    <col min="10" max="10" width="24.1640625" customWidth="1"/>
    <col min="11" max="11" width="17.83203125" customWidth="1"/>
    <col min="12" max="12" width="21.6640625" customWidth="1"/>
    <col min="13" max="13" width="25.5" customWidth="1"/>
    <col min="14" max="14" width="34.1640625" customWidth="1"/>
    <col min="15" max="15" width="17.83203125" customWidth="1"/>
  </cols>
  <sheetData>
    <row r="1" spans="1:20" x14ac:dyDescent="0.2">
      <c r="A1" s="80" t="s">
        <v>36</v>
      </c>
      <c r="B1" s="80" t="s">
        <v>37</v>
      </c>
      <c r="C1" s="80" t="s">
        <v>38</v>
      </c>
      <c r="D1" s="80"/>
      <c r="E1" s="236" t="s">
        <v>5695</v>
      </c>
      <c r="F1" s="236" t="s">
        <v>5696</v>
      </c>
      <c r="G1" s="236" t="s">
        <v>5697</v>
      </c>
      <c r="H1" s="236" t="s">
        <v>5698</v>
      </c>
      <c r="I1" s="236" t="s">
        <v>5699</v>
      </c>
      <c r="J1" s="236" t="s">
        <v>5700</v>
      </c>
      <c r="K1" s="236" t="s">
        <v>5701</v>
      </c>
      <c r="L1" s="236" t="s">
        <v>5702</v>
      </c>
      <c r="M1" s="236" t="s">
        <v>5703</v>
      </c>
      <c r="N1" s="236" t="s">
        <v>5704</v>
      </c>
    </row>
    <row r="2" spans="1:20" x14ac:dyDescent="0.2">
      <c r="A2" s="215">
        <v>24</v>
      </c>
      <c r="B2" s="215">
        <v>17</v>
      </c>
      <c r="C2" s="216" t="s">
        <v>51</v>
      </c>
      <c r="D2" s="216" t="str">
        <f t="shared" ref="D2:D4" si="0">A2&amp;B2&amp;C2</f>
        <v>2417001</v>
      </c>
      <c r="E2" s="54" t="s">
        <v>4862</v>
      </c>
      <c r="F2" s="54" t="s">
        <v>4863</v>
      </c>
      <c r="G2" s="54" t="s">
        <v>4702</v>
      </c>
      <c r="H2" s="54" t="s">
        <v>4864</v>
      </c>
      <c r="I2" s="237">
        <v>6</v>
      </c>
      <c r="J2" s="54" t="s">
        <v>4865</v>
      </c>
      <c r="K2" s="54" t="s">
        <v>5705</v>
      </c>
      <c r="L2" s="200" t="s">
        <v>4866</v>
      </c>
      <c r="M2" s="200" t="s">
        <v>4866</v>
      </c>
      <c r="N2" s="54" t="s">
        <v>4867</v>
      </c>
      <c r="O2" s="43"/>
      <c r="P2" s="43"/>
      <c r="Q2" s="43"/>
      <c r="R2" s="43"/>
      <c r="S2" s="43"/>
      <c r="T2" s="43"/>
    </row>
    <row r="3" spans="1:20" x14ac:dyDescent="0.2">
      <c r="A3" s="61">
        <v>24</v>
      </c>
      <c r="B3" s="61">
        <v>17</v>
      </c>
      <c r="C3" s="62" t="s">
        <v>60</v>
      </c>
      <c r="D3" s="62" t="str">
        <f t="shared" si="0"/>
        <v>2417002</v>
      </c>
      <c r="E3" s="54" t="s">
        <v>5706</v>
      </c>
      <c r="F3" s="54" t="s">
        <v>5707</v>
      </c>
      <c r="G3" s="54" t="s">
        <v>4702</v>
      </c>
      <c r="H3" s="54" t="s">
        <v>5708</v>
      </c>
      <c r="I3" s="237">
        <v>5</v>
      </c>
      <c r="J3" s="54" t="s">
        <v>4819</v>
      </c>
      <c r="K3" s="54" t="s">
        <v>5535</v>
      </c>
      <c r="L3" s="54" t="s">
        <v>4821</v>
      </c>
      <c r="M3" s="237">
        <v>0</v>
      </c>
      <c r="N3" s="54" t="s">
        <v>4822</v>
      </c>
      <c r="O3" s="43"/>
      <c r="P3" s="43"/>
      <c r="Q3" s="43"/>
      <c r="R3" s="43"/>
      <c r="S3" s="43"/>
      <c r="T3" s="43"/>
    </row>
    <row r="4" spans="1:20" x14ac:dyDescent="0.2">
      <c r="A4" s="61">
        <v>25</v>
      </c>
      <c r="B4" s="61">
        <v>17</v>
      </c>
      <c r="C4" s="216" t="s">
        <v>68</v>
      </c>
      <c r="D4" s="62" t="str">
        <f t="shared" si="0"/>
        <v>2517003</v>
      </c>
      <c r="E4" s="54" t="s">
        <v>5709</v>
      </c>
      <c r="F4" s="54" t="s">
        <v>5710</v>
      </c>
      <c r="G4" s="54" t="s">
        <v>5711</v>
      </c>
      <c r="H4" s="54" t="s">
        <v>5712</v>
      </c>
      <c r="I4" s="54" t="s">
        <v>5713</v>
      </c>
      <c r="J4" s="54" t="s">
        <v>4376</v>
      </c>
      <c r="K4" s="54" t="s">
        <v>5714</v>
      </c>
      <c r="L4" s="200" t="s">
        <v>5715</v>
      </c>
      <c r="M4" s="237">
        <v>0</v>
      </c>
      <c r="N4" s="54" t="s">
        <v>5716</v>
      </c>
      <c r="O4" s="43"/>
      <c r="P4" s="43"/>
      <c r="Q4" s="43"/>
      <c r="R4" s="43"/>
      <c r="S4" s="43"/>
      <c r="T4" s="43"/>
    </row>
    <row r="5" spans="1:20" ht="15.75" customHeight="1" x14ac:dyDescent="0.1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REKAP</vt:lpstr>
      <vt:lpstr>MALANG RAYA</vt:lpstr>
      <vt:lpstr>BLITAR</vt:lpstr>
      <vt:lpstr>TULUNGAGUNG TRENGGALEK</vt:lpstr>
      <vt:lpstr>PLAT AE</vt:lpstr>
      <vt:lpstr>BANYUWANGI</vt:lpstr>
      <vt:lpstr>OJO LAMBAN</vt:lpstr>
      <vt:lpstr>KEDIRI</vt:lpstr>
      <vt:lpstr>JOMBANG</vt:lpstr>
      <vt:lpstr>MOJOKERTO</vt:lpstr>
      <vt:lpstr>DAPIL IV</vt:lpstr>
      <vt:lpstr>NGANJUK</vt:lpstr>
      <vt:lpstr>MADURA RAYA</vt:lpstr>
      <vt:lpstr>PROBOLINGGO RAYA</vt:lpstr>
      <vt:lpstr>GRESIK SBY</vt:lpstr>
      <vt:lpstr>SIDOPAS</vt:lpstr>
      <vt:lpstr>BONDOWOSO</vt:lpstr>
      <vt:lpstr>SITUBONDO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Hamdan Rifa'i</cp:lastModifiedBy>
  <dcterms:modified xsi:type="dcterms:W3CDTF">2026-03-11T00:29:41Z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2026-03-11T00:29:40Z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28252764-ed51-4f8c-a200-e0c081234d0e</vt:lpwstr>
  </property>
  <property fmtid="{D5CDD505-2E9C-101B-9397-08002B2CF9AE}" pid="7" name="MSIP_Label_defa4170-0d19-0005-0004-bc88714345d2_ActionId">
    <vt:lpwstr>333927af-c67b-4f41-9374-854ea586645b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